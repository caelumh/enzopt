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ony Vaio\surfdrive\Anaerobic PHB\Yared paper\organized data sets\kinetic data\raw data and progress curves\AAR Chimera 5\AcAcCoA\"/>
    </mc:Choice>
  </mc:AlternateContent>
  <bookViews>
    <workbookView xWindow="0" yWindow="0" windowWidth="23040" windowHeight="8616" activeTab="1"/>
  </bookViews>
  <sheets>
    <sheet name="data and calculations" sheetId="2" r:id="rId1"/>
    <sheet name="Vo vs 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E7" i="2"/>
  <c r="F7" i="2"/>
  <c r="G7" i="2"/>
  <c r="H7" i="2"/>
  <c r="I7" i="2"/>
  <c r="J7" i="2"/>
  <c r="K7" i="2"/>
  <c r="L7" i="2"/>
  <c r="M7" i="2"/>
  <c r="N7" i="2"/>
  <c r="P7" i="2"/>
  <c r="Q7" i="2"/>
  <c r="R7" i="2"/>
  <c r="S7" i="2"/>
  <c r="T7" i="2"/>
  <c r="U7" i="2"/>
  <c r="V7" i="2"/>
  <c r="W7" i="2"/>
  <c r="X7" i="2"/>
  <c r="Y7" i="2"/>
  <c r="Z7" i="2"/>
  <c r="AA7" i="2"/>
  <c r="C7" i="2"/>
  <c r="C6" i="2" l="1"/>
  <c r="C9" i="2" l="1"/>
  <c r="B20" i="2" l="1"/>
  <c r="D9" i="2" l="1"/>
  <c r="E9" i="2"/>
  <c r="F9" i="2"/>
  <c r="G9" i="2"/>
  <c r="H9" i="2"/>
  <c r="I9" i="2"/>
  <c r="J9" i="2"/>
  <c r="K9" i="2"/>
  <c r="L9" i="2"/>
  <c r="M9" i="2"/>
  <c r="N9" i="2"/>
  <c r="P9" i="2"/>
  <c r="Q9" i="2"/>
  <c r="R9" i="2"/>
  <c r="S9" i="2"/>
  <c r="T9" i="2"/>
  <c r="U9" i="2"/>
  <c r="V9" i="2"/>
  <c r="W9" i="2"/>
  <c r="X9" i="2"/>
  <c r="Y9" i="2"/>
  <c r="Z9" i="2"/>
  <c r="AA9" i="2"/>
  <c r="D6" i="2" l="1"/>
  <c r="E6" i="2"/>
  <c r="F6" i="2"/>
  <c r="G6" i="2"/>
  <c r="H6" i="2"/>
  <c r="I6" i="2"/>
  <c r="J6" i="2"/>
  <c r="K6" i="2"/>
  <c r="L6" i="2"/>
  <c r="M6" i="2"/>
  <c r="N6" i="2"/>
  <c r="P6" i="2"/>
  <c r="Q6" i="2"/>
  <c r="R6" i="2"/>
  <c r="S6" i="2"/>
  <c r="T6" i="2"/>
  <c r="U6" i="2"/>
  <c r="V6" i="2"/>
  <c r="W6" i="2"/>
  <c r="X6" i="2"/>
  <c r="Y6" i="2"/>
  <c r="Z6" i="2"/>
  <c r="AA6" i="2"/>
  <c r="AF298" i="2" l="1"/>
  <c r="B298" i="2" s="1"/>
  <c r="AF299" i="2"/>
  <c r="B299" i="2" s="1"/>
  <c r="AF300" i="2"/>
  <c r="B300" i="2" s="1"/>
  <c r="AF301" i="2"/>
  <c r="B301" i="2" s="1"/>
  <c r="AF302" i="2"/>
  <c r="B302" i="2" s="1"/>
  <c r="AF303" i="2"/>
  <c r="B303" i="2" s="1"/>
  <c r="AF304" i="2"/>
  <c r="B304" i="2" s="1"/>
  <c r="AF305" i="2"/>
  <c r="B305" i="2" s="1"/>
  <c r="AF306" i="2"/>
  <c r="B306" i="2" s="1"/>
  <c r="AF307" i="2"/>
  <c r="B307" i="2" s="1"/>
  <c r="AF308" i="2"/>
  <c r="B308" i="2" s="1"/>
  <c r="AF309" i="2"/>
  <c r="B309" i="2" s="1"/>
  <c r="AF310" i="2"/>
  <c r="B310" i="2" s="1"/>
  <c r="AF311" i="2"/>
  <c r="B311" i="2" s="1"/>
  <c r="AF312" i="2"/>
  <c r="B312" i="2" s="1"/>
  <c r="AF313" i="2"/>
  <c r="B313" i="2" s="1"/>
  <c r="AF314" i="2"/>
  <c r="B314" i="2" s="1"/>
  <c r="AF315" i="2"/>
  <c r="B315" i="2" s="1"/>
  <c r="AF316" i="2"/>
  <c r="B316" i="2" s="1"/>
  <c r="AF317" i="2"/>
  <c r="B317" i="2" s="1"/>
  <c r="AF318" i="2"/>
  <c r="B318" i="2" s="1"/>
  <c r="AF319" i="2"/>
  <c r="B319" i="2" s="1"/>
  <c r="AF320" i="2"/>
  <c r="B320" i="2" s="1"/>
  <c r="AF321" i="2"/>
  <c r="B321" i="2" s="1"/>
  <c r="AF322" i="2"/>
  <c r="B322" i="2" s="1"/>
  <c r="AF323" i="2"/>
  <c r="B323" i="2" s="1"/>
  <c r="AF324" i="2"/>
  <c r="B324" i="2" s="1"/>
  <c r="AF325" i="2"/>
  <c r="B325" i="2" s="1"/>
  <c r="AF326" i="2"/>
  <c r="B326" i="2" s="1"/>
  <c r="AF327" i="2"/>
  <c r="B327" i="2" s="1"/>
  <c r="AF328" i="2"/>
  <c r="B328" i="2" s="1"/>
  <c r="AF329" i="2"/>
  <c r="B329" i="2" s="1"/>
  <c r="AF330" i="2"/>
  <c r="B330" i="2" s="1"/>
  <c r="AF331" i="2"/>
  <c r="B331" i="2" s="1"/>
  <c r="AF332" i="2"/>
  <c r="B332" i="2" s="1"/>
  <c r="AF333" i="2"/>
  <c r="B333" i="2" s="1"/>
  <c r="AF334" i="2"/>
  <c r="B334" i="2" s="1"/>
  <c r="AF335" i="2"/>
  <c r="B335" i="2" s="1"/>
  <c r="AF336" i="2"/>
  <c r="B336" i="2" s="1"/>
  <c r="AF337" i="2"/>
  <c r="B337" i="2" s="1"/>
  <c r="AF338" i="2"/>
  <c r="B338" i="2" s="1"/>
  <c r="AF339" i="2"/>
  <c r="B339" i="2" s="1"/>
  <c r="AF340" i="2"/>
  <c r="B340" i="2" s="1"/>
  <c r="AF341" i="2"/>
  <c r="B341" i="2" s="1"/>
  <c r="AF342" i="2"/>
  <c r="B342" i="2" s="1"/>
  <c r="AF343" i="2"/>
  <c r="B343" i="2" s="1"/>
  <c r="AF344" i="2"/>
  <c r="B344" i="2" s="1"/>
  <c r="AF345" i="2"/>
  <c r="B345" i="2" s="1"/>
  <c r="AF346" i="2"/>
  <c r="B346" i="2" s="1"/>
  <c r="AF347" i="2"/>
  <c r="B347" i="2" s="1"/>
  <c r="AF348" i="2"/>
  <c r="B348" i="2" s="1"/>
  <c r="AF349" i="2"/>
  <c r="B349" i="2" s="1"/>
  <c r="AF350" i="2"/>
  <c r="B350" i="2" s="1"/>
  <c r="AF351" i="2"/>
  <c r="B351" i="2" s="1"/>
  <c r="AF352" i="2"/>
  <c r="B352" i="2" s="1"/>
  <c r="AF353" i="2"/>
  <c r="B353" i="2" s="1"/>
  <c r="AF354" i="2"/>
  <c r="B354" i="2" s="1"/>
  <c r="AF355" i="2"/>
  <c r="B355" i="2" s="1"/>
  <c r="AF356" i="2"/>
  <c r="B356" i="2" s="1"/>
  <c r="AF357" i="2"/>
  <c r="B357" i="2" s="1"/>
  <c r="AF358" i="2"/>
  <c r="B358" i="2" s="1"/>
  <c r="AF359" i="2"/>
  <c r="B359" i="2" s="1"/>
  <c r="AF360" i="2"/>
  <c r="B360" i="2" s="1"/>
  <c r="AF361" i="2"/>
  <c r="B361" i="2" s="1"/>
  <c r="AF362" i="2"/>
  <c r="B362" i="2" s="1"/>
  <c r="AF363" i="2"/>
  <c r="B363" i="2" s="1"/>
  <c r="AF364" i="2"/>
  <c r="B364" i="2" s="1"/>
  <c r="AF365" i="2"/>
  <c r="B365" i="2" s="1"/>
  <c r="AF366" i="2"/>
  <c r="B366" i="2" s="1"/>
  <c r="AF367" i="2"/>
  <c r="B367" i="2" s="1"/>
  <c r="AF368" i="2"/>
  <c r="B368" i="2" s="1"/>
  <c r="AF369" i="2"/>
  <c r="B369" i="2" s="1"/>
  <c r="AF370" i="2"/>
  <c r="B370" i="2" s="1"/>
  <c r="AF371" i="2"/>
  <c r="B371" i="2" s="1"/>
  <c r="AF372" i="2"/>
  <c r="B372" i="2" s="1"/>
  <c r="AF373" i="2"/>
  <c r="B373" i="2" s="1"/>
  <c r="AF374" i="2"/>
  <c r="B374" i="2" s="1"/>
  <c r="AF375" i="2"/>
  <c r="B375" i="2" s="1"/>
  <c r="AF376" i="2"/>
  <c r="B376" i="2" s="1"/>
  <c r="AF377" i="2"/>
  <c r="B377" i="2" s="1"/>
  <c r="AF378" i="2"/>
  <c r="B378" i="2" s="1"/>
  <c r="AF379" i="2"/>
  <c r="B379" i="2" s="1"/>
  <c r="AF380" i="2"/>
  <c r="B380" i="2" s="1"/>
  <c r="AF381" i="2"/>
  <c r="B381" i="2" s="1"/>
  <c r="AF382" i="2"/>
  <c r="B382" i="2" s="1"/>
  <c r="AF383" i="2"/>
  <c r="B383" i="2" s="1"/>
  <c r="AF384" i="2"/>
  <c r="B384" i="2" s="1"/>
  <c r="AF385" i="2"/>
  <c r="B385" i="2" s="1"/>
  <c r="AF386" i="2"/>
  <c r="B386" i="2" s="1"/>
  <c r="AF387" i="2"/>
  <c r="B387" i="2" s="1"/>
  <c r="AF388" i="2"/>
  <c r="B388" i="2" s="1"/>
  <c r="AF389" i="2"/>
  <c r="B389" i="2" s="1"/>
  <c r="AF390" i="2"/>
  <c r="B390" i="2" s="1"/>
  <c r="AF391" i="2"/>
  <c r="B391" i="2" s="1"/>
  <c r="AF392" i="2"/>
  <c r="B392" i="2" s="1"/>
  <c r="AF393" i="2"/>
  <c r="B393" i="2" s="1"/>
  <c r="AF394" i="2"/>
  <c r="B394" i="2" s="1"/>
  <c r="AF395" i="2"/>
  <c r="B395" i="2" s="1"/>
  <c r="AF396" i="2"/>
  <c r="B396" i="2" s="1"/>
  <c r="AF397" i="2"/>
  <c r="B397" i="2" s="1"/>
  <c r="AF398" i="2"/>
  <c r="B398" i="2" s="1"/>
  <c r="AF399" i="2"/>
  <c r="B399" i="2" s="1"/>
  <c r="AF400" i="2"/>
  <c r="B400" i="2" s="1"/>
  <c r="AF401" i="2"/>
  <c r="B401" i="2" s="1"/>
  <c r="AF402" i="2"/>
  <c r="B402" i="2" s="1"/>
  <c r="AF403" i="2"/>
  <c r="B403" i="2" s="1"/>
  <c r="AF404" i="2"/>
  <c r="B404" i="2" s="1"/>
  <c r="AF405" i="2"/>
  <c r="B405" i="2" s="1"/>
  <c r="AF406" i="2"/>
  <c r="B406" i="2" s="1"/>
  <c r="AF407" i="2"/>
  <c r="B407" i="2" s="1"/>
  <c r="AF408" i="2"/>
  <c r="B408" i="2" s="1"/>
  <c r="AF409" i="2"/>
  <c r="B409" i="2" s="1"/>
  <c r="AF410" i="2"/>
  <c r="B410" i="2" s="1"/>
  <c r="AF411" i="2"/>
  <c r="B411" i="2" s="1"/>
  <c r="AF412" i="2"/>
  <c r="B412" i="2" s="1"/>
  <c r="AF413" i="2"/>
  <c r="B413" i="2" s="1"/>
  <c r="AF414" i="2"/>
  <c r="B414" i="2" s="1"/>
  <c r="AF415" i="2"/>
  <c r="B415" i="2" s="1"/>
  <c r="AF416" i="2"/>
  <c r="B416" i="2" s="1"/>
  <c r="AF417" i="2"/>
  <c r="B417" i="2" s="1"/>
  <c r="AF418" i="2"/>
  <c r="B418" i="2" s="1"/>
  <c r="AF419" i="2"/>
  <c r="B419" i="2" s="1"/>
  <c r="AF420" i="2"/>
  <c r="B420" i="2" s="1"/>
  <c r="AF421" i="2"/>
  <c r="B421" i="2" s="1"/>
  <c r="AF422" i="2"/>
  <c r="B422" i="2" s="1"/>
  <c r="AF423" i="2"/>
  <c r="B423" i="2" s="1"/>
  <c r="AF424" i="2"/>
  <c r="B424" i="2" s="1"/>
  <c r="AF425" i="2"/>
  <c r="B425" i="2" s="1"/>
  <c r="AF426" i="2"/>
  <c r="B426" i="2" s="1"/>
  <c r="AF427" i="2"/>
  <c r="B427" i="2" s="1"/>
  <c r="AF428" i="2"/>
  <c r="B428" i="2" s="1"/>
  <c r="AF429" i="2"/>
  <c r="B429" i="2" s="1"/>
  <c r="AF430" i="2"/>
  <c r="B430" i="2" s="1"/>
  <c r="AF431" i="2"/>
  <c r="B431" i="2" s="1"/>
  <c r="AF432" i="2"/>
  <c r="B432" i="2" s="1"/>
  <c r="AF433" i="2"/>
  <c r="B433" i="2" s="1"/>
  <c r="AF434" i="2"/>
  <c r="B434" i="2" s="1"/>
  <c r="AF435" i="2"/>
  <c r="B435" i="2" s="1"/>
  <c r="AF436" i="2"/>
  <c r="B436" i="2" s="1"/>
  <c r="AF437" i="2"/>
  <c r="B437" i="2" s="1"/>
  <c r="AF438" i="2"/>
  <c r="B438" i="2" s="1"/>
  <c r="AF439" i="2"/>
  <c r="B439" i="2" s="1"/>
  <c r="AF440" i="2"/>
  <c r="B440" i="2" s="1"/>
  <c r="AF441" i="2"/>
  <c r="B441" i="2" s="1"/>
  <c r="AF442" i="2"/>
  <c r="B442" i="2" s="1"/>
  <c r="AF443" i="2"/>
  <c r="B443" i="2" s="1"/>
  <c r="AF444" i="2"/>
  <c r="B444" i="2" s="1"/>
  <c r="AF445" i="2"/>
  <c r="B445" i="2" s="1"/>
  <c r="AF446" i="2"/>
  <c r="B446" i="2" s="1"/>
  <c r="AF447" i="2"/>
  <c r="B447" i="2" s="1"/>
  <c r="AF448" i="2"/>
  <c r="B448" i="2" s="1"/>
  <c r="AF449" i="2"/>
  <c r="B449" i="2" s="1"/>
  <c r="AF450" i="2"/>
  <c r="B450" i="2" s="1"/>
  <c r="AF451" i="2"/>
  <c r="B451" i="2" s="1"/>
  <c r="AF452" i="2"/>
  <c r="B452" i="2" s="1"/>
  <c r="AF453" i="2"/>
  <c r="B453" i="2" s="1"/>
  <c r="AF454" i="2"/>
  <c r="B454" i="2" s="1"/>
  <c r="AF455" i="2"/>
  <c r="B455" i="2" s="1"/>
  <c r="AF456" i="2"/>
  <c r="B456" i="2" s="1"/>
  <c r="AF457" i="2"/>
  <c r="B457" i="2" s="1"/>
  <c r="AF458" i="2"/>
  <c r="B458" i="2" s="1"/>
  <c r="AF459" i="2"/>
  <c r="B459" i="2" s="1"/>
  <c r="AF460" i="2"/>
  <c r="B460" i="2" s="1"/>
  <c r="AF461" i="2"/>
  <c r="B461" i="2" s="1"/>
  <c r="AF462" i="2"/>
  <c r="B462" i="2" s="1"/>
  <c r="AF463" i="2"/>
  <c r="B463" i="2" s="1"/>
  <c r="AF464" i="2"/>
  <c r="B464" i="2" s="1"/>
  <c r="AF465" i="2"/>
  <c r="B465" i="2" s="1"/>
  <c r="AF466" i="2"/>
  <c r="B466" i="2" s="1"/>
  <c r="AF467" i="2"/>
  <c r="B467" i="2" s="1"/>
  <c r="AF468" i="2"/>
  <c r="B468" i="2" s="1"/>
  <c r="AF469" i="2"/>
  <c r="B469" i="2" s="1"/>
  <c r="AF470" i="2"/>
  <c r="B470" i="2" s="1"/>
  <c r="AF471" i="2"/>
  <c r="B471" i="2" s="1"/>
  <c r="C465" i="2" l="1"/>
  <c r="S465" i="2"/>
  <c r="Z465" i="2"/>
  <c r="AA465" i="2"/>
  <c r="W465" i="2"/>
  <c r="P465" i="2"/>
  <c r="V465" i="2"/>
  <c r="Y465" i="2"/>
  <c r="T465" i="2"/>
  <c r="R465" i="2"/>
  <c r="X465" i="2"/>
  <c r="U465" i="2"/>
  <c r="Q465" i="2"/>
  <c r="C449" i="2"/>
  <c r="AA449" i="2"/>
  <c r="W449" i="2"/>
  <c r="P449" i="2"/>
  <c r="T449" i="2"/>
  <c r="Z449" i="2"/>
  <c r="X449" i="2"/>
  <c r="V449" i="2"/>
  <c r="Y449" i="2"/>
  <c r="S449" i="2"/>
  <c r="U449" i="2"/>
  <c r="R449" i="2"/>
  <c r="Q449" i="2"/>
  <c r="C421" i="2"/>
  <c r="AA421" i="2"/>
  <c r="Z421" i="2"/>
  <c r="W421" i="2"/>
  <c r="P421" i="2"/>
  <c r="T421" i="2"/>
  <c r="R421" i="2"/>
  <c r="X421" i="2"/>
  <c r="Y421" i="2"/>
  <c r="V421" i="2"/>
  <c r="U421" i="2"/>
  <c r="S421" i="2"/>
  <c r="Q421" i="2"/>
  <c r="C405" i="2"/>
  <c r="AA405" i="2"/>
  <c r="Z405" i="2"/>
  <c r="W405" i="2"/>
  <c r="P405" i="2"/>
  <c r="T405" i="2"/>
  <c r="R405" i="2"/>
  <c r="X405" i="2"/>
  <c r="Y405" i="2"/>
  <c r="V405" i="2"/>
  <c r="U405" i="2"/>
  <c r="S405" i="2"/>
  <c r="Q405" i="2"/>
  <c r="C389" i="2"/>
  <c r="AA389" i="2"/>
  <c r="Z389" i="2"/>
  <c r="W389" i="2"/>
  <c r="P389" i="2"/>
  <c r="T389" i="2"/>
  <c r="R389" i="2"/>
  <c r="X389" i="2"/>
  <c r="Y389" i="2"/>
  <c r="V389" i="2"/>
  <c r="U389" i="2"/>
  <c r="Q389" i="2"/>
  <c r="S389" i="2"/>
  <c r="C373" i="2"/>
  <c r="AA373" i="2"/>
  <c r="Z373" i="2"/>
  <c r="W373" i="2"/>
  <c r="P373" i="2"/>
  <c r="T373" i="2"/>
  <c r="R373" i="2"/>
  <c r="X373" i="2"/>
  <c r="Y373" i="2"/>
  <c r="V373" i="2"/>
  <c r="U373" i="2"/>
  <c r="S373" i="2"/>
  <c r="Q373" i="2"/>
  <c r="C357" i="2"/>
  <c r="S357" i="2"/>
  <c r="AA357" i="2"/>
  <c r="W357" i="2"/>
  <c r="P357" i="2"/>
  <c r="R357" i="2"/>
  <c r="Z357" i="2"/>
  <c r="X357" i="2"/>
  <c r="Y357" i="2"/>
  <c r="U357" i="2"/>
  <c r="T357" i="2"/>
  <c r="V357" i="2"/>
  <c r="Q357" i="2"/>
  <c r="C341" i="2"/>
  <c r="W341" i="2"/>
  <c r="S341" i="2"/>
  <c r="AA341" i="2"/>
  <c r="P341" i="2"/>
  <c r="R341" i="2"/>
  <c r="Z341" i="2"/>
  <c r="X341" i="2"/>
  <c r="Y341" i="2"/>
  <c r="U341" i="2"/>
  <c r="V341" i="2"/>
  <c r="Q341" i="2"/>
  <c r="T341" i="2"/>
  <c r="C325" i="2"/>
  <c r="S325" i="2"/>
  <c r="AA325" i="2"/>
  <c r="W325" i="2"/>
  <c r="P325" i="2"/>
  <c r="R325" i="2"/>
  <c r="Z325" i="2"/>
  <c r="X325" i="2"/>
  <c r="Y325" i="2"/>
  <c r="U325" i="2"/>
  <c r="V325" i="2"/>
  <c r="Q325" i="2"/>
  <c r="T325" i="2"/>
  <c r="C309" i="2"/>
  <c r="S309" i="2"/>
  <c r="AA309" i="2"/>
  <c r="W309" i="2"/>
  <c r="P309" i="2"/>
  <c r="R309" i="2"/>
  <c r="Z309" i="2"/>
  <c r="X309" i="2"/>
  <c r="Y309" i="2"/>
  <c r="U309" i="2"/>
  <c r="T309" i="2"/>
  <c r="V309" i="2"/>
  <c r="Q309" i="2"/>
  <c r="C305" i="2"/>
  <c r="S305" i="2"/>
  <c r="AA305" i="2"/>
  <c r="W305" i="2"/>
  <c r="Z305" i="2"/>
  <c r="R305" i="2"/>
  <c r="T305" i="2"/>
  <c r="X305" i="2"/>
  <c r="Y305" i="2"/>
  <c r="U305" i="2"/>
  <c r="V305" i="2"/>
  <c r="Q305" i="2"/>
  <c r="P305" i="2"/>
  <c r="C301" i="2"/>
  <c r="AA301" i="2"/>
  <c r="W301" i="2"/>
  <c r="R301" i="2"/>
  <c r="T301" i="2"/>
  <c r="S301" i="2"/>
  <c r="P301" i="2"/>
  <c r="X301" i="2"/>
  <c r="Y301" i="2"/>
  <c r="U301" i="2"/>
  <c r="Q301" i="2"/>
  <c r="Z301" i="2"/>
  <c r="V301" i="2"/>
  <c r="C457" i="2"/>
  <c r="S457" i="2"/>
  <c r="P457" i="2"/>
  <c r="T457" i="2"/>
  <c r="AA457" i="2"/>
  <c r="R457" i="2"/>
  <c r="X457" i="2"/>
  <c r="V457" i="2"/>
  <c r="Y457" i="2"/>
  <c r="U457" i="2"/>
  <c r="Z457" i="2"/>
  <c r="W457" i="2"/>
  <c r="Q457" i="2"/>
  <c r="C437" i="2"/>
  <c r="AA437" i="2"/>
  <c r="Z437" i="2"/>
  <c r="W437" i="2"/>
  <c r="P437" i="2"/>
  <c r="T437" i="2"/>
  <c r="R437" i="2"/>
  <c r="X437" i="2"/>
  <c r="Y437" i="2"/>
  <c r="V437" i="2"/>
  <c r="U437" i="2"/>
  <c r="S437" i="2"/>
  <c r="Q437" i="2"/>
  <c r="C425" i="2"/>
  <c r="AA425" i="2"/>
  <c r="W425" i="2"/>
  <c r="P425" i="2"/>
  <c r="T425" i="2"/>
  <c r="S425" i="2"/>
  <c r="R425" i="2"/>
  <c r="X425" i="2"/>
  <c r="Y425" i="2"/>
  <c r="Z425" i="2"/>
  <c r="U425" i="2"/>
  <c r="V425" i="2"/>
  <c r="Q425" i="2"/>
  <c r="C409" i="2"/>
  <c r="AA409" i="2"/>
  <c r="W409" i="2"/>
  <c r="P409" i="2"/>
  <c r="T409" i="2"/>
  <c r="S409" i="2"/>
  <c r="Z409" i="2"/>
  <c r="R409" i="2"/>
  <c r="X409" i="2"/>
  <c r="Y409" i="2"/>
  <c r="U409" i="2"/>
  <c r="V409" i="2"/>
  <c r="Q409" i="2"/>
  <c r="C393" i="2"/>
  <c r="AA393" i="2"/>
  <c r="W393" i="2"/>
  <c r="P393" i="2"/>
  <c r="T393" i="2"/>
  <c r="S393" i="2"/>
  <c r="R393" i="2"/>
  <c r="X393" i="2"/>
  <c r="Y393" i="2"/>
  <c r="Z393" i="2"/>
  <c r="U393" i="2"/>
  <c r="V393" i="2"/>
  <c r="Q393" i="2"/>
  <c r="C377" i="2"/>
  <c r="AA377" i="2"/>
  <c r="W377" i="2"/>
  <c r="P377" i="2"/>
  <c r="T377" i="2"/>
  <c r="S377" i="2"/>
  <c r="Z377" i="2"/>
  <c r="R377" i="2"/>
  <c r="X377" i="2"/>
  <c r="Y377" i="2"/>
  <c r="U377" i="2"/>
  <c r="V377" i="2"/>
  <c r="Q377" i="2"/>
  <c r="C361" i="2"/>
  <c r="W361" i="2"/>
  <c r="S361" i="2"/>
  <c r="T361" i="2"/>
  <c r="R361" i="2"/>
  <c r="P361" i="2"/>
  <c r="AA361" i="2"/>
  <c r="Z361" i="2"/>
  <c r="X361" i="2"/>
  <c r="Y361" i="2"/>
  <c r="U361" i="2"/>
  <c r="Q361" i="2"/>
  <c r="V361" i="2"/>
  <c r="C345" i="2"/>
  <c r="S345" i="2"/>
  <c r="T345" i="2"/>
  <c r="R345" i="2"/>
  <c r="AA345" i="2"/>
  <c r="W345" i="2"/>
  <c r="P345" i="2"/>
  <c r="Z345" i="2"/>
  <c r="X345" i="2"/>
  <c r="Y345" i="2"/>
  <c r="U345" i="2"/>
  <c r="Q345" i="2"/>
  <c r="V345" i="2"/>
  <c r="C329" i="2"/>
  <c r="W329" i="2"/>
  <c r="S329" i="2"/>
  <c r="T329" i="2"/>
  <c r="AA329" i="2"/>
  <c r="R329" i="2"/>
  <c r="P329" i="2"/>
  <c r="Z329" i="2"/>
  <c r="X329" i="2"/>
  <c r="Y329" i="2"/>
  <c r="U329" i="2"/>
  <c r="Q329" i="2"/>
  <c r="V329" i="2"/>
  <c r="C313" i="2"/>
  <c r="W313" i="2"/>
  <c r="S313" i="2"/>
  <c r="T313" i="2"/>
  <c r="R313" i="2"/>
  <c r="P313" i="2"/>
  <c r="Z313" i="2"/>
  <c r="X313" i="2"/>
  <c r="Y313" i="2"/>
  <c r="U313" i="2"/>
  <c r="AA313" i="2"/>
  <c r="Q313" i="2"/>
  <c r="V313" i="2"/>
  <c r="C468" i="2"/>
  <c r="AA468" i="2"/>
  <c r="W468" i="2"/>
  <c r="P468" i="2"/>
  <c r="T468" i="2"/>
  <c r="Z468" i="2"/>
  <c r="R468" i="2"/>
  <c r="X468" i="2"/>
  <c r="Y468" i="2"/>
  <c r="V468" i="2"/>
  <c r="Q468" i="2"/>
  <c r="U468" i="2"/>
  <c r="S468" i="2"/>
  <c r="C452" i="2"/>
  <c r="P452" i="2"/>
  <c r="T452" i="2"/>
  <c r="S452" i="2"/>
  <c r="Z452" i="2"/>
  <c r="R452" i="2"/>
  <c r="X452" i="2"/>
  <c r="Y452" i="2"/>
  <c r="AA452" i="2"/>
  <c r="W452" i="2"/>
  <c r="V452" i="2"/>
  <c r="Q452" i="2"/>
  <c r="U452" i="2"/>
  <c r="C436" i="2"/>
  <c r="W436" i="2"/>
  <c r="P436" i="2"/>
  <c r="T436" i="2"/>
  <c r="S436" i="2"/>
  <c r="AA436" i="2"/>
  <c r="Z436" i="2"/>
  <c r="R436" i="2"/>
  <c r="X436" i="2"/>
  <c r="Y436" i="2"/>
  <c r="V436" i="2"/>
  <c r="Q436" i="2"/>
  <c r="U436" i="2"/>
  <c r="C416" i="2"/>
  <c r="W416" i="2"/>
  <c r="P416" i="2"/>
  <c r="T416" i="2"/>
  <c r="S416" i="2"/>
  <c r="X416" i="2"/>
  <c r="Y416" i="2"/>
  <c r="Z416" i="2"/>
  <c r="V416" i="2"/>
  <c r="AA416" i="2"/>
  <c r="U416" i="2"/>
  <c r="R416" i="2"/>
  <c r="Q416" i="2"/>
  <c r="C404" i="2"/>
  <c r="W404" i="2"/>
  <c r="P404" i="2"/>
  <c r="T404" i="2"/>
  <c r="S404" i="2"/>
  <c r="AA404" i="2"/>
  <c r="R404" i="2"/>
  <c r="X404" i="2"/>
  <c r="Y404" i="2"/>
  <c r="Z404" i="2"/>
  <c r="Q404" i="2"/>
  <c r="V404" i="2"/>
  <c r="U404" i="2"/>
  <c r="C384" i="2"/>
  <c r="W384" i="2"/>
  <c r="P384" i="2"/>
  <c r="T384" i="2"/>
  <c r="S384" i="2"/>
  <c r="Z384" i="2"/>
  <c r="X384" i="2"/>
  <c r="Y384" i="2"/>
  <c r="V384" i="2"/>
  <c r="U384" i="2"/>
  <c r="R384" i="2"/>
  <c r="Q384" i="2"/>
  <c r="AA384" i="2"/>
  <c r="C364" i="2"/>
  <c r="AA364" i="2"/>
  <c r="W364" i="2"/>
  <c r="T364" i="2"/>
  <c r="Z364" i="2"/>
  <c r="S364" i="2"/>
  <c r="P364" i="2"/>
  <c r="Y364" i="2"/>
  <c r="V364" i="2"/>
  <c r="R364" i="2"/>
  <c r="Q364" i="2"/>
  <c r="X364" i="2"/>
  <c r="U364" i="2"/>
  <c r="C340" i="2"/>
  <c r="AA340" i="2"/>
  <c r="S340" i="2"/>
  <c r="T340" i="2"/>
  <c r="P340" i="2"/>
  <c r="Z340" i="2"/>
  <c r="X340" i="2"/>
  <c r="Y340" i="2"/>
  <c r="W340" i="2"/>
  <c r="V340" i="2"/>
  <c r="Q340" i="2"/>
  <c r="R340" i="2"/>
  <c r="U340" i="2"/>
  <c r="C316" i="2"/>
  <c r="W316" i="2"/>
  <c r="T316" i="2"/>
  <c r="AA316" i="2"/>
  <c r="S316" i="2"/>
  <c r="P316" i="2"/>
  <c r="Z316" i="2"/>
  <c r="X316" i="2"/>
  <c r="Y316" i="2"/>
  <c r="V316" i="2"/>
  <c r="R316" i="2"/>
  <c r="Q316" i="2"/>
  <c r="U316" i="2"/>
  <c r="C453" i="2"/>
  <c r="AA453" i="2"/>
  <c r="W453" i="2"/>
  <c r="S453" i="2"/>
  <c r="P453" i="2"/>
  <c r="T453" i="2"/>
  <c r="X453" i="2"/>
  <c r="Y453" i="2"/>
  <c r="Z453" i="2"/>
  <c r="R453" i="2"/>
  <c r="U453" i="2"/>
  <c r="V453" i="2"/>
  <c r="Q453" i="2"/>
  <c r="C441" i="2"/>
  <c r="AA441" i="2"/>
  <c r="W441" i="2"/>
  <c r="P441" i="2"/>
  <c r="T441" i="2"/>
  <c r="S441" i="2"/>
  <c r="Z441" i="2"/>
  <c r="R441" i="2"/>
  <c r="X441" i="2"/>
  <c r="Y441" i="2"/>
  <c r="U441" i="2"/>
  <c r="Q441" i="2"/>
  <c r="V441" i="2"/>
  <c r="C429" i="2"/>
  <c r="AA429" i="2"/>
  <c r="W429" i="2"/>
  <c r="P429" i="2"/>
  <c r="T429" i="2"/>
  <c r="Z429" i="2"/>
  <c r="V429" i="2"/>
  <c r="S429" i="2"/>
  <c r="X429" i="2"/>
  <c r="Y429" i="2"/>
  <c r="R429" i="2"/>
  <c r="U429" i="2"/>
  <c r="Q429" i="2"/>
  <c r="C413" i="2"/>
  <c r="AA413" i="2"/>
  <c r="W413" i="2"/>
  <c r="P413" i="2"/>
  <c r="T413" i="2"/>
  <c r="Z413" i="2"/>
  <c r="V413" i="2"/>
  <c r="S413" i="2"/>
  <c r="X413" i="2"/>
  <c r="Y413" i="2"/>
  <c r="R413" i="2"/>
  <c r="U413" i="2"/>
  <c r="Q413" i="2"/>
  <c r="C397" i="2"/>
  <c r="AA397" i="2"/>
  <c r="W397" i="2"/>
  <c r="P397" i="2"/>
  <c r="T397" i="2"/>
  <c r="Z397" i="2"/>
  <c r="V397" i="2"/>
  <c r="S397" i="2"/>
  <c r="X397" i="2"/>
  <c r="Y397" i="2"/>
  <c r="R397" i="2"/>
  <c r="U397" i="2"/>
  <c r="Q397" i="2"/>
  <c r="C381" i="2"/>
  <c r="AA381" i="2"/>
  <c r="W381" i="2"/>
  <c r="P381" i="2"/>
  <c r="T381" i="2"/>
  <c r="Z381" i="2"/>
  <c r="V381" i="2"/>
  <c r="S381" i="2"/>
  <c r="X381" i="2"/>
  <c r="Y381" i="2"/>
  <c r="R381" i="2"/>
  <c r="U381" i="2"/>
  <c r="Q381" i="2"/>
  <c r="C365" i="2"/>
  <c r="T365" i="2"/>
  <c r="W365" i="2"/>
  <c r="P365" i="2"/>
  <c r="R365" i="2"/>
  <c r="S365" i="2"/>
  <c r="X365" i="2"/>
  <c r="AA365" i="2"/>
  <c r="Y365" i="2"/>
  <c r="U365" i="2"/>
  <c r="V365" i="2"/>
  <c r="Q365" i="2"/>
  <c r="Z365" i="2"/>
  <c r="C349" i="2"/>
  <c r="AA349" i="2"/>
  <c r="S349" i="2"/>
  <c r="R349" i="2"/>
  <c r="T349" i="2"/>
  <c r="W349" i="2"/>
  <c r="P349" i="2"/>
  <c r="X349" i="2"/>
  <c r="Y349" i="2"/>
  <c r="U349" i="2"/>
  <c r="Z349" i="2"/>
  <c r="Q349" i="2"/>
  <c r="V349" i="2"/>
  <c r="C333" i="2"/>
  <c r="AA333" i="2"/>
  <c r="W333" i="2"/>
  <c r="R333" i="2"/>
  <c r="T333" i="2"/>
  <c r="P333" i="2"/>
  <c r="X333" i="2"/>
  <c r="Y333" i="2"/>
  <c r="U333" i="2"/>
  <c r="Z333" i="2"/>
  <c r="V333" i="2"/>
  <c r="S333" i="2"/>
  <c r="Q333" i="2"/>
  <c r="C321" i="2"/>
  <c r="W321" i="2"/>
  <c r="S321" i="2"/>
  <c r="AA321" i="2"/>
  <c r="Z321" i="2"/>
  <c r="R321" i="2"/>
  <c r="T321" i="2"/>
  <c r="X321" i="2"/>
  <c r="Y321" i="2"/>
  <c r="U321" i="2"/>
  <c r="V321" i="2"/>
  <c r="Q321" i="2"/>
  <c r="P321" i="2"/>
  <c r="C460" i="2"/>
  <c r="AA460" i="2"/>
  <c r="W460" i="2"/>
  <c r="P460" i="2"/>
  <c r="T460" i="2"/>
  <c r="S460" i="2"/>
  <c r="R460" i="2"/>
  <c r="X460" i="2"/>
  <c r="Z460" i="2"/>
  <c r="U460" i="2"/>
  <c r="Y460" i="2"/>
  <c r="V460" i="2"/>
  <c r="Q460" i="2"/>
  <c r="C448" i="2"/>
  <c r="W448" i="2"/>
  <c r="P448" i="2"/>
  <c r="T448" i="2"/>
  <c r="S448" i="2"/>
  <c r="X448" i="2"/>
  <c r="Y448" i="2"/>
  <c r="Z448" i="2"/>
  <c r="V448" i="2"/>
  <c r="R448" i="2"/>
  <c r="Q448" i="2"/>
  <c r="AA448" i="2"/>
  <c r="U448" i="2"/>
  <c r="C440" i="2"/>
  <c r="W440" i="2"/>
  <c r="P440" i="2"/>
  <c r="T440" i="2"/>
  <c r="S440" i="2"/>
  <c r="X440" i="2"/>
  <c r="V440" i="2"/>
  <c r="Y440" i="2"/>
  <c r="AA440" i="2"/>
  <c r="R440" i="2"/>
  <c r="Z440" i="2"/>
  <c r="Q440" i="2"/>
  <c r="U440" i="2"/>
  <c r="C428" i="2"/>
  <c r="W428" i="2"/>
  <c r="P428" i="2"/>
  <c r="T428" i="2"/>
  <c r="S428" i="2"/>
  <c r="Z428" i="2"/>
  <c r="X428" i="2"/>
  <c r="Y428" i="2"/>
  <c r="V428" i="2"/>
  <c r="AA428" i="2"/>
  <c r="R428" i="2"/>
  <c r="U428" i="2"/>
  <c r="Q428" i="2"/>
  <c r="C424" i="2"/>
  <c r="W424" i="2"/>
  <c r="P424" i="2"/>
  <c r="T424" i="2"/>
  <c r="S424" i="2"/>
  <c r="Z424" i="2"/>
  <c r="X424" i="2"/>
  <c r="V424" i="2"/>
  <c r="Y424" i="2"/>
  <c r="AA424" i="2"/>
  <c r="R424" i="2"/>
  <c r="U424" i="2"/>
  <c r="Q424" i="2"/>
  <c r="C412" i="2"/>
  <c r="W412" i="2"/>
  <c r="P412" i="2"/>
  <c r="Z412" i="2"/>
  <c r="T412" i="2"/>
  <c r="S412" i="2"/>
  <c r="X412" i="2"/>
  <c r="Y412" i="2"/>
  <c r="V412" i="2"/>
  <c r="AA412" i="2"/>
  <c r="R412" i="2"/>
  <c r="Q412" i="2"/>
  <c r="U412" i="2"/>
  <c r="C400" i="2"/>
  <c r="W400" i="2"/>
  <c r="P400" i="2"/>
  <c r="T400" i="2"/>
  <c r="S400" i="2"/>
  <c r="Z400" i="2"/>
  <c r="X400" i="2"/>
  <c r="Y400" i="2"/>
  <c r="V400" i="2"/>
  <c r="U400" i="2"/>
  <c r="Q400" i="2"/>
  <c r="R400" i="2"/>
  <c r="AA400" i="2"/>
  <c r="C392" i="2"/>
  <c r="W392" i="2"/>
  <c r="P392" i="2"/>
  <c r="Z392" i="2"/>
  <c r="T392" i="2"/>
  <c r="S392" i="2"/>
  <c r="X392" i="2"/>
  <c r="V392" i="2"/>
  <c r="Y392" i="2"/>
  <c r="AA392" i="2"/>
  <c r="R392" i="2"/>
  <c r="U392" i="2"/>
  <c r="Q392" i="2"/>
  <c r="C380" i="2"/>
  <c r="W380" i="2"/>
  <c r="P380" i="2"/>
  <c r="T380" i="2"/>
  <c r="S380" i="2"/>
  <c r="Z380" i="2"/>
  <c r="X380" i="2"/>
  <c r="Y380" i="2"/>
  <c r="V380" i="2"/>
  <c r="AA380" i="2"/>
  <c r="R380" i="2"/>
  <c r="Q380" i="2"/>
  <c r="U380" i="2"/>
  <c r="C372" i="2"/>
  <c r="W372" i="2"/>
  <c r="P372" i="2"/>
  <c r="Z372" i="2"/>
  <c r="T372" i="2"/>
  <c r="S372" i="2"/>
  <c r="AA372" i="2"/>
  <c r="R372" i="2"/>
  <c r="X372" i="2"/>
  <c r="Y372" i="2"/>
  <c r="V372" i="2"/>
  <c r="Q372" i="2"/>
  <c r="U372" i="2"/>
  <c r="C356" i="2"/>
  <c r="AA356" i="2"/>
  <c r="S356" i="2"/>
  <c r="T356" i="2"/>
  <c r="P356" i="2"/>
  <c r="Z356" i="2"/>
  <c r="X356" i="2"/>
  <c r="Y356" i="2"/>
  <c r="V356" i="2"/>
  <c r="Q356" i="2"/>
  <c r="W356" i="2"/>
  <c r="R356" i="2"/>
  <c r="U356" i="2"/>
  <c r="C348" i="2"/>
  <c r="S348" i="2"/>
  <c r="W348" i="2"/>
  <c r="T348" i="2"/>
  <c r="AA348" i="2"/>
  <c r="P348" i="2"/>
  <c r="Z348" i="2"/>
  <c r="X348" i="2"/>
  <c r="Y348" i="2"/>
  <c r="V348" i="2"/>
  <c r="R348" i="2"/>
  <c r="Q348" i="2"/>
  <c r="U348" i="2"/>
  <c r="C336" i="2"/>
  <c r="T336" i="2"/>
  <c r="W336" i="2"/>
  <c r="S336" i="2"/>
  <c r="P336" i="2"/>
  <c r="Z336" i="2"/>
  <c r="X336" i="2"/>
  <c r="Y336" i="2"/>
  <c r="V336" i="2"/>
  <c r="U336" i="2"/>
  <c r="Q336" i="2"/>
  <c r="R336" i="2"/>
  <c r="AA336" i="2"/>
  <c r="C328" i="2"/>
  <c r="W328" i="2"/>
  <c r="AA328" i="2"/>
  <c r="T328" i="2"/>
  <c r="P328" i="2"/>
  <c r="Z328" i="2"/>
  <c r="X328" i="2"/>
  <c r="Y328" i="2"/>
  <c r="V328" i="2"/>
  <c r="U328" i="2"/>
  <c r="Q328" i="2"/>
  <c r="R328" i="2"/>
  <c r="S328" i="2"/>
  <c r="C320" i="2"/>
  <c r="S320" i="2"/>
  <c r="T320" i="2"/>
  <c r="W320" i="2"/>
  <c r="P320" i="2"/>
  <c r="Z320" i="2"/>
  <c r="X320" i="2"/>
  <c r="Y320" i="2"/>
  <c r="AA320" i="2"/>
  <c r="V320" i="2"/>
  <c r="U320" i="2"/>
  <c r="Q320" i="2"/>
  <c r="R320" i="2"/>
  <c r="C312" i="2"/>
  <c r="W312" i="2"/>
  <c r="AA312" i="2"/>
  <c r="T312" i="2"/>
  <c r="S312" i="2"/>
  <c r="P312" i="2"/>
  <c r="Z312" i="2"/>
  <c r="X312" i="2"/>
  <c r="Y312" i="2"/>
  <c r="V312" i="2"/>
  <c r="U312" i="2"/>
  <c r="Q312" i="2"/>
  <c r="R312" i="2"/>
  <c r="C304" i="2"/>
  <c r="T304" i="2"/>
  <c r="W304" i="2"/>
  <c r="S304" i="2"/>
  <c r="P304" i="2"/>
  <c r="Z304" i="2"/>
  <c r="AA304" i="2"/>
  <c r="X304" i="2"/>
  <c r="Y304" i="2"/>
  <c r="V304" i="2"/>
  <c r="U304" i="2"/>
  <c r="Q304" i="2"/>
  <c r="R304" i="2"/>
  <c r="C471" i="2"/>
  <c r="W471" i="2"/>
  <c r="P471" i="2"/>
  <c r="T471" i="2"/>
  <c r="S471" i="2"/>
  <c r="Z471" i="2"/>
  <c r="R471" i="2"/>
  <c r="X471" i="2"/>
  <c r="Y471" i="2"/>
  <c r="AA471" i="2"/>
  <c r="V471" i="2"/>
  <c r="U471" i="2"/>
  <c r="Q471" i="2"/>
  <c r="C467" i="2"/>
  <c r="W467" i="2"/>
  <c r="P467" i="2"/>
  <c r="T467" i="2"/>
  <c r="S467" i="2"/>
  <c r="Z467" i="2"/>
  <c r="AA467" i="2"/>
  <c r="R467" i="2"/>
  <c r="X467" i="2"/>
  <c r="V467" i="2"/>
  <c r="Y467" i="2"/>
  <c r="U467" i="2"/>
  <c r="Q467" i="2"/>
  <c r="C463" i="2"/>
  <c r="W463" i="2"/>
  <c r="P463" i="2"/>
  <c r="T463" i="2"/>
  <c r="S463" i="2"/>
  <c r="Z463" i="2"/>
  <c r="R463" i="2"/>
  <c r="X463" i="2"/>
  <c r="V463" i="2"/>
  <c r="Y463" i="2"/>
  <c r="U463" i="2"/>
  <c r="AA463" i="2"/>
  <c r="Q463" i="2"/>
  <c r="C459" i="2"/>
  <c r="W459" i="2"/>
  <c r="P459" i="2"/>
  <c r="T459" i="2"/>
  <c r="S459" i="2"/>
  <c r="Z459" i="2"/>
  <c r="R459" i="2"/>
  <c r="X459" i="2"/>
  <c r="Y459" i="2"/>
  <c r="AA459" i="2"/>
  <c r="V459" i="2"/>
  <c r="U459" i="2"/>
  <c r="Q459" i="2"/>
  <c r="C455" i="2"/>
  <c r="T455" i="2"/>
  <c r="AA455" i="2"/>
  <c r="W455" i="2"/>
  <c r="Z455" i="2"/>
  <c r="P455" i="2"/>
  <c r="V455" i="2"/>
  <c r="X455" i="2"/>
  <c r="Q455" i="2"/>
  <c r="S455" i="2"/>
  <c r="Y455" i="2"/>
  <c r="U455" i="2"/>
  <c r="R455" i="2"/>
  <c r="C451" i="2"/>
  <c r="T451" i="2"/>
  <c r="W451" i="2"/>
  <c r="Z451" i="2"/>
  <c r="S451" i="2"/>
  <c r="AA451" i="2"/>
  <c r="R451" i="2"/>
  <c r="V451" i="2"/>
  <c r="Y451" i="2"/>
  <c r="Q451" i="2"/>
  <c r="U451" i="2"/>
  <c r="P451" i="2"/>
  <c r="X451" i="2"/>
  <c r="C447" i="2"/>
  <c r="T447" i="2"/>
  <c r="S447" i="2"/>
  <c r="Z447" i="2"/>
  <c r="AA447" i="2"/>
  <c r="W447" i="2"/>
  <c r="R447" i="2"/>
  <c r="P447" i="2"/>
  <c r="V447" i="2"/>
  <c r="Q447" i="2"/>
  <c r="Y447" i="2"/>
  <c r="X447" i="2"/>
  <c r="U447" i="2"/>
  <c r="C443" i="2"/>
  <c r="T443" i="2"/>
  <c r="Z443" i="2"/>
  <c r="S443" i="2"/>
  <c r="AA443" i="2"/>
  <c r="P443" i="2"/>
  <c r="Q443" i="2"/>
  <c r="X443" i="2"/>
  <c r="W443" i="2"/>
  <c r="R443" i="2"/>
  <c r="Y443" i="2"/>
  <c r="U443" i="2"/>
  <c r="V443" i="2"/>
  <c r="C439" i="2"/>
  <c r="T439" i="2"/>
  <c r="S439" i="2"/>
  <c r="AA439" i="2"/>
  <c r="P439" i="2"/>
  <c r="Z439" i="2"/>
  <c r="V439" i="2"/>
  <c r="W439" i="2"/>
  <c r="R439" i="2"/>
  <c r="X439" i="2"/>
  <c r="Q439" i="2"/>
  <c r="Y439" i="2"/>
  <c r="U439" i="2"/>
  <c r="C435" i="2"/>
  <c r="T435" i="2"/>
  <c r="S435" i="2"/>
  <c r="AA435" i="2"/>
  <c r="Z435" i="2"/>
  <c r="W435" i="2"/>
  <c r="R435" i="2"/>
  <c r="V435" i="2"/>
  <c r="Y435" i="2"/>
  <c r="Q435" i="2"/>
  <c r="X435" i="2"/>
  <c r="P435" i="2"/>
  <c r="U435" i="2"/>
  <c r="C431" i="2"/>
  <c r="T431" i="2"/>
  <c r="S431" i="2"/>
  <c r="Z431" i="2"/>
  <c r="AA431" i="2"/>
  <c r="W431" i="2"/>
  <c r="R431" i="2"/>
  <c r="V431" i="2"/>
  <c r="P431" i="2"/>
  <c r="Q431" i="2"/>
  <c r="X431" i="2"/>
  <c r="U431" i="2"/>
  <c r="Y431" i="2"/>
  <c r="C427" i="2"/>
  <c r="T427" i="2"/>
  <c r="Z427" i="2"/>
  <c r="S427" i="2"/>
  <c r="AA427" i="2"/>
  <c r="P427" i="2"/>
  <c r="V427" i="2"/>
  <c r="Q427" i="2"/>
  <c r="W427" i="2"/>
  <c r="R427" i="2"/>
  <c r="X427" i="2"/>
  <c r="Y427" i="2"/>
  <c r="U427" i="2"/>
  <c r="C423" i="2"/>
  <c r="T423" i="2"/>
  <c r="S423" i="2"/>
  <c r="AA423" i="2"/>
  <c r="P423" i="2"/>
  <c r="W423" i="2"/>
  <c r="R423" i="2"/>
  <c r="X423" i="2"/>
  <c r="V423" i="2"/>
  <c r="U423" i="2"/>
  <c r="Q423" i="2"/>
  <c r="Y423" i="2"/>
  <c r="Z423" i="2"/>
  <c r="C419" i="2"/>
  <c r="T419" i="2"/>
  <c r="S419" i="2"/>
  <c r="AA419" i="2"/>
  <c r="Z419" i="2"/>
  <c r="V419" i="2"/>
  <c r="U419" i="2"/>
  <c r="W419" i="2"/>
  <c r="R419" i="2"/>
  <c r="Y419" i="2"/>
  <c r="Q419" i="2"/>
  <c r="P419" i="2"/>
  <c r="X419" i="2"/>
  <c r="C415" i="2"/>
  <c r="T415" i="2"/>
  <c r="S415" i="2"/>
  <c r="Z415" i="2"/>
  <c r="AA415" i="2"/>
  <c r="W415" i="2"/>
  <c r="R415" i="2"/>
  <c r="V415" i="2"/>
  <c r="U415" i="2"/>
  <c r="P415" i="2"/>
  <c r="Q415" i="2"/>
  <c r="Y415" i="2"/>
  <c r="X415" i="2"/>
  <c r="C411" i="2"/>
  <c r="T411" i="2"/>
  <c r="Z411" i="2"/>
  <c r="S411" i="2"/>
  <c r="AA411" i="2"/>
  <c r="U411" i="2"/>
  <c r="P411" i="2"/>
  <c r="V411" i="2"/>
  <c r="W411" i="2"/>
  <c r="R411" i="2"/>
  <c r="Q411" i="2"/>
  <c r="X411" i="2"/>
  <c r="Y411" i="2"/>
  <c r="C407" i="2"/>
  <c r="T407" i="2"/>
  <c r="S407" i="2"/>
  <c r="AA407" i="2"/>
  <c r="P407" i="2"/>
  <c r="U407" i="2"/>
  <c r="W407" i="2"/>
  <c r="Z407" i="2"/>
  <c r="R407" i="2"/>
  <c r="V407" i="2"/>
  <c r="X407" i="2"/>
  <c r="Q407" i="2"/>
  <c r="Y407" i="2"/>
  <c r="C403" i="2"/>
  <c r="T403" i="2"/>
  <c r="S403" i="2"/>
  <c r="AA403" i="2"/>
  <c r="Z403" i="2"/>
  <c r="U403" i="2"/>
  <c r="W403" i="2"/>
  <c r="R403" i="2"/>
  <c r="P403" i="2"/>
  <c r="Y403" i="2"/>
  <c r="Q403" i="2"/>
  <c r="V403" i="2"/>
  <c r="X403" i="2"/>
  <c r="C399" i="2"/>
  <c r="T399" i="2"/>
  <c r="S399" i="2"/>
  <c r="Z399" i="2"/>
  <c r="AA399" i="2"/>
  <c r="W399" i="2"/>
  <c r="R399" i="2"/>
  <c r="V399" i="2"/>
  <c r="U399" i="2"/>
  <c r="P399" i="2"/>
  <c r="Q399" i="2"/>
  <c r="Y399" i="2"/>
  <c r="X399" i="2"/>
  <c r="C395" i="2"/>
  <c r="T395" i="2"/>
  <c r="Z395" i="2"/>
  <c r="S395" i="2"/>
  <c r="AA395" i="2"/>
  <c r="V395" i="2"/>
  <c r="U395" i="2"/>
  <c r="P395" i="2"/>
  <c r="Q395" i="2"/>
  <c r="X395" i="2"/>
  <c r="R395" i="2"/>
  <c r="Y395" i="2"/>
  <c r="W395" i="2"/>
  <c r="C391" i="2"/>
  <c r="T391" i="2"/>
  <c r="S391" i="2"/>
  <c r="AA391" i="2"/>
  <c r="P391" i="2"/>
  <c r="U391" i="2"/>
  <c r="Z391" i="2"/>
  <c r="V391" i="2"/>
  <c r="W391" i="2"/>
  <c r="R391" i="2"/>
  <c r="X391" i="2"/>
  <c r="Q391" i="2"/>
  <c r="Y391" i="2"/>
  <c r="C387" i="2"/>
  <c r="T387" i="2"/>
  <c r="S387" i="2"/>
  <c r="AA387" i="2"/>
  <c r="Z387" i="2"/>
  <c r="U387" i="2"/>
  <c r="W387" i="2"/>
  <c r="R387" i="2"/>
  <c r="V387" i="2"/>
  <c r="Y387" i="2"/>
  <c r="Q387" i="2"/>
  <c r="P387" i="2"/>
  <c r="X387" i="2"/>
  <c r="C383" i="2"/>
  <c r="T383" i="2"/>
  <c r="S383" i="2"/>
  <c r="Z383" i="2"/>
  <c r="AA383" i="2"/>
  <c r="W383" i="2"/>
  <c r="R383" i="2"/>
  <c r="U383" i="2"/>
  <c r="V383" i="2"/>
  <c r="P383" i="2"/>
  <c r="Q383" i="2"/>
  <c r="X383" i="2"/>
  <c r="Y383" i="2"/>
  <c r="C379" i="2"/>
  <c r="T379" i="2"/>
  <c r="Z379" i="2"/>
  <c r="S379" i="2"/>
  <c r="AA379" i="2"/>
  <c r="U379" i="2"/>
  <c r="P379" i="2"/>
  <c r="Q379" i="2"/>
  <c r="X379" i="2"/>
  <c r="W379" i="2"/>
  <c r="R379" i="2"/>
  <c r="V379" i="2"/>
  <c r="Y379" i="2"/>
  <c r="C375" i="2"/>
  <c r="T375" i="2"/>
  <c r="S375" i="2"/>
  <c r="AA375" i="2"/>
  <c r="P375" i="2"/>
  <c r="Z375" i="2"/>
  <c r="V375" i="2"/>
  <c r="U375" i="2"/>
  <c r="W375" i="2"/>
  <c r="R375" i="2"/>
  <c r="X375" i="2"/>
  <c r="Q375" i="2"/>
  <c r="Y375" i="2"/>
  <c r="C371" i="2"/>
  <c r="T371" i="2"/>
  <c r="S371" i="2"/>
  <c r="AA371" i="2"/>
  <c r="Z371" i="2"/>
  <c r="U371" i="2"/>
  <c r="W371" i="2"/>
  <c r="R371" i="2"/>
  <c r="V371" i="2"/>
  <c r="Y371" i="2"/>
  <c r="Q371" i="2"/>
  <c r="P371" i="2"/>
  <c r="X371" i="2"/>
  <c r="C367" i="2"/>
  <c r="T367" i="2"/>
  <c r="S367" i="2"/>
  <c r="Z367" i="2"/>
  <c r="AA367" i="2"/>
  <c r="W367" i="2"/>
  <c r="R367" i="2"/>
  <c r="V367" i="2"/>
  <c r="U367" i="2"/>
  <c r="P367" i="2"/>
  <c r="Q367" i="2"/>
  <c r="Y367" i="2"/>
  <c r="X367" i="2"/>
  <c r="C363" i="2"/>
  <c r="T363" i="2"/>
  <c r="P363" i="2"/>
  <c r="Z363" i="2"/>
  <c r="AA363" i="2"/>
  <c r="S363" i="2"/>
  <c r="X363" i="2"/>
  <c r="Y363" i="2"/>
  <c r="U363" i="2"/>
  <c r="V363" i="2"/>
  <c r="W363" i="2"/>
  <c r="R363" i="2"/>
  <c r="Q363" i="2"/>
  <c r="C359" i="2"/>
  <c r="T359" i="2"/>
  <c r="AA359" i="2"/>
  <c r="S359" i="2"/>
  <c r="P359" i="2"/>
  <c r="Z359" i="2"/>
  <c r="W359" i="2"/>
  <c r="X359" i="2"/>
  <c r="Y359" i="2"/>
  <c r="U359" i="2"/>
  <c r="V359" i="2"/>
  <c r="R359" i="2"/>
  <c r="Q359" i="2"/>
  <c r="C355" i="2"/>
  <c r="AA355" i="2"/>
  <c r="S355" i="2"/>
  <c r="T355" i="2"/>
  <c r="W355" i="2"/>
  <c r="P355" i="2"/>
  <c r="Z355" i="2"/>
  <c r="X355" i="2"/>
  <c r="Y355" i="2"/>
  <c r="U355" i="2"/>
  <c r="V355" i="2"/>
  <c r="R355" i="2"/>
  <c r="Q355" i="2"/>
  <c r="C351" i="2"/>
  <c r="W351" i="2"/>
  <c r="T351" i="2"/>
  <c r="P351" i="2"/>
  <c r="Z351" i="2"/>
  <c r="S351" i="2"/>
  <c r="X351" i="2"/>
  <c r="Y351" i="2"/>
  <c r="U351" i="2"/>
  <c r="AA351" i="2"/>
  <c r="V351" i="2"/>
  <c r="R351" i="2"/>
  <c r="Q351" i="2"/>
  <c r="C347" i="2"/>
  <c r="T347" i="2"/>
  <c r="P347" i="2"/>
  <c r="Z347" i="2"/>
  <c r="AA347" i="2"/>
  <c r="S347" i="2"/>
  <c r="X347" i="2"/>
  <c r="Y347" i="2"/>
  <c r="U347" i="2"/>
  <c r="W347" i="2"/>
  <c r="V347" i="2"/>
  <c r="R347" i="2"/>
  <c r="Q347" i="2"/>
  <c r="C343" i="2"/>
  <c r="T343" i="2"/>
  <c r="AA343" i="2"/>
  <c r="S343" i="2"/>
  <c r="P343" i="2"/>
  <c r="Z343" i="2"/>
  <c r="W343" i="2"/>
  <c r="X343" i="2"/>
  <c r="Y343" i="2"/>
  <c r="U343" i="2"/>
  <c r="V343" i="2"/>
  <c r="R343" i="2"/>
  <c r="Q343" i="2"/>
  <c r="C339" i="2"/>
  <c r="AA339" i="2"/>
  <c r="S339" i="2"/>
  <c r="T339" i="2"/>
  <c r="W339" i="2"/>
  <c r="P339" i="2"/>
  <c r="Z339" i="2"/>
  <c r="X339" i="2"/>
  <c r="Y339" i="2"/>
  <c r="U339" i="2"/>
  <c r="V339" i="2"/>
  <c r="R339" i="2"/>
  <c r="Q339" i="2"/>
  <c r="C335" i="2"/>
  <c r="W335" i="2"/>
  <c r="T335" i="2"/>
  <c r="P335" i="2"/>
  <c r="Z335" i="2"/>
  <c r="AA335" i="2"/>
  <c r="X335" i="2"/>
  <c r="Y335" i="2"/>
  <c r="U335" i="2"/>
  <c r="V335" i="2"/>
  <c r="R335" i="2"/>
  <c r="Q335" i="2"/>
  <c r="S335" i="2"/>
  <c r="C331" i="2"/>
  <c r="T331" i="2"/>
  <c r="P331" i="2"/>
  <c r="Z331" i="2"/>
  <c r="AA331" i="2"/>
  <c r="S331" i="2"/>
  <c r="W331" i="2"/>
  <c r="X331" i="2"/>
  <c r="Y331" i="2"/>
  <c r="U331" i="2"/>
  <c r="V331" i="2"/>
  <c r="R331" i="2"/>
  <c r="Q331" i="2"/>
  <c r="C327" i="2"/>
  <c r="T327" i="2"/>
  <c r="AA327" i="2"/>
  <c r="S327" i="2"/>
  <c r="P327" i="2"/>
  <c r="Z327" i="2"/>
  <c r="W327" i="2"/>
  <c r="X327" i="2"/>
  <c r="Y327" i="2"/>
  <c r="U327" i="2"/>
  <c r="V327" i="2"/>
  <c r="R327" i="2"/>
  <c r="Q327" i="2"/>
  <c r="C323" i="2"/>
  <c r="AA323" i="2"/>
  <c r="S323" i="2"/>
  <c r="T323" i="2"/>
  <c r="W323" i="2"/>
  <c r="P323" i="2"/>
  <c r="Z323" i="2"/>
  <c r="X323" i="2"/>
  <c r="Y323" i="2"/>
  <c r="U323" i="2"/>
  <c r="V323" i="2"/>
  <c r="R323" i="2"/>
  <c r="Q323" i="2"/>
  <c r="C319" i="2"/>
  <c r="W319" i="2"/>
  <c r="T319" i="2"/>
  <c r="P319" i="2"/>
  <c r="Z319" i="2"/>
  <c r="X319" i="2"/>
  <c r="Y319" i="2"/>
  <c r="U319" i="2"/>
  <c r="V319" i="2"/>
  <c r="S319" i="2"/>
  <c r="R319" i="2"/>
  <c r="AA319" i="2"/>
  <c r="Q319" i="2"/>
  <c r="C315" i="2"/>
  <c r="T315" i="2"/>
  <c r="P315" i="2"/>
  <c r="Z315" i="2"/>
  <c r="AA315" i="2"/>
  <c r="S315" i="2"/>
  <c r="X315" i="2"/>
  <c r="Y315" i="2"/>
  <c r="U315" i="2"/>
  <c r="V315" i="2"/>
  <c r="R315" i="2"/>
  <c r="W315" i="2"/>
  <c r="Q315" i="2"/>
  <c r="C311" i="2"/>
  <c r="T311" i="2"/>
  <c r="AA311" i="2"/>
  <c r="S311" i="2"/>
  <c r="P311" i="2"/>
  <c r="Z311" i="2"/>
  <c r="W311" i="2"/>
  <c r="X311" i="2"/>
  <c r="Y311" i="2"/>
  <c r="U311" i="2"/>
  <c r="V311" i="2"/>
  <c r="R311" i="2"/>
  <c r="Q311" i="2"/>
  <c r="C307" i="2"/>
  <c r="AA307" i="2"/>
  <c r="S307" i="2"/>
  <c r="T307" i="2"/>
  <c r="W307" i="2"/>
  <c r="P307" i="2"/>
  <c r="Z307" i="2"/>
  <c r="X307" i="2"/>
  <c r="Y307" i="2"/>
  <c r="U307" i="2"/>
  <c r="V307" i="2"/>
  <c r="R307" i="2"/>
  <c r="Q307" i="2"/>
  <c r="C303" i="2"/>
  <c r="W303" i="2"/>
  <c r="T303" i="2"/>
  <c r="P303" i="2"/>
  <c r="Z303" i="2"/>
  <c r="X303" i="2"/>
  <c r="Y303" i="2"/>
  <c r="U303" i="2"/>
  <c r="S303" i="2"/>
  <c r="V303" i="2"/>
  <c r="AA303" i="2"/>
  <c r="R303" i="2"/>
  <c r="Q303" i="2"/>
  <c r="C299" i="2"/>
  <c r="T299" i="2"/>
  <c r="P299" i="2"/>
  <c r="Z299" i="2"/>
  <c r="AA299" i="2"/>
  <c r="S299" i="2"/>
  <c r="X299" i="2"/>
  <c r="Y299" i="2"/>
  <c r="U299" i="2"/>
  <c r="V299" i="2"/>
  <c r="W299" i="2"/>
  <c r="R299" i="2"/>
  <c r="Q299" i="2"/>
  <c r="C469" i="2"/>
  <c r="S469" i="2"/>
  <c r="Z469" i="2"/>
  <c r="AA469" i="2"/>
  <c r="W469" i="2"/>
  <c r="P469" i="2"/>
  <c r="V469" i="2"/>
  <c r="R469" i="2"/>
  <c r="X469" i="2"/>
  <c r="Y469" i="2"/>
  <c r="U469" i="2"/>
  <c r="Q469" i="2"/>
  <c r="T469" i="2"/>
  <c r="C461" i="2"/>
  <c r="S461" i="2"/>
  <c r="Z461" i="2"/>
  <c r="AA461" i="2"/>
  <c r="W461" i="2"/>
  <c r="P461" i="2"/>
  <c r="V461" i="2"/>
  <c r="Y461" i="2"/>
  <c r="T461" i="2"/>
  <c r="R461" i="2"/>
  <c r="X461" i="2"/>
  <c r="U461" i="2"/>
  <c r="Q461" i="2"/>
  <c r="C445" i="2"/>
  <c r="AA445" i="2"/>
  <c r="W445" i="2"/>
  <c r="P445" i="2"/>
  <c r="T445" i="2"/>
  <c r="Z445" i="2"/>
  <c r="V445" i="2"/>
  <c r="S445" i="2"/>
  <c r="X445" i="2"/>
  <c r="Y445" i="2"/>
  <c r="R445" i="2"/>
  <c r="U445" i="2"/>
  <c r="Q445" i="2"/>
  <c r="C433" i="2"/>
  <c r="AA433" i="2"/>
  <c r="W433" i="2"/>
  <c r="P433" i="2"/>
  <c r="T433" i="2"/>
  <c r="X433" i="2"/>
  <c r="V433" i="2"/>
  <c r="Y433" i="2"/>
  <c r="S433" i="2"/>
  <c r="Z433" i="2"/>
  <c r="U433" i="2"/>
  <c r="R433" i="2"/>
  <c r="Q433" i="2"/>
  <c r="C417" i="2"/>
  <c r="AA417" i="2"/>
  <c r="W417" i="2"/>
  <c r="P417" i="2"/>
  <c r="T417" i="2"/>
  <c r="Z417" i="2"/>
  <c r="X417" i="2"/>
  <c r="V417" i="2"/>
  <c r="Y417" i="2"/>
  <c r="S417" i="2"/>
  <c r="U417" i="2"/>
  <c r="R417" i="2"/>
  <c r="Q417" i="2"/>
  <c r="C401" i="2"/>
  <c r="AA401" i="2"/>
  <c r="W401" i="2"/>
  <c r="P401" i="2"/>
  <c r="T401" i="2"/>
  <c r="X401" i="2"/>
  <c r="V401" i="2"/>
  <c r="Y401" i="2"/>
  <c r="S401" i="2"/>
  <c r="U401" i="2"/>
  <c r="Z401" i="2"/>
  <c r="Q401" i="2"/>
  <c r="R401" i="2"/>
  <c r="C385" i="2"/>
  <c r="AA385" i="2"/>
  <c r="W385" i="2"/>
  <c r="P385" i="2"/>
  <c r="T385" i="2"/>
  <c r="Z385" i="2"/>
  <c r="X385" i="2"/>
  <c r="V385" i="2"/>
  <c r="Y385" i="2"/>
  <c r="S385" i="2"/>
  <c r="U385" i="2"/>
  <c r="R385" i="2"/>
  <c r="Q385" i="2"/>
  <c r="C369" i="2"/>
  <c r="AA369" i="2"/>
  <c r="W369" i="2"/>
  <c r="P369" i="2"/>
  <c r="T369" i="2"/>
  <c r="X369" i="2"/>
  <c r="V369" i="2"/>
  <c r="Y369" i="2"/>
  <c r="S369" i="2"/>
  <c r="U369" i="2"/>
  <c r="R369" i="2"/>
  <c r="Z369" i="2"/>
  <c r="Q369" i="2"/>
  <c r="C353" i="2"/>
  <c r="S353" i="2"/>
  <c r="AA353" i="2"/>
  <c r="W353" i="2"/>
  <c r="Z353" i="2"/>
  <c r="R353" i="2"/>
  <c r="T353" i="2"/>
  <c r="X353" i="2"/>
  <c r="Y353" i="2"/>
  <c r="U353" i="2"/>
  <c r="V353" i="2"/>
  <c r="P353" i="2"/>
  <c r="Q353" i="2"/>
  <c r="C337" i="2"/>
  <c r="S337" i="2"/>
  <c r="AA337" i="2"/>
  <c r="W337" i="2"/>
  <c r="Z337" i="2"/>
  <c r="R337" i="2"/>
  <c r="T337" i="2"/>
  <c r="X337" i="2"/>
  <c r="Y337" i="2"/>
  <c r="U337" i="2"/>
  <c r="P337" i="2"/>
  <c r="V337" i="2"/>
  <c r="Q337" i="2"/>
  <c r="C317" i="2"/>
  <c r="AA317" i="2"/>
  <c r="W317" i="2"/>
  <c r="R317" i="2"/>
  <c r="T317" i="2"/>
  <c r="S317" i="2"/>
  <c r="P317" i="2"/>
  <c r="X317" i="2"/>
  <c r="Y317" i="2"/>
  <c r="U317" i="2"/>
  <c r="Z317" i="2"/>
  <c r="Q317" i="2"/>
  <c r="V317" i="2"/>
  <c r="C464" i="2"/>
  <c r="AA464" i="2"/>
  <c r="W464" i="2"/>
  <c r="P464" i="2"/>
  <c r="T464" i="2"/>
  <c r="R464" i="2"/>
  <c r="X464" i="2"/>
  <c r="Y464" i="2"/>
  <c r="S464" i="2"/>
  <c r="Z464" i="2"/>
  <c r="U464" i="2"/>
  <c r="V464" i="2"/>
  <c r="Q464" i="2"/>
  <c r="C456" i="2"/>
  <c r="S456" i="2"/>
  <c r="P456" i="2"/>
  <c r="Z456" i="2"/>
  <c r="T456" i="2"/>
  <c r="AA456" i="2"/>
  <c r="X456" i="2"/>
  <c r="Y456" i="2"/>
  <c r="V456" i="2"/>
  <c r="R456" i="2"/>
  <c r="W456" i="2"/>
  <c r="U456" i="2"/>
  <c r="Q456" i="2"/>
  <c r="C444" i="2"/>
  <c r="W444" i="2"/>
  <c r="P444" i="2"/>
  <c r="T444" i="2"/>
  <c r="S444" i="2"/>
  <c r="Z444" i="2"/>
  <c r="X444" i="2"/>
  <c r="Y444" i="2"/>
  <c r="V444" i="2"/>
  <c r="AA444" i="2"/>
  <c r="R444" i="2"/>
  <c r="U444" i="2"/>
  <c r="Q444" i="2"/>
  <c r="C432" i="2"/>
  <c r="W432" i="2"/>
  <c r="P432" i="2"/>
  <c r="Z432" i="2"/>
  <c r="T432" i="2"/>
  <c r="S432" i="2"/>
  <c r="X432" i="2"/>
  <c r="Y432" i="2"/>
  <c r="V432" i="2"/>
  <c r="R432" i="2"/>
  <c r="U432" i="2"/>
  <c r="AA432" i="2"/>
  <c r="Q432" i="2"/>
  <c r="C420" i="2"/>
  <c r="W420" i="2"/>
  <c r="P420" i="2"/>
  <c r="T420" i="2"/>
  <c r="S420" i="2"/>
  <c r="Z420" i="2"/>
  <c r="AA420" i="2"/>
  <c r="R420" i="2"/>
  <c r="X420" i="2"/>
  <c r="Y420" i="2"/>
  <c r="V420" i="2"/>
  <c r="Q420" i="2"/>
  <c r="U420" i="2"/>
  <c r="C408" i="2"/>
  <c r="W408" i="2"/>
  <c r="P408" i="2"/>
  <c r="T408" i="2"/>
  <c r="S408" i="2"/>
  <c r="X408" i="2"/>
  <c r="V408" i="2"/>
  <c r="Y408" i="2"/>
  <c r="AA408" i="2"/>
  <c r="R408" i="2"/>
  <c r="Z408" i="2"/>
  <c r="U408" i="2"/>
  <c r="Q408" i="2"/>
  <c r="C396" i="2"/>
  <c r="W396" i="2"/>
  <c r="P396" i="2"/>
  <c r="T396" i="2"/>
  <c r="S396" i="2"/>
  <c r="X396" i="2"/>
  <c r="Y396" i="2"/>
  <c r="V396" i="2"/>
  <c r="AA396" i="2"/>
  <c r="R396" i="2"/>
  <c r="Q396" i="2"/>
  <c r="Z396" i="2"/>
  <c r="U396" i="2"/>
  <c r="C388" i="2"/>
  <c r="W388" i="2"/>
  <c r="P388" i="2"/>
  <c r="T388" i="2"/>
  <c r="S388" i="2"/>
  <c r="Z388" i="2"/>
  <c r="AA388" i="2"/>
  <c r="R388" i="2"/>
  <c r="X388" i="2"/>
  <c r="Y388" i="2"/>
  <c r="V388" i="2"/>
  <c r="Q388" i="2"/>
  <c r="U388" i="2"/>
  <c r="C376" i="2"/>
  <c r="W376" i="2"/>
  <c r="P376" i="2"/>
  <c r="T376" i="2"/>
  <c r="S376" i="2"/>
  <c r="X376" i="2"/>
  <c r="V376" i="2"/>
  <c r="Y376" i="2"/>
  <c r="AA376" i="2"/>
  <c r="Z376" i="2"/>
  <c r="R376" i="2"/>
  <c r="U376" i="2"/>
  <c r="Q376" i="2"/>
  <c r="C368" i="2"/>
  <c r="W368" i="2"/>
  <c r="P368" i="2"/>
  <c r="Z368" i="2"/>
  <c r="T368" i="2"/>
  <c r="S368" i="2"/>
  <c r="X368" i="2"/>
  <c r="Y368" i="2"/>
  <c r="V368" i="2"/>
  <c r="R368" i="2"/>
  <c r="U368" i="2"/>
  <c r="AA368" i="2"/>
  <c r="Q368" i="2"/>
  <c r="C360" i="2"/>
  <c r="W360" i="2"/>
  <c r="AA360" i="2"/>
  <c r="S360" i="2"/>
  <c r="T360" i="2"/>
  <c r="P360" i="2"/>
  <c r="Z360" i="2"/>
  <c r="X360" i="2"/>
  <c r="Y360" i="2"/>
  <c r="V360" i="2"/>
  <c r="U360" i="2"/>
  <c r="Q360" i="2"/>
  <c r="R360" i="2"/>
  <c r="C352" i="2"/>
  <c r="S352" i="2"/>
  <c r="T352" i="2"/>
  <c r="W352" i="2"/>
  <c r="P352" i="2"/>
  <c r="Z352" i="2"/>
  <c r="AA352" i="2"/>
  <c r="X352" i="2"/>
  <c r="Y352" i="2"/>
  <c r="V352" i="2"/>
  <c r="U352" i="2"/>
  <c r="Q352" i="2"/>
  <c r="R352" i="2"/>
  <c r="C344" i="2"/>
  <c r="W344" i="2"/>
  <c r="S344" i="2"/>
  <c r="AA344" i="2"/>
  <c r="T344" i="2"/>
  <c r="P344" i="2"/>
  <c r="Z344" i="2"/>
  <c r="X344" i="2"/>
  <c r="Y344" i="2"/>
  <c r="V344" i="2"/>
  <c r="U344" i="2"/>
  <c r="Q344" i="2"/>
  <c r="R344" i="2"/>
  <c r="C332" i="2"/>
  <c r="W332" i="2"/>
  <c r="T332" i="2"/>
  <c r="AA332" i="2"/>
  <c r="P332" i="2"/>
  <c r="Z332" i="2"/>
  <c r="X332" i="2"/>
  <c r="Y332" i="2"/>
  <c r="S332" i="2"/>
  <c r="V332" i="2"/>
  <c r="R332" i="2"/>
  <c r="Q332" i="2"/>
  <c r="U332" i="2"/>
  <c r="C324" i="2"/>
  <c r="AA324" i="2"/>
  <c r="T324" i="2"/>
  <c r="P324" i="2"/>
  <c r="Z324" i="2"/>
  <c r="W324" i="2"/>
  <c r="X324" i="2"/>
  <c r="Y324" i="2"/>
  <c r="S324" i="2"/>
  <c r="V324" i="2"/>
  <c r="Q324" i="2"/>
  <c r="R324" i="2"/>
  <c r="U324" i="2"/>
  <c r="C308" i="2"/>
  <c r="AA308" i="2"/>
  <c r="T308" i="2"/>
  <c r="S308" i="2"/>
  <c r="P308" i="2"/>
  <c r="Z308" i="2"/>
  <c r="W308" i="2"/>
  <c r="X308" i="2"/>
  <c r="Y308" i="2"/>
  <c r="V308" i="2"/>
  <c r="Q308" i="2"/>
  <c r="R308" i="2"/>
  <c r="U308" i="2"/>
  <c r="C300" i="2"/>
  <c r="W300" i="2"/>
  <c r="S300" i="2"/>
  <c r="T300" i="2"/>
  <c r="AA300" i="2"/>
  <c r="P300" i="2"/>
  <c r="Z300" i="2"/>
  <c r="X300" i="2"/>
  <c r="Y300" i="2"/>
  <c r="V300" i="2"/>
  <c r="R300" i="2"/>
  <c r="Q300" i="2"/>
  <c r="U300" i="2"/>
  <c r="C470" i="2"/>
  <c r="T470" i="2"/>
  <c r="S470" i="2"/>
  <c r="Z470" i="2"/>
  <c r="AA470" i="2"/>
  <c r="P470" i="2"/>
  <c r="V470" i="2"/>
  <c r="Y470" i="2"/>
  <c r="W470" i="2"/>
  <c r="X470" i="2"/>
  <c r="Q470" i="2"/>
  <c r="R470" i="2"/>
  <c r="U470" i="2"/>
  <c r="C466" i="2"/>
  <c r="T466" i="2"/>
  <c r="S466" i="2"/>
  <c r="Z466" i="2"/>
  <c r="AA466" i="2"/>
  <c r="Y466" i="2"/>
  <c r="W466" i="2"/>
  <c r="V466" i="2"/>
  <c r="P466" i="2"/>
  <c r="Q466" i="2"/>
  <c r="X466" i="2"/>
  <c r="R466" i="2"/>
  <c r="U466" i="2"/>
  <c r="C462" i="2"/>
  <c r="T462" i="2"/>
  <c r="S462" i="2"/>
  <c r="Z462" i="2"/>
  <c r="AA462" i="2"/>
  <c r="W462" i="2"/>
  <c r="V462" i="2"/>
  <c r="P462" i="2"/>
  <c r="R462" i="2"/>
  <c r="Y462" i="2"/>
  <c r="U462" i="2"/>
  <c r="Q462" i="2"/>
  <c r="X462" i="2"/>
  <c r="C458" i="2"/>
  <c r="W458" i="2"/>
  <c r="S458" i="2"/>
  <c r="Z458" i="2"/>
  <c r="AA458" i="2"/>
  <c r="P458" i="2"/>
  <c r="T458" i="2"/>
  <c r="X458" i="2"/>
  <c r="V458" i="2"/>
  <c r="Y458" i="2"/>
  <c r="U458" i="2"/>
  <c r="R458" i="2"/>
  <c r="Q458" i="2"/>
  <c r="C454" i="2"/>
  <c r="AA454" i="2"/>
  <c r="P454" i="2"/>
  <c r="S454" i="2"/>
  <c r="V454" i="2"/>
  <c r="W454" i="2"/>
  <c r="Z454" i="2"/>
  <c r="R454" i="2"/>
  <c r="X454" i="2"/>
  <c r="Y454" i="2"/>
  <c r="Q454" i="2"/>
  <c r="U454" i="2"/>
  <c r="T454" i="2"/>
  <c r="C450" i="2"/>
  <c r="S450" i="2"/>
  <c r="AA450" i="2"/>
  <c r="W450" i="2"/>
  <c r="P450" i="2"/>
  <c r="Z450" i="2"/>
  <c r="V450" i="2"/>
  <c r="T450" i="2"/>
  <c r="X450" i="2"/>
  <c r="Y450" i="2"/>
  <c r="U450" i="2"/>
  <c r="R450" i="2"/>
  <c r="Q450" i="2"/>
  <c r="C446" i="2"/>
  <c r="S446" i="2"/>
  <c r="AA446" i="2"/>
  <c r="W446" i="2"/>
  <c r="P446" i="2"/>
  <c r="R446" i="2"/>
  <c r="V446" i="2"/>
  <c r="T446" i="2"/>
  <c r="Z446" i="2"/>
  <c r="X446" i="2"/>
  <c r="Y446" i="2"/>
  <c r="U446" i="2"/>
  <c r="Q446" i="2"/>
  <c r="C442" i="2"/>
  <c r="S442" i="2"/>
  <c r="Z442" i="2"/>
  <c r="AA442" i="2"/>
  <c r="W442" i="2"/>
  <c r="P442" i="2"/>
  <c r="T442" i="2"/>
  <c r="R442" i="2"/>
  <c r="X442" i="2"/>
  <c r="Y442" i="2"/>
  <c r="V442" i="2"/>
  <c r="U442" i="2"/>
  <c r="Q442" i="2"/>
  <c r="C438" i="2"/>
  <c r="S438" i="2"/>
  <c r="AA438" i="2"/>
  <c r="W438" i="2"/>
  <c r="P438" i="2"/>
  <c r="Z438" i="2"/>
  <c r="R438" i="2"/>
  <c r="X438" i="2"/>
  <c r="V438" i="2"/>
  <c r="Y438" i="2"/>
  <c r="Q438" i="2"/>
  <c r="T438" i="2"/>
  <c r="U438" i="2"/>
  <c r="C434" i="2"/>
  <c r="S434" i="2"/>
  <c r="AA434" i="2"/>
  <c r="W434" i="2"/>
  <c r="P434" i="2"/>
  <c r="Z434" i="2"/>
  <c r="V434" i="2"/>
  <c r="T434" i="2"/>
  <c r="R434" i="2"/>
  <c r="X434" i="2"/>
  <c r="Y434" i="2"/>
  <c r="U434" i="2"/>
  <c r="Q434" i="2"/>
  <c r="C430" i="2"/>
  <c r="S430" i="2"/>
  <c r="AA430" i="2"/>
  <c r="W430" i="2"/>
  <c r="P430" i="2"/>
  <c r="Z430" i="2"/>
  <c r="V430" i="2"/>
  <c r="T430" i="2"/>
  <c r="X430" i="2"/>
  <c r="Y430" i="2"/>
  <c r="R430" i="2"/>
  <c r="U430" i="2"/>
  <c r="Q430" i="2"/>
  <c r="C426" i="2"/>
  <c r="S426" i="2"/>
  <c r="Z426" i="2"/>
  <c r="AA426" i="2"/>
  <c r="W426" i="2"/>
  <c r="P426" i="2"/>
  <c r="T426" i="2"/>
  <c r="X426" i="2"/>
  <c r="Y426" i="2"/>
  <c r="Q426" i="2"/>
  <c r="V426" i="2"/>
  <c r="U426" i="2"/>
  <c r="R426" i="2"/>
  <c r="C422" i="2"/>
  <c r="S422" i="2"/>
  <c r="AA422" i="2"/>
  <c r="W422" i="2"/>
  <c r="P422" i="2"/>
  <c r="R422" i="2"/>
  <c r="X422" i="2"/>
  <c r="V422" i="2"/>
  <c r="Y422" i="2"/>
  <c r="T422" i="2"/>
  <c r="U422" i="2"/>
  <c r="Z422" i="2"/>
  <c r="Q422" i="2"/>
  <c r="C418" i="2"/>
  <c r="S418" i="2"/>
  <c r="AA418" i="2"/>
  <c r="W418" i="2"/>
  <c r="P418" i="2"/>
  <c r="Z418" i="2"/>
  <c r="R418" i="2"/>
  <c r="V418" i="2"/>
  <c r="T418" i="2"/>
  <c r="X418" i="2"/>
  <c r="Y418" i="2"/>
  <c r="U418" i="2"/>
  <c r="Q418" i="2"/>
  <c r="C414" i="2"/>
  <c r="S414" i="2"/>
  <c r="AA414" i="2"/>
  <c r="W414" i="2"/>
  <c r="P414" i="2"/>
  <c r="V414" i="2"/>
  <c r="T414" i="2"/>
  <c r="Z414" i="2"/>
  <c r="R414" i="2"/>
  <c r="X414" i="2"/>
  <c r="Y414" i="2"/>
  <c r="Q414" i="2"/>
  <c r="U414" i="2"/>
  <c r="C410" i="2"/>
  <c r="S410" i="2"/>
  <c r="Z410" i="2"/>
  <c r="AA410" i="2"/>
  <c r="W410" i="2"/>
  <c r="P410" i="2"/>
  <c r="T410" i="2"/>
  <c r="R410" i="2"/>
  <c r="X410" i="2"/>
  <c r="Y410" i="2"/>
  <c r="U410" i="2"/>
  <c r="Q410" i="2"/>
  <c r="V410" i="2"/>
  <c r="C406" i="2"/>
  <c r="S406" i="2"/>
  <c r="AA406" i="2"/>
  <c r="W406" i="2"/>
  <c r="P406" i="2"/>
  <c r="Z406" i="2"/>
  <c r="X406" i="2"/>
  <c r="V406" i="2"/>
  <c r="Y406" i="2"/>
  <c r="R406" i="2"/>
  <c r="T406" i="2"/>
  <c r="U406" i="2"/>
  <c r="Q406" i="2"/>
  <c r="C402" i="2"/>
  <c r="S402" i="2"/>
  <c r="AA402" i="2"/>
  <c r="W402" i="2"/>
  <c r="P402" i="2"/>
  <c r="Z402" i="2"/>
  <c r="R402" i="2"/>
  <c r="V402" i="2"/>
  <c r="T402" i="2"/>
  <c r="X402" i="2"/>
  <c r="Y402" i="2"/>
  <c r="Q402" i="2"/>
  <c r="U402" i="2"/>
  <c r="C398" i="2"/>
  <c r="S398" i="2"/>
  <c r="AA398" i="2"/>
  <c r="W398" i="2"/>
  <c r="P398" i="2"/>
  <c r="Z398" i="2"/>
  <c r="V398" i="2"/>
  <c r="T398" i="2"/>
  <c r="R398" i="2"/>
  <c r="X398" i="2"/>
  <c r="Y398" i="2"/>
  <c r="U398" i="2"/>
  <c r="Q398" i="2"/>
  <c r="C394" i="2"/>
  <c r="S394" i="2"/>
  <c r="Z394" i="2"/>
  <c r="AA394" i="2"/>
  <c r="W394" i="2"/>
  <c r="P394" i="2"/>
  <c r="T394" i="2"/>
  <c r="R394" i="2"/>
  <c r="X394" i="2"/>
  <c r="Y394" i="2"/>
  <c r="V394" i="2"/>
  <c r="U394" i="2"/>
  <c r="Q394" i="2"/>
  <c r="C390" i="2"/>
  <c r="S390" i="2"/>
  <c r="AA390" i="2"/>
  <c r="W390" i="2"/>
  <c r="P390" i="2"/>
  <c r="R390" i="2"/>
  <c r="X390" i="2"/>
  <c r="V390" i="2"/>
  <c r="Y390" i="2"/>
  <c r="Z390" i="2"/>
  <c r="Q390" i="2"/>
  <c r="T390" i="2"/>
  <c r="U390" i="2"/>
  <c r="C386" i="2"/>
  <c r="S386" i="2"/>
  <c r="AA386" i="2"/>
  <c r="W386" i="2"/>
  <c r="P386" i="2"/>
  <c r="Z386" i="2"/>
  <c r="V386" i="2"/>
  <c r="T386" i="2"/>
  <c r="X386" i="2"/>
  <c r="Y386" i="2"/>
  <c r="Q386" i="2"/>
  <c r="R386" i="2"/>
  <c r="U386" i="2"/>
  <c r="C382" i="2"/>
  <c r="S382" i="2"/>
  <c r="AA382" i="2"/>
  <c r="W382" i="2"/>
  <c r="P382" i="2"/>
  <c r="R382" i="2"/>
  <c r="V382" i="2"/>
  <c r="T382" i="2"/>
  <c r="Z382" i="2"/>
  <c r="X382" i="2"/>
  <c r="Y382" i="2"/>
  <c r="U382" i="2"/>
  <c r="Q382" i="2"/>
  <c r="C378" i="2"/>
  <c r="S378" i="2"/>
  <c r="Z378" i="2"/>
  <c r="AA378" i="2"/>
  <c r="W378" i="2"/>
  <c r="P378" i="2"/>
  <c r="T378" i="2"/>
  <c r="R378" i="2"/>
  <c r="X378" i="2"/>
  <c r="Y378" i="2"/>
  <c r="V378" i="2"/>
  <c r="U378" i="2"/>
  <c r="Q378" i="2"/>
  <c r="C374" i="2"/>
  <c r="S374" i="2"/>
  <c r="AA374" i="2"/>
  <c r="W374" i="2"/>
  <c r="P374" i="2"/>
  <c r="Z374" i="2"/>
  <c r="R374" i="2"/>
  <c r="X374" i="2"/>
  <c r="V374" i="2"/>
  <c r="Y374" i="2"/>
  <c r="T374" i="2"/>
  <c r="U374" i="2"/>
  <c r="Q374" i="2"/>
  <c r="C370" i="2"/>
  <c r="S370" i="2"/>
  <c r="AA370" i="2"/>
  <c r="W370" i="2"/>
  <c r="P370" i="2"/>
  <c r="Z370" i="2"/>
  <c r="V370" i="2"/>
  <c r="T370" i="2"/>
  <c r="R370" i="2"/>
  <c r="X370" i="2"/>
  <c r="Y370" i="2"/>
  <c r="Q370" i="2"/>
  <c r="U370" i="2"/>
  <c r="C366" i="2"/>
  <c r="S366" i="2"/>
  <c r="AA366" i="2"/>
  <c r="W366" i="2"/>
  <c r="P366" i="2"/>
  <c r="Z366" i="2"/>
  <c r="V366" i="2"/>
  <c r="T366" i="2"/>
  <c r="R366" i="2"/>
  <c r="X366" i="2"/>
  <c r="Y366" i="2"/>
  <c r="Q366" i="2"/>
  <c r="U366" i="2"/>
  <c r="C362" i="2"/>
  <c r="T362" i="2"/>
  <c r="W362" i="2"/>
  <c r="P362" i="2"/>
  <c r="Z362" i="2"/>
  <c r="AA362" i="2"/>
  <c r="S362" i="2"/>
  <c r="V362" i="2"/>
  <c r="R362" i="2"/>
  <c r="X362" i="2"/>
  <c r="U362" i="2"/>
  <c r="Y362" i="2"/>
  <c r="Q362" i="2"/>
  <c r="C358" i="2"/>
  <c r="T358" i="2"/>
  <c r="AA358" i="2"/>
  <c r="S358" i="2"/>
  <c r="P358" i="2"/>
  <c r="Z358" i="2"/>
  <c r="V358" i="2"/>
  <c r="R358" i="2"/>
  <c r="X358" i="2"/>
  <c r="W358" i="2"/>
  <c r="Y358" i="2"/>
  <c r="U358" i="2"/>
  <c r="Q358" i="2"/>
  <c r="C354" i="2"/>
  <c r="T354" i="2"/>
  <c r="P354" i="2"/>
  <c r="Z354" i="2"/>
  <c r="AA354" i="2"/>
  <c r="W354" i="2"/>
  <c r="V354" i="2"/>
  <c r="R354" i="2"/>
  <c r="S354" i="2"/>
  <c r="Y354" i="2"/>
  <c r="X354" i="2"/>
  <c r="U354" i="2"/>
  <c r="Q354" i="2"/>
  <c r="C350" i="2"/>
  <c r="T350" i="2"/>
  <c r="P350" i="2"/>
  <c r="Z350" i="2"/>
  <c r="AA350" i="2"/>
  <c r="W350" i="2"/>
  <c r="S350" i="2"/>
  <c r="V350" i="2"/>
  <c r="R350" i="2"/>
  <c r="X350" i="2"/>
  <c r="Q350" i="2"/>
  <c r="Y350" i="2"/>
  <c r="U350" i="2"/>
  <c r="C346" i="2"/>
  <c r="T346" i="2"/>
  <c r="AA346" i="2"/>
  <c r="W346" i="2"/>
  <c r="P346" i="2"/>
  <c r="Z346" i="2"/>
  <c r="S346" i="2"/>
  <c r="V346" i="2"/>
  <c r="R346" i="2"/>
  <c r="X346" i="2"/>
  <c r="U346" i="2"/>
  <c r="Y346" i="2"/>
  <c r="Q346" i="2"/>
  <c r="C342" i="2"/>
  <c r="T342" i="2"/>
  <c r="S342" i="2"/>
  <c r="P342" i="2"/>
  <c r="Z342" i="2"/>
  <c r="V342" i="2"/>
  <c r="R342" i="2"/>
  <c r="W342" i="2"/>
  <c r="X342" i="2"/>
  <c r="U342" i="2"/>
  <c r="AA342" i="2"/>
  <c r="Y342" i="2"/>
  <c r="Q342" i="2"/>
  <c r="C338" i="2"/>
  <c r="T338" i="2"/>
  <c r="P338" i="2"/>
  <c r="Z338" i="2"/>
  <c r="AA338" i="2"/>
  <c r="W338" i="2"/>
  <c r="V338" i="2"/>
  <c r="R338" i="2"/>
  <c r="S338" i="2"/>
  <c r="Y338" i="2"/>
  <c r="U338" i="2"/>
  <c r="Q338" i="2"/>
  <c r="X338" i="2"/>
  <c r="C334" i="2"/>
  <c r="T334" i="2"/>
  <c r="AA334" i="2"/>
  <c r="P334" i="2"/>
  <c r="Z334" i="2"/>
  <c r="W334" i="2"/>
  <c r="S334" i="2"/>
  <c r="V334" i="2"/>
  <c r="R334" i="2"/>
  <c r="Y334" i="2"/>
  <c r="U334" i="2"/>
  <c r="X334" i="2"/>
  <c r="Q334" i="2"/>
  <c r="C330" i="2"/>
  <c r="T330" i="2"/>
  <c r="W330" i="2"/>
  <c r="P330" i="2"/>
  <c r="Z330" i="2"/>
  <c r="S330" i="2"/>
  <c r="AA330" i="2"/>
  <c r="V330" i="2"/>
  <c r="R330" i="2"/>
  <c r="X330" i="2"/>
  <c r="U330" i="2"/>
  <c r="Y330" i="2"/>
  <c r="Q330" i="2"/>
  <c r="C326" i="2"/>
  <c r="T326" i="2"/>
  <c r="S326" i="2"/>
  <c r="P326" i="2"/>
  <c r="Z326" i="2"/>
  <c r="AA326" i="2"/>
  <c r="V326" i="2"/>
  <c r="W326" i="2"/>
  <c r="R326" i="2"/>
  <c r="X326" i="2"/>
  <c r="Y326" i="2"/>
  <c r="Q326" i="2"/>
  <c r="U326" i="2"/>
  <c r="C322" i="2"/>
  <c r="T322" i="2"/>
  <c r="AA322" i="2"/>
  <c r="P322" i="2"/>
  <c r="Z322" i="2"/>
  <c r="W322" i="2"/>
  <c r="V322" i="2"/>
  <c r="S322" i="2"/>
  <c r="R322" i="2"/>
  <c r="Y322" i="2"/>
  <c r="X322" i="2"/>
  <c r="U322" i="2"/>
  <c r="Q322" i="2"/>
  <c r="C318" i="2"/>
  <c r="T318" i="2"/>
  <c r="P318" i="2"/>
  <c r="Z318" i="2"/>
  <c r="W318" i="2"/>
  <c r="S318" i="2"/>
  <c r="V318" i="2"/>
  <c r="R318" i="2"/>
  <c r="U318" i="2"/>
  <c r="Y318" i="2"/>
  <c r="AA318" i="2"/>
  <c r="X318" i="2"/>
  <c r="Q318" i="2"/>
  <c r="C314" i="2"/>
  <c r="T314" i="2"/>
  <c r="W314" i="2"/>
  <c r="P314" i="2"/>
  <c r="Z314" i="2"/>
  <c r="S314" i="2"/>
  <c r="AA314" i="2"/>
  <c r="V314" i="2"/>
  <c r="R314" i="2"/>
  <c r="X314" i="2"/>
  <c r="U314" i="2"/>
  <c r="Y314" i="2"/>
  <c r="Q314" i="2"/>
  <c r="C310" i="2"/>
  <c r="T310" i="2"/>
  <c r="S310" i="2"/>
  <c r="P310" i="2"/>
  <c r="Z310" i="2"/>
  <c r="AA310" i="2"/>
  <c r="W310" i="2"/>
  <c r="V310" i="2"/>
  <c r="R310" i="2"/>
  <c r="X310" i="2"/>
  <c r="Y310" i="2"/>
  <c r="Q310" i="2"/>
  <c r="U310" i="2"/>
  <c r="C306" i="2"/>
  <c r="T306" i="2"/>
  <c r="P306" i="2"/>
  <c r="Z306" i="2"/>
  <c r="W306" i="2"/>
  <c r="AA306" i="2"/>
  <c r="S306" i="2"/>
  <c r="V306" i="2"/>
  <c r="R306" i="2"/>
  <c r="Y306" i="2"/>
  <c r="U306" i="2"/>
  <c r="X306" i="2"/>
  <c r="Q306" i="2"/>
  <c r="C302" i="2"/>
  <c r="T302" i="2"/>
  <c r="P302" i="2"/>
  <c r="Z302" i="2"/>
  <c r="W302" i="2"/>
  <c r="AA302" i="2"/>
  <c r="S302" i="2"/>
  <c r="V302" i="2"/>
  <c r="R302" i="2"/>
  <c r="Y302" i="2"/>
  <c r="U302" i="2"/>
  <c r="X302" i="2"/>
  <c r="Q302" i="2"/>
  <c r="C298" i="2"/>
  <c r="T298" i="2"/>
  <c r="AA298" i="2"/>
  <c r="W298" i="2"/>
  <c r="P298" i="2"/>
  <c r="Z298" i="2"/>
  <c r="S298" i="2"/>
  <c r="V298" i="2"/>
  <c r="R298" i="2"/>
  <c r="X298" i="2"/>
  <c r="U298" i="2"/>
  <c r="Y298" i="2"/>
  <c r="Q298" i="2"/>
  <c r="F467" i="2"/>
  <c r="E467" i="2"/>
  <c r="D467" i="2"/>
  <c r="G467" i="2"/>
  <c r="M467" i="2"/>
  <c r="L467" i="2"/>
  <c r="H467" i="2"/>
  <c r="I467" i="2"/>
  <c r="K467" i="2"/>
  <c r="J467" i="2"/>
  <c r="N467" i="2"/>
  <c r="F469" i="2"/>
  <c r="E469" i="2"/>
  <c r="D469" i="2"/>
  <c r="G469" i="2"/>
  <c r="M469" i="2"/>
  <c r="K469" i="2"/>
  <c r="J469" i="2"/>
  <c r="I469" i="2"/>
  <c r="L469" i="2"/>
  <c r="H469" i="2"/>
  <c r="N469" i="2"/>
  <c r="F465" i="2"/>
  <c r="E465" i="2"/>
  <c r="D465" i="2"/>
  <c r="M465" i="2"/>
  <c r="G465" i="2"/>
  <c r="L465" i="2"/>
  <c r="K465" i="2"/>
  <c r="H465" i="2"/>
  <c r="N465" i="2"/>
  <c r="J465" i="2"/>
  <c r="I465" i="2"/>
  <c r="F461" i="2"/>
  <c r="E461" i="2"/>
  <c r="D461" i="2"/>
  <c r="G461" i="2"/>
  <c r="M461" i="2"/>
  <c r="K461" i="2"/>
  <c r="H461" i="2"/>
  <c r="I461" i="2"/>
  <c r="L461" i="2"/>
  <c r="J461" i="2"/>
  <c r="N461" i="2"/>
  <c r="F457" i="2"/>
  <c r="E457" i="2"/>
  <c r="D457" i="2"/>
  <c r="M457" i="2"/>
  <c r="G457" i="2"/>
  <c r="K457" i="2"/>
  <c r="H457" i="2"/>
  <c r="I457" i="2"/>
  <c r="L457" i="2"/>
  <c r="J457" i="2"/>
  <c r="N457" i="2"/>
  <c r="F453" i="2"/>
  <c r="E453" i="2"/>
  <c r="D453" i="2"/>
  <c r="G453" i="2"/>
  <c r="M453" i="2"/>
  <c r="K453" i="2"/>
  <c r="I453" i="2"/>
  <c r="L453" i="2"/>
  <c r="J453" i="2"/>
  <c r="H453" i="2"/>
  <c r="N453" i="2"/>
  <c r="F449" i="2"/>
  <c r="E449" i="2"/>
  <c r="D449" i="2"/>
  <c r="M449" i="2"/>
  <c r="G449" i="2"/>
  <c r="L449" i="2"/>
  <c r="K449" i="2"/>
  <c r="H449" i="2"/>
  <c r="J449" i="2"/>
  <c r="N449" i="2"/>
  <c r="I449" i="2"/>
  <c r="F445" i="2"/>
  <c r="E445" i="2"/>
  <c r="D445" i="2"/>
  <c r="G445" i="2"/>
  <c r="M445" i="2"/>
  <c r="K445" i="2"/>
  <c r="J445" i="2"/>
  <c r="H445" i="2"/>
  <c r="I445" i="2"/>
  <c r="L445" i="2"/>
  <c r="N445" i="2"/>
  <c r="E441" i="2"/>
  <c r="F441" i="2"/>
  <c r="D441" i="2"/>
  <c r="M441" i="2"/>
  <c r="G441" i="2"/>
  <c r="K441" i="2"/>
  <c r="J441" i="2"/>
  <c r="H441" i="2"/>
  <c r="I441" i="2"/>
  <c r="L441" i="2"/>
  <c r="N441" i="2"/>
  <c r="F437" i="2"/>
  <c r="E437" i="2"/>
  <c r="D437" i="2"/>
  <c r="G437" i="2"/>
  <c r="M437" i="2"/>
  <c r="K437" i="2"/>
  <c r="J437" i="2"/>
  <c r="L437" i="2"/>
  <c r="H437" i="2"/>
  <c r="I437" i="2"/>
  <c r="N437" i="2"/>
  <c r="F433" i="2"/>
  <c r="E433" i="2"/>
  <c r="D433" i="2"/>
  <c r="M433" i="2"/>
  <c r="G433" i="2"/>
  <c r="L433" i="2"/>
  <c r="K433" i="2"/>
  <c r="H433" i="2"/>
  <c r="J433" i="2"/>
  <c r="I433" i="2"/>
  <c r="N433" i="2"/>
  <c r="F429" i="2"/>
  <c r="E429" i="2"/>
  <c r="D429" i="2"/>
  <c r="G429" i="2"/>
  <c r="M429" i="2"/>
  <c r="K429" i="2"/>
  <c r="H429" i="2"/>
  <c r="L429" i="2"/>
  <c r="J429" i="2"/>
  <c r="I429" i="2"/>
  <c r="N429" i="2"/>
  <c r="F425" i="2"/>
  <c r="E425" i="2"/>
  <c r="D425" i="2"/>
  <c r="M425" i="2"/>
  <c r="G425" i="2"/>
  <c r="K425" i="2"/>
  <c r="H425" i="2"/>
  <c r="I425" i="2"/>
  <c r="N425" i="2"/>
  <c r="L425" i="2"/>
  <c r="J425" i="2"/>
  <c r="F421" i="2"/>
  <c r="E421" i="2"/>
  <c r="D421" i="2"/>
  <c r="G421" i="2"/>
  <c r="M421" i="2"/>
  <c r="K421" i="2"/>
  <c r="I421" i="2"/>
  <c r="L421" i="2"/>
  <c r="J421" i="2"/>
  <c r="H421" i="2"/>
  <c r="N421" i="2"/>
  <c r="F417" i="2"/>
  <c r="E417" i="2"/>
  <c r="D417" i="2"/>
  <c r="M417" i="2"/>
  <c r="G417" i="2"/>
  <c r="L417" i="2"/>
  <c r="K417" i="2"/>
  <c r="J417" i="2"/>
  <c r="H417" i="2"/>
  <c r="I417" i="2"/>
  <c r="N417" i="2"/>
  <c r="F413" i="2"/>
  <c r="E413" i="2"/>
  <c r="D413" i="2"/>
  <c r="G413" i="2"/>
  <c r="M413" i="2"/>
  <c r="K413" i="2"/>
  <c r="I413" i="2"/>
  <c r="J413" i="2"/>
  <c r="N413" i="2"/>
  <c r="H413" i="2"/>
  <c r="L413" i="2"/>
  <c r="D409" i="2"/>
  <c r="E409" i="2"/>
  <c r="F409" i="2"/>
  <c r="M409" i="2"/>
  <c r="G409" i="2"/>
  <c r="K409" i="2"/>
  <c r="H409" i="2"/>
  <c r="L409" i="2"/>
  <c r="J409" i="2"/>
  <c r="I409" i="2"/>
  <c r="N409" i="2"/>
  <c r="F405" i="2"/>
  <c r="E405" i="2"/>
  <c r="D405" i="2"/>
  <c r="M405" i="2"/>
  <c r="G405" i="2"/>
  <c r="K405" i="2"/>
  <c r="J405" i="2"/>
  <c r="L405" i="2"/>
  <c r="I405" i="2"/>
  <c r="H405" i="2"/>
  <c r="N405" i="2"/>
  <c r="D401" i="2"/>
  <c r="F401" i="2"/>
  <c r="E401" i="2"/>
  <c r="G401" i="2"/>
  <c r="M401" i="2"/>
  <c r="L401" i="2"/>
  <c r="K401" i="2"/>
  <c r="H401" i="2"/>
  <c r="J401" i="2"/>
  <c r="I401" i="2"/>
  <c r="N401" i="2"/>
  <c r="F397" i="2"/>
  <c r="D397" i="2"/>
  <c r="E397" i="2"/>
  <c r="G397" i="2"/>
  <c r="M397" i="2"/>
  <c r="K397" i="2"/>
  <c r="I397" i="2"/>
  <c r="H397" i="2"/>
  <c r="L397" i="2"/>
  <c r="J397" i="2"/>
  <c r="N397" i="2"/>
  <c r="D393" i="2"/>
  <c r="E393" i="2"/>
  <c r="F393" i="2"/>
  <c r="G393" i="2"/>
  <c r="M393" i="2"/>
  <c r="K393" i="2"/>
  <c r="H393" i="2"/>
  <c r="L393" i="2"/>
  <c r="J393" i="2"/>
  <c r="I393" i="2"/>
  <c r="N393" i="2"/>
  <c r="E389" i="2"/>
  <c r="D389" i="2"/>
  <c r="F389" i="2"/>
  <c r="G389" i="2"/>
  <c r="M389" i="2"/>
  <c r="K389" i="2"/>
  <c r="L389" i="2"/>
  <c r="J389" i="2"/>
  <c r="H389" i="2"/>
  <c r="I389" i="2"/>
  <c r="N389" i="2"/>
  <c r="D385" i="2"/>
  <c r="F385" i="2"/>
  <c r="E385" i="2"/>
  <c r="G385" i="2"/>
  <c r="M385" i="2"/>
  <c r="L385" i="2"/>
  <c r="K385" i="2"/>
  <c r="H385" i="2"/>
  <c r="I385" i="2"/>
  <c r="N385" i="2"/>
  <c r="J385" i="2"/>
  <c r="F381" i="2"/>
  <c r="D381" i="2"/>
  <c r="E381" i="2"/>
  <c r="G381" i="2"/>
  <c r="M381" i="2"/>
  <c r="K381" i="2"/>
  <c r="J381" i="2"/>
  <c r="H381" i="2"/>
  <c r="I381" i="2"/>
  <c r="L381" i="2"/>
  <c r="N381" i="2"/>
  <c r="D377" i="2"/>
  <c r="E377" i="2"/>
  <c r="F377" i="2"/>
  <c r="G377" i="2"/>
  <c r="M377" i="2"/>
  <c r="K377" i="2"/>
  <c r="H377" i="2"/>
  <c r="I377" i="2"/>
  <c r="N377" i="2"/>
  <c r="J377" i="2"/>
  <c r="L377" i="2"/>
  <c r="E373" i="2"/>
  <c r="D373" i="2"/>
  <c r="F373" i="2"/>
  <c r="G373" i="2"/>
  <c r="M373" i="2"/>
  <c r="K373" i="2"/>
  <c r="J373" i="2"/>
  <c r="I373" i="2"/>
  <c r="N373" i="2"/>
  <c r="L373" i="2"/>
  <c r="H373" i="2"/>
  <c r="D369" i="2"/>
  <c r="F369" i="2"/>
  <c r="E369" i="2"/>
  <c r="G369" i="2"/>
  <c r="M369" i="2"/>
  <c r="L369" i="2"/>
  <c r="K369" i="2"/>
  <c r="J369" i="2"/>
  <c r="H369" i="2"/>
  <c r="N369" i="2"/>
  <c r="I369" i="2"/>
  <c r="F365" i="2"/>
  <c r="D365" i="2"/>
  <c r="E365" i="2"/>
  <c r="G365" i="2"/>
  <c r="M365" i="2"/>
  <c r="K365" i="2"/>
  <c r="N365" i="2"/>
  <c r="H365" i="2"/>
  <c r="L365" i="2"/>
  <c r="J365" i="2"/>
  <c r="I365" i="2"/>
  <c r="D361" i="2"/>
  <c r="E361" i="2"/>
  <c r="F361" i="2"/>
  <c r="G361" i="2"/>
  <c r="M361" i="2"/>
  <c r="K361" i="2"/>
  <c r="J361" i="2"/>
  <c r="H361" i="2"/>
  <c r="N361" i="2"/>
  <c r="I361" i="2"/>
  <c r="L361" i="2"/>
  <c r="E357" i="2"/>
  <c r="D357" i="2"/>
  <c r="F357" i="2"/>
  <c r="G357" i="2"/>
  <c r="M357" i="2"/>
  <c r="L357" i="2"/>
  <c r="K357" i="2"/>
  <c r="J357" i="2"/>
  <c r="I357" i="2"/>
  <c r="N357" i="2"/>
  <c r="H357" i="2"/>
  <c r="D353" i="2"/>
  <c r="F353" i="2"/>
  <c r="E353" i="2"/>
  <c r="G353" i="2"/>
  <c r="M353" i="2"/>
  <c r="K353" i="2"/>
  <c r="H353" i="2"/>
  <c r="N353" i="2"/>
  <c r="I353" i="2"/>
  <c r="L353" i="2"/>
  <c r="J353" i="2"/>
  <c r="F349" i="2"/>
  <c r="D349" i="2"/>
  <c r="E349" i="2"/>
  <c r="G349" i="2"/>
  <c r="M349" i="2"/>
  <c r="K349" i="2"/>
  <c r="N349" i="2"/>
  <c r="L349" i="2"/>
  <c r="J349" i="2"/>
  <c r="H349" i="2"/>
  <c r="I349" i="2"/>
  <c r="D345" i="2"/>
  <c r="E345" i="2"/>
  <c r="F345" i="2"/>
  <c r="G345" i="2"/>
  <c r="M345" i="2"/>
  <c r="K345" i="2"/>
  <c r="H345" i="2"/>
  <c r="I345" i="2"/>
  <c r="N345" i="2"/>
  <c r="L345" i="2"/>
  <c r="J345" i="2"/>
  <c r="E341" i="2"/>
  <c r="D341" i="2"/>
  <c r="F341" i="2"/>
  <c r="G341" i="2"/>
  <c r="M341" i="2"/>
  <c r="L341" i="2"/>
  <c r="K341" i="2"/>
  <c r="J341" i="2"/>
  <c r="N341" i="2"/>
  <c r="H341" i="2"/>
  <c r="I341" i="2"/>
  <c r="D337" i="2"/>
  <c r="F337" i="2"/>
  <c r="E337" i="2"/>
  <c r="G337" i="2"/>
  <c r="M337" i="2"/>
  <c r="K337" i="2"/>
  <c r="H337" i="2"/>
  <c r="N337" i="2"/>
  <c r="I337" i="2"/>
  <c r="L337" i="2"/>
  <c r="J337" i="2"/>
  <c r="F333" i="2"/>
  <c r="D333" i="2"/>
  <c r="E333" i="2"/>
  <c r="G333" i="2"/>
  <c r="M333" i="2"/>
  <c r="K333" i="2"/>
  <c r="N333" i="2"/>
  <c r="L333" i="2"/>
  <c r="J333" i="2"/>
  <c r="H333" i="2"/>
  <c r="I333" i="2"/>
  <c r="D329" i="2"/>
  <c r="E329" i="2"/>
  <c r="F329" i="2"/>
  <c r="G329" i="2"/>
  <c r="M329" i="2"/>
  <c r="K329" i="2"/>
  <c r="H329" i="2"/>
  <c r="N329" i="2"/>
  <c r="L329" i="2"/>
  <c r="J329" i="2"/>
  <c r="I329" i="2"/>
  <c r="F325" i="2"/>
  <c r="E325" i="2"/>
  <c r="D325" i="2"/>
  <c r="G325" i="2"/>
  <c r="M325" i="2"/>
  <c r="L325" i="2"/>
  <c r="K325" i="2"/>
  <c r="J325" i="2"/>
  <c r="N325" i="2"/>
  <c r="I325" i="2"/>
  <c r="H325" i="2"/>
  <c r="F321" i="2"/>
  <c r="D321" i="2"/>
  <c r="E321" i="2"/>
  <c r="G321" i="2"/>
  <c r="M321" i="2"/>
  <c r="K321" i="2"/>
  <c r="H321" i="2"/>
  <c r="N321" i="2"/>
  <c r="L321" i="2"/>
  <c r="J321" i="2"/>
  <c r="I321" i="2"/>
  <c r="F317" i="2"/>
  <c r="E317" i="2"/>
  <c r="D317" i="2"/>
  <c r="G317" i="2"/>
  <c r="M317" i="2"/>
  <c r="K317" i="2"/>
  <c r="I317" i="2"/>
  <c r="N317" i="2"/>
  <c r="H317" i="2"/>
  <c r="L317" i="2"/>
  <c r="J317" i="2"/>
  <c r="F313" i="2"/>
  <c r="E313" i="2"/>
  <c r="D313" i="2"/>
  <c r="G313" i="2"/>
  <c r="K313" i="2"/>
  <c r="N313" i="2"/>
  <c r="L313" i="2"/>
  <c r="J313" i="2"/>
  <c r="I313" i="2"/>
  <c r="M313" i="2"/>
  <c r="H313" i="2"/>
  <c r="F309" i="2"/>
  <c r="E309" i="2"/>
  <c r="G309" i="2"/>
  <c r="D309" i="2"/>
  <c r="M309" i="2"/>
  <c r="L309" i="2"/>
  <c r="K309" i="2"/>
  <c r="J309" i="2"/>
  <c r="H309" i="2"/>
  <c r="I309" i="2"/>
  <c r="N309" i="2"/>
  <c r="F305" i="2"/>
  <c r="E305" i="2"/>
  <c r="G305" i="2"/>
  <c r="D305" i="2"/>
  <c r="M305" i="2"/>
  <c r="K305" i="2"/>
  <c r="N305" i="2"/>
  <c r="I305" i="2"/>
  <c r="L305" i="2"/>
  <c r="J305" i="2"/>
  <c r="H305" i="2"/>
  <c r="F301" i="2"/>
  <c r="D301" i="2"/>
  <c r="E301" i="2"/>
  <c r="G301" i="2"/>
  <c r="M301" i="2"/>
  <c r="K301" i="2"/>
  <c r="N301" i="2"/>
  <c r="I301" i="2"/>
  <c r="L301" i="2"/>
  <c r="J301" i="2"/>
  <c r="H301" i="2"/>
  <c r="F464" i="2"/>
  <c r="E464" i="2"/>
  <c r="D464" i="2"/>
  <c r="G464" i="2"/>
  <c r="H464" i="2"/>
  <c r="M464" i="2"/>
  <c r="L464" i="2"/>
  <c r="I464" i="2"/>
  <c r="K464" i="2"/>
  <c r="J464" i="2"/>
  <c r="N464" i="2"/>
  <c r="F460" i="2"/>
  <c r="E460" i="2"/>
  <c r="D460" i="2"/>
  <c r="G460" i="2"/>
  <c r="H460" i="2"/>
  <c r="M460" i="2"/>
  <c r="L460" i="2"/>
  <c r="I460" i="2"/>
  <c r="J460" i="2"/>
  <c r="N460" i="2"/>
  <c r="K460" i="2"/>
  <c r="F456" i="2"/>
  <c r="E456" i="2"/>
  <c r="D456" i="2"/>
  <c r="G456" i="2"/>
  <c r="L456" i="2"/>
  <c r="H456" i="2"/>
  <c r="I456" i="2"/>
  <c r="M456" i="2"/>
  <c r="J456" i="2"/>
  <c r="K456" i="2"/>
  <c r="N456" i="2"/>
  <c r="F452" i="2"/>
  <c r="E452" i="2"/>
  <c r="D452" i="2"/>
  <c r="G452" i="2"/>
  <c r="M452" i="2"/>
  <c r="J452" i="2"/>
  <c r="L452" i="2"/>
  <c r="K452" i="2"/>
  <c r="H452" i="2"/>
  <c r="I452" i="2"/>
  <c r="N452" i="2"/>
  <c r="F448" i="2"/>
  <c r="E448" i="2"/>
  <c r="D448" i="2"/>
  <c r="G448" i="2"/>
  <c r="M448" i="2"/>
  <c r="N448" i="2"/>
  <c r="L448" i="2"/>
  <c r="I448" i="2"/>
  <c r="K448" i="2"/>
  <c r="J448" i="2"/>
  <c r="H448" i="2"/>
  <c r="F444" i="2"/>
  <c r="E444" i="2"/>
  <c r="D444" i="2"/>
  <c r="G444" i="2"/>
  <c r="L444" i="2"/>
  <c r="I444" i="2"/>
  <c r="J444" i="2"/>
  <c r="H444" i="2"/>
  <c r="M444" i="2"/>
  <c r="K444" i="2"/>
  <c r="N444" i="2"/>
  <c r="F440" i="2"/>
  <c r="E440" i="2"/>
  <c r="D440" i="2"/>
  <c r="G440" i="2"/>
  <c r="L440" i="2"/>
  <c r="N440" i="2"/>
  <c r="J440" i="2"/>
  <c r="I440" i="2"/>
  <c r="H440" i="2"/>
  <c r="M440" i="2"/>
  <c r="K440" i="2"/>
  <c r="F436" i="2"/>
  <c r="E436" i="2"/>
  <c r="D436" i="2"/>
  <c r="G436" i="2"/>
  <c r="J436" i="2"/>
  <c r="H436" i="2"/>
  <c r="M436" i="2"/>
  <c r="I436" i="2"/>
  <c r="L436" i="2"/>
  <c r="K436" i="2"/>
  <c r="N436" i="2"/>
  <c r="F432" i="2"/>
  <c r="E432" i="2"/>
  <c r="D432" i="2"/>
  <c r="G432" i="2"/>
  <c r="I432" i="2"/>
  <c r="H432" i="2"/>
  <c r="N432" i="2"/>
  <c r="M432" i="2"/>
  <c r="L432" i="2"/>
  <c r="K432" i="2"/>
  <c r="J432" i="2"/>
  <c r="F428" i="2"/>
  <c r="E428" i="2"/>
  <c r="D428" i="2"/>
  <c r="G428" i="2"/>
  <c r="H428" i="2"/>
  <c r="M428" i="2"/>
  <c r="L428" i="2"/>
  <c r="J428" i="2"/>
  <c r="I428" i="2"/>
  <c r="K428" i="2"/>
  <c r="N428" i="2"/>
  <c r="F424" i="2"/>
  <c r="E424" i="2"/>
  <c r="D424" i="2"/>
  <c r="G424" i="2"/>
  <c r="L424" i="2"/>
  <c r="H424" i="2"/>
  <c r="M424" i="2"/>
  <c r="J424" i="2"/>
  <c r="I424" i="2"/>
  <c r="K424" i="2"/>
  <c r="N424" i="2"/>
  <c r="F420" i="2"/>
  <c r="E420" i="2"/>
  <c r="D420" i="2"/>
  <c r="G420" i="2"/>
  <c r="M420" i="2"/>
  <c r="J420" i="2"/>
  <c r="N420" i="2"/>
  <c r="L420" i="2"/>
  <c r="K420" i="2"/>
  <c r="H420" i="2"/>
  <c r="I420" i="2"/>
  <c r="F416" i="2"/>
  <c r="E416" i="2"/>
  <c r="D416" i="2"/>
  <c r="G416" i="2"/>
  <c r="M416" i="2"/>
  <c r="I416" i="2"/>
  <c r="L416" i="2"/>
  <c r="N416" i="2"/>
  <c r="K416" i="2"/>
  <c r="J416" i="2"/>
  <c r="H416" i="2"/>
  <c r="F412" i="2"/>
  <c r="E412" i="2"/>
  <c r="D412" i="2"/>
  <c r="G412" i="2"/>
  <c r="M412" i="2"/>
  <c r="N412" i="2"/>
  <c r="L412" i="2"/>
  <c r="J412" i="2"/>
  <c r="H412" i="2"/>
  <c r="K412" i="2"/>
  <c r="I412" i="2"/>
  <c r="F408" i="2"/>
  <c r="E408" i="2"/>
  <c r="D408" i="2"/>
  <c r="G408" i="2"/>
  <c r="L408" i="2"/>
  <c r="J408" i="2"/>
  <c r="H408" i="2"/>
  <c r="M408" i="2"/>
  <c r="K408" i="2"/>
  <c r="I408" i="2"/>
  <c r="N408" i="2"/>
  <c r="E404" i="2"/>
  <c r="F404" i="2"/>
  <c r="D404" i="2"/>
  <c r="G404" i="2"/>
  <c r="M404" i="2"/>
  <c r="J404" i="2"/>
  <c r="I404" i="2"/>
  <c r="H404" i="2"/>
  <c r="N404" i="2"/>
  <c r="L404" i="2"/>
  <c r="K404" i="2"/>
  <c r="F400" i="2"/>
  <c r="E400" i="2"/>
  <c r="D400" i="2"/>
  <c r="G400" i="2"/>
  <c r="H400" i="2"/>
  <c r="M400" i="2"/>
  <c r="L400" i="2"/>
  <c r="I400" i="2"/>
  <c r="K400" i="2"/>
  <c r="J400" i="2"/>
  <c r="N400" i="2"/>
  <c r="F396" i="2"/>
  <c r="E396" i="2"/>
  <c r="G396" i="2"/>
  <c r="D396" i="2"/>
  <c r="M396" i="2"/>
  <c r="H396" i="2"/>
  <c r="I396" i="2"/>
  <c r="L396" i="2"/>
  <c r="N396" i="2"/>
  <c r="J396" i="2"/>
  <c r="K396" i="2"/>
  <c r="F392" i="2"/>
  <c r="E392" i="2"/>
  <c r="G392" i="2"/>
  <c r="D392" i="2"/>
  <c r="L392" i="2"/>
  <c r="H392" i="2"/>
  <c r="I392" i="2"/>
  <c r="M392" i="2"/>
  <c r="J392" i="2"/>
  <c r="K392" i="2"/>
  <c r="N392" i="2"/>
  <c r="F388" i="2"/>
  <c r="E388" i="2"/>
  <c r="D388" i="2"/>
  <c r="G388" i="2"/>
  <c r="M388" i="2"/>
  <c r="J388" i="2"/>
  <c r="I388" i="2"/>
  <c r="L388" i="2"/>
  <c r="K388" i="2"/>
  <c r="H388" i="2"/>
  <c r="N388" i="2"/>
  <c r="F384" i="2"/>
  <c r="E384" i="2"/>
  <c r="G384" i="2"/>
  <c r="D384" i="2"/>
  <c r="M384" i="2"/>
  <c r="L384" i="2"/>
  <c r="K384" i="2"/>
  <c r="J384" i="2"/>
  <c r="H384" i="2"/>
  <c r="I384" i="2"/>
  <c r="N384" i="2"/>
  <c r="F380" i="2"/>
  <c r="E380" i="2"/>
  <c r="G380" i="2"/>
  <c r="D380" i="2"/>
  <c r="M380" i="2"/>
  <c r="L380" i="2"/>
  <c r="I380" i="2"/>
  <c r="J380" i="2"/>
  <c r="H380" i="2"/>
  <c r="N380" i="2"/>
  <c r="K380" i="2"/>
  <c r="F376" i="2"/>
  <c r="E376" i="2"/>
  <c r="G376" i="2"/>
  <c r="D376" i="2"/>
  <c r="L376" i="2"/>
  <c r="J376" i="2"/>
  <c r="I376" i="2"/>
  <c r="H376" i="2"/>
  <c r="M376" i="2"/>
  <c r="K376" i="2"/>
  <c r="N376" i="2"/>
  <c r="F372" i="2"/>
  <c r="E372" i="2"/>
  <c r="D372" i="2"/>
  <c r="G372" i="2"/>
  <c r="M372" i="2"/>
  <c r="J372" i="2"/>
  <c r="H372" i="2"/>
  <c r="I372" i="2"/>
  <c r="L372" i="2"/>
  <c r="K372" i="2"/>
  <c r="N372" i="2"/>
  <c r="F368" i="2"/>
  <c r="E368" i="2"/>
  <c r="G368" i="2"/>
  <c r="D368" i="2"/>
  <c r="I368" i="2"/>
  <c r="H368" i="2"/>
  <c r="M368" i="2"/>
  <c r="L368" i="2"/>
  <c r="K368" i="2"/>
  <c r="J368" i="2"/>
  <c r="N368" i="2"/>
  <c r="F364" i="2"/>
  <c r="E364" i="2"/>
  <c r="G364" i="2"/>
  <c r="D364" i="2"/>
  <c r="M364" i="2"/>
  <c r="H364" i="2"/>
  <c r="L364" i="2"/>
  <c r="J364" i="2"/>
  <c r="I364" i="2"/>
  <c r="K364" i="2"/>
  <c r="N364" i="2"/>
  <c r="F360" i="2"/>
  <c r="E360" i="2"/>
  <c r="G360" i="2"/>
  <c r="D360" i="2"/>
  <c r="L360" i="2"/>
  <c r="H360" i="2"/>
  <c r="M360" i="2"/>
  <c r="J360" i="2"/>
  <c r="K360" i="2"/>
  <c r="I360" i="2"/>
  <c r="N360" i="2"/>
  <c r="F356" i="2"/>
  <c r="E356" i="2"/>
  <c r="D356" i="2"/>
  <c r="G356" i="2"/>
  <c r="M356" i="2"/>
  <c r="L356" i="2"/>
  <c r="I356" i="2"/>
  <c r="K356" i="2"/>
  <c r="J356" i="2"/>
  <c r="H356" i="2"/>
  <c r="N356" i="2"/>
  <c r="F352" i="2"/>
  <c r="E352" i="2"/>
  <c r="G352" i="2"/>
  <c r="D352" i="2"/>
  <c r="M352" i="2"/>
  <c r="L352" i="2"/>
  <c r="J352" i="2"/>
  <c r="I352" i="2"/>
  <c r="K352" i="2"/>
  <c r="H352" i="2"/>
  <c r="N352" i="2"/>
  <c r="F348" i="2"/>
  <c r="E348" i="2"/>
  <c r="G348" i="2"/>
  <c r="D348" i="2"/>
  <c r="M348" i="2"/>
  <c r="I348" i="2"/>
  <c r="L348" i="2"/>
  <c r="J348" i="2"/>
  <c r="H348" i="2"/>
  <c r="K348" i="2"/>
  <c r="N348" i="2"/>
  <c r="F344" i="2"/>
  <c r="E344" i="2"/>
  <c r="G344" i="2"/>
  <c r="D344" i="2"/>
  <c r="J344" i="2"/>
  <c r="H344" i="2"/>
  <c r="M344" i="2"/>
  <c r="L344" i="2"/>
  <c r="K344" i="2"/>
  <c r="I344" i="2"/>
  <c r="N344" i="2"/>
  <c r="F340" i="2"/>
  <c r="E340" i="2"/>
  <c r="D340" i="2"/>
  <c r="G340" i="2"/>
  <c r="M340" i="2"/>
  <c r="L340" i="2"/>
  <c r="H340" i="2"/>
  <c r="J340" i="2"/>
  <c r="I340" i="2"/>
  <c r="K340" i="2"/>
  <c r="N340" i="2"/>
  <c r="F336" i="2"/>
  <c r="E336" i="2"/>
  <c r="G336" i="2"/>
  <c r="D336" i="2"/>
  <c r="H336" i="2"/>
  <c r="I336" i="2"/>
  <c r="M336" i="2"/>
  <c r="L336" i="2"/>
  <c r="K336" i="2"/>
  <c r="J336" i="2"/>
  <c r="N336" i="2"/>
  <c r="F332" i="2"/>
  <c r="E332" i="2"/>
  <c r="G332" i="2"/>
  <c r="D332" i="2"/>
  <c r="M332" i="2"/>
  <c r="L332" i="2"/>
  <c r="H332" i="2"/>
  <c r="I332" i="2"/>
  <c r="K332" i="2"/>
  <c r="J332" i="2"/>
  <c r="N332" i="2"/>
  <c r="F328" i="2"/>
  <c r="E328" i="2"/>
  <c r="G328" i="2"/>
  <c r="D328" i="2"/>
  <c r="H328" i="2"/>
  <c r="M328" i="2"/>
  <c r="L328" i="2"/>
  <c r="K328" i="2"/>
  <c r="J328" i="2"/>
  <c r="I328" i="2"/>
  <c r="N328" i="2"/>
  <c r="F324" i="2"/>
  <c r="E324" i="2"/>
  <c r="D324" i="2"/>
  <c r="G324" i="2"/>
  <c r="M324" i="2"/>
  <c r="J324" i="2"/>
  <c r="I324" i="2"/>
  <c r="L324" i="2"/>
  <c r="K324" i="2"/>
  <c r="H324" i="2"/>
  <c r="N324" i="2"/>
  <c r="F320" i="2"/>
  <c r="E320" i="2"/>
  <c r="G320" i="2"/>
  <c r="D320" i="2"/>
  <c r="M320" i="2"/>
  <c r="L320" i="2"/>
  <c r="J320" i="2"/>
  <c r="I320" i="2"/>
  <c r="K320" i="2"/>
  <c r="H320" i="2"/>
  <c r="N320" i="2"/>
  <c r="F316" i="2"/>
  <c r="E316" i="2"/>
  <c r="D316" i="2"/>
  <c r="G316" i="2"/>
  <c r="M316" i="2"/>
  <c r="I316" i="2"/>
  <c r="J316" i="2"/>
  <c r="H316" i="2"/>
  <c r="L316" i="2"/>
  <c r="K316" i="2"/>
  <c r="N316" i="2"/>
  <c r="F312" i="2"/>
  <c r="D312" i="2"/>
  <c r="E312" i="2"/>
  <c r="G312" i="2"/>
  <c r="M312" i="2"/>
  <c r="H312" i="2"/>
  <c r="L312" i="2"/>
  <c r="J312" i="2"/>
  <c r="K312" i="2"/>
  <c r="I312" i="2"/>
  <c r="N312" i="2"/>
  <c r="E308" i="2"/>
  <c r="F308" i="2"/>
  <c r="G308" i="2"/>
  <c r="D308" i="2"/>
  <c r="M308" i="2"/>
  <c r="J308" i="2"/>
  <c r="L308" i="2"/>
  <c r="H308" i="2"/>
  <c r="I308" i="2"/>
  <c r="K308" i="2"/>
  <c r="N308" i="2"/>
  <c r="F304" i="2"/>
  <c r="E304" i="2"/>
  <c r="G304" i="2"/>
  <c r="D304" i="2"/>
  <c r="M304" i="2"/>
  <c r="H304" i="2"/>
  <c r="I304" i="2"/>
  <c r="J304" i="2"/>
  <c r="L304" i="2"/>
  <c r="K304" i="2"/>
  <c r="N304" i="2"/>
  <c r="F300" i="2"/>
  <c r="E300" i="2"/>
  <c r="G300" i="2"/>
  <c r="D300" i="2"/>
  <c r="M300" i="2"/>
  <c r="I300" i="2"/>
  <c r="L300" i="2"/>
  <c r="H300" i="2"/>
  <c r="K300" i="2"/>
  <c r="J300" i="2"/>
  <c r="N300" i="2"/>
  <c r="F471" i="2"/>
  <c r="E471" i="2"/>
  <c r="D471" i="2"/>
  <c r="G471" i="2"/>
  <c r="M471" i="2"/>
  <c r="L471" i="2"/>
  <c r="K471" i="2"/>
  <c r="I471" i="2"/>
  <c r="J471" i="2"/>
  <c r="H471" i="2"/>
  <c r="N471" i="2"/>
  <c r="F459" i="2"/>
  <c r="E459" i="2"/>
  <c r="D459" i="2"/>
  <c r="G459" i="2"/>
  <c r="M459" i="2"/>
  <c r="J459" i="2"/>
  <c r="H459" i="2"/>
  <c r="L459" i="2"/>
  <c r="K459" i="2"/>
  <c r="I459" i="2"/>
  <c r="N459" i="2"/>
  <c r="F455" i="2"/>
  <c r="E455" i="2"/>
  <c r="D455" i="2"/>
  <c r="G455" i="2"/>
  <c r="M455" i="2"/>
  <c r="N455" i="2"/>
  <c r="L455" i="2"/>
  <c r="I455" i="2"/>
  <c r="K455" i="2"/>
  <c r="J455" i="2"/>
  <c r="H455" i="2"/>
  <c r="F451" i="2"/>
  <c r="E451" i="2"/>
  <c r="D451" i="2"/>
  <c r="G451" i="2"/>
  <c r="M451" i="2"/>
  <c r="L451" i="2"/>
  <c r="I451" i="2"/>
  <c r="H451" i="2"/>
  <c r="K451" i="2"/>
  <c r="J451" i="2"/>
  <c r="N451" i="2"/>
  <c r="F447" i="2"/>
  <c r="E447" i="2"/>
  <c r="D447" i="2"/>
  <c r="G447" i="2"/>
  <c r="M447" i="2"/>
  <c r="J447" i="2"/>
  <c r="K447" i="2"/>
  <c r="I447" i="2"/>
  <c r="L447" i="2"/>
  <c r="H447" i="2"/>
  <c r="N447" i="2"/>
  <c r="F443" i="2"/>
  <c r="E443" i="2"/>
  <c r="D443" i="2"/>
  <c r="G443" i="2"/>
  <c r="M443" i="2"/>
  <c r="J443" i="2"/>
  <c r="H443" i="2"/>
  <c r="L443" i="2"/>
  <c r="K443" i="2"/>
  <c r="I443" i="2"/>
  <c r="N443" i="2"/>
  <c r="F439" i="2"/>
  <c r="E439" i="2"/>
  <c r="D439" i="2"/>
  <c r="G439" i="2"/>
  <c r="M439" i="2"/>
  <c r="L439" i="2"/>
  <c r="K439" i="2"/>
  <c r="J439" i="2"/>
  <c r="H439" i="2"/>
  <c r="I439" i="2"/>
  <c r="N439" i="2"/>
  <c r="F435" i="2"/>
  <c r="E435" i="2"/>
  <c r="D435" i="2"/>
  <c r="G435" i="2"/>
  <c r="M435" i="2"/>
  <c r="L435" i="2"/>
  <c r="H435" i="2"/>
  <c r="I435" i="2"/>
  <c r="K435" i="2"/>
  <c r="J435" i="2"/>
  <c r="N435" i="2"/>
  <c r="F431" i="2"/>
  <c r="E431" i="2"/>
  <c r="D431" i="2"/>
  <c r="G431" i="2"/>
  <c r="M431" i="2"/>
  <c r="J431" i="2"/>
  <c r="K431" i="2"/>
  <c r="L431" i="2"/>
  <c r="H431" i="2"/>
  <c r="I431" i="2"/>
  <c r="N431" i="2"/>
  <c r="F427" i="2"/>
  <c r="E427" i="2"/>
  <c r="D427" i="2"/>
  <c r="G427" i="2"/>
  <c r="M427" i="2"/>
  <c r="J427" i="2"/>
  <c r="I427" i="2"/>
  <c r="H427" i="2"/>
  <c r="L427" i="2"/>
  <c r="K427" i="2"/>
  <c r="N427" i="2"/>
  <c r="F423" i="2"/>
  <c r="E423" i="2"/>
  <c r="D423" i="2"/>
  <c r="G423" i="2"/>
  <c r="M423" i="2"/>
  <c r="I423" i="2"/>
  <c r="L423" i="2"/>
  <c r="K423" i="2"/>
  <c r="J423" i="2"/>
  <c r="H423" i="2"/>
  <c r="N423" i="2"/>
  <c r="F419" i="2"/>
  <c r="E419" i="2"/>
  <c r="D419" i="2"/>
  <c r="G419" i="2"/>
  <c r="M419" i="2"/>
  <c r="L419" i="2"/>
  <c r="H419" i="2"/>
  <c r="K419" i="2"/>
  <c r="J419" i="2"/>
  <c r="I419" i="2"/>
  <c r="N419" i="2"/>
  <c r="F415" i="2"/>
  <c r="E415" i="2"/>
  <c r="D415" i="2"/>
  <c r="G415" i="2"/>
  <c r="M415" i="2"/>
  <c r="I415" i="2"/>
  <c r="J415" i="2"/>
  <c r="K415" i="2"/>
  <c r="L415" i="2"/>
  <c r="H415" i="2"/>
  <c r="N415" i="2"/>
  <c r="F411" i="2"/>
  <c r="E411" i="2"/>
  <c r="D411" i="2"/>
  <c r="G411" i="2"/>
  <c r="M411" i="2"/>
  <c r="J411" i="2"/>
  <c r="H411" i="2"/>
  <c r="I411" i="2"/>
  <c r="L411" i="2"/>
  <c r="K411" i="2"/>
  <c r="N411" i="2"/>
  <c r="F407" i="2"/>
  <c r="E407" i="2"/>
  <c r="D407" i="2"/>
  <c r="G407" i="2"/>
  <c r="M407" i="2"/>
  <c r="L407" i="2"/>
  <c r="I407" i="2"/>
  <c r="K407" i="2"/>
  <c r="J407" i="2"/>
  <c r="H407" i="2"/>
  <c r="N407" i="2"/>
  <c r="F403" i="2"/>
  <c r="E403" i="2"/>
  <c r="D403" i="2"/>
  <c r="G403" i="2"/>
  <c r="M403" i="2"/>
  <c r="L403" i="2"/>
  <c r="H403" i="2"/>
  <c r="K403" i="2"/>
  <c r="J403" i="2"/>
  <c r="I403" i="2"/>
  <c r="N403" i="2"/>
  <c r="F399" i="2"/>
  <c r="E399" i="2"/>
  <c r="D399" i="2"/>
  <c r="G399" i="2"/>
  <c r="M399" i="2"/>
  <c r="J399" i="2"/>
  <c r="I399" i="2"/>
  <c r="K399" i="2"/>
  <c r="L399" i="2"/>
  <c r="H399" i="2"/>
  <c r="N399" i="2"/>
  <c r="F395" i="2"/>
  <c r="E395" i="2"/>
  <c r="D395" i="2"/>
  <c r="G395" i="2"/>
  <c r="M395" i="2"/>
  <c r="J395" i="2"/>
  <c r="H395" i="2"/>
  <c r="L395" i="2"/>
  <c r="K395" i="2"/>
  <c r="I395" i="2"/>
  <c r="N395" i="2"/>
  <c r="F391" i="2"/>
  <c r="E391" i="2"/>
  <c r="D391" i="2"/>
  <c r="G391" i="2"/>
  <c r="M391" i="2"/>
  <c r="L391" i="2"/>
  <c r="K391" i="2"/>
  <c r="I391" i="2"/>
  <c r="J391" i="2"/>
  <c r="H391" i="2"/>
  <c r="N391" i="2"/>
  <c r="F387" i="2"/>
  <c r="E387" i="2"/>
  <c r="D387" i="2"/>
  <c r="G387" i="2"/>
  <c r="M387" i="2"/>
  <c r="L387" i="2"/>
  <c r="I387" i="2"/>
  <c r="H387" i="2"/>
  <c r="K387" i="2"/>
  <c r="J387" i="2"/>
  <c r="N387" i="2"/>
  <c r="F383" i="2"/>
  <c r="E383" i="2"/>
  <c r="D383" i="2"/>
  <c r="G383" i="2"/>
  <c r="M383" i="2"/>
  <c r="J383" i="2"/>
  <c r="K383" i="2"/>
  <c r="I383" i="2"/>
  <c r="L383" i="2"/>
  <c r="H383" i="2"/>
  <c r="N383" i="2"/>
  <c r="F379" i="2"/>
  <c r="E379" i="2"/>
  <c r="D379" i="2"/>
  <c r="G379" i="2"/>
  <c r="M379" i="2"/>
  <c r="J379" i="2"/>
  <c r="H379" i="2"/>
  <c r="L379" i="2"/>
  <c r="K379" i="2"/>
  <c r="I379" i="2"/>
  <c r="N379" i="2"/>
  <c r="F375" i="2"/>
  <c r="E375" i="2"/>
  <c r="D375" i="2"/>
  <c r="G375" i="2"/>
  <c r="M375" i="2"/>
  <c r="L375" i="2"/>
  <c r="K375" i="2"/>
  <c r="N375" i="2"/>
  <c r="J375" i="2"/>
  <c r="H375" i="2"/>
  <c r="I375" i="2"/>
  <c r="F371" i="2"/>
  <c r="E371" i="2"/>
  <c r="D371" i="2"/>
  <c r="G371" i="2"/>
  <c r="M371" i="2"/>
  <c r="L371" i="2"/>
  <c r="H371" i="2"/>
  <c r="I371" i="2"/>
  <c r="K371" i="2"/>
  <c r="J371" i="2"/>
  <c r="N371" i="2"/>
  <c r="F367" i="2"/>
  <c r="E367" i="2"/>
  <c r="D367" i="2"/>
  <c r="G367" i="2"/>
  <c r="M367" i="2"/>
  <c r="J367" i="2"/>
  <c r="K367" i="2"/>
  <c r="N367" i="2"/>
  <c r="L367" i="2"/>
  <c r="H367" i="2"/>
  <c r="I367" i="2"/>
  <c r="F363" i="2"/>
  <c r="E363" i="2"/>
  <c r="D363" i="2"/>
  <c r="G363" i="2"/>
  <c r="M363" i="2"/>
  <c r="J363" i="2"/>
  <c r="H363" i="2"/>
  <c r="L363" i="2"/>
  <c r="K363" i="2"/>
  <c r="I363" i="2"/>
  <c r="N363" i="2"/>
  <c r="F359" i="2"/>
  <c r="E359" i="2"/>
  <c r="D359" i="2"/>
  <c r="G359" i="2"/>
  <c r="M359" i="2"/>
  <c r="K359" i="2"/>
  <c r="J359" i="2"/>
  <c r="N359" i="2"/>
  <c r="L359" i="2"/>
  <c r="H359" i="2"/>
  <c r="I359" i="2"/>
  <c r="F355" i="2"/>
  <c r="E355" i="2"/>
  <c r="D355" i="2"/>
  <c r="G355" i="2"/>
  <c r="M355" i="2"/>
  <c r="J355" i="2"/>
  <c r="H355" i="2"/>
  <c r="I355" i="2"/>
  <c r="L355" i="2"/>
  <c r="K355" i="2"/>
  <c r="N355" i="2"/>
  <c r="F351" i="2"/>
  <c r="E351" i="2"/>
  <c r="D351" i="2"/>
  <c r="G351" i="2"/>
  <c r="M351" i="2"/>
  <c r="J351" i="2"/>
  <c r="L351" i="2"/>
  <c r="K351" i="2"/>
  <c r="I351" i="2"/>
  <c r="N351" i="2"/>
  <c r="H351" i="2"/>
  <c r="F347" i="2"/>
  <c r="E347" i="2"/>
  <c r="D347" i="2"/>
  <c r="G347" i="2"/>
  <c r="M347" i="2"/>
  <c r="L347" i="2"/>
  <c r="I347" i="2"/>
  <c r="H347" i="2"/>
  <c r="K347" i="2"/>
  <c r="N347" i="2"/>
  <c r="J347" i="2"/>
  <c r="F343" i="2"/>
  <c r="E343" i="2"/>
  <c r="D343" i="2"/>
  <c r="G343" i="2"/>
  <c r="M343" i="2"/>
  <c r="I343" i="2"/>
  <c r="K343" i="2"/>
  <c r="J343" i="2"/>
  <c r="N343" i="2"/>
  <c r="L343" i="2"/>
  <c r="H343" i="2"/>
  <c r="F339" i="2"/>
  <c r="E339" i="2"/>
  <c r="D339" i="2"/>
  <c r="G339" i="2"/>
  <c r="M339" i="2"/>
  <c r="J339" i="2"/>
  <c r="H339" i="2"/>
  <c r="L339" i="2"/>
  <c r="K339" i="2"/>
  <c r="I339" i="2"/>
  <c r="N339" i="2"/>
  <c r="F335" i="2"/>
  <c r="E335" i="2"/>
  <c r="D335" i="2"/>
  <c r="G335" i="2"/>
  <c r="M335" i="2"/>
  <c r="J335" i="2"/>
  <c r="L335" i="2"/>
  <c r="K335" i="2"/>
  <c r="I335" i="2"/>
  <c r="N335" i="2"/>
  <c r="H335" i="2"/>
  <c r="F331" i="2"/>
  <c r="E331" i="2"/>
  <c r="D331" i="2"/>
  <c r="G331" i="2"/>
  <c r="M331" i="2"/>
  <c r="L331" i="2"/>
  <c r="H331" i="2"/>
  <c r="K331" i="2"/>
  <c r="N331" i="2"/>
  <c r="J331" i="2"/>
  <c r="I331" i="2"/>
  <c r="F327" i="2"/>
  <c r="E327" i="2"/>
  <c r="D327" i="2"/>
  <c r="G327" i="2"/>
  <c r="M327" i="2"/>
  <c r="I327" i="2"/>
  <c r="K327" i="2"/>
  <c r="J327" i="2"/>
  <c r="N327" i="2"/>
  <c r="L327" i="2"/>
  <c r="H327" i="2"/>
  <c r="F323" i="2"/>
  <c r="E323" i="2"/>
  <c r="D323" i="2"/>
  <c r="G323" i="2"/>
  <c r="M323" i="2"/>
  <c r="J323" i="2"/>
  <c r="H323" i="2"/>
  <c r="I323" i="2"/>
  <c r="L323" i="2"/>
  <c r="K323" i="2"/>
  <c r="N323" i="2"/>
  <c r="F319" i="2"/>
  <c r="E319" i="2"/>
  <c r="D319" i="2"/>
  <c r="G319" i="2"/>
  <c r="M319" i="2"/>
  <c r="J319" i="2"/>
  <c r="L319" i="2"/>
  <c r="K319" i="2"/>
  <c r="N319" i="2"/>
  <c r="H319" i="2"/>
  <c r="I319" i="2"/>
  <c r="F315" i="2"/>
  <c r="E315" i="2"/>
  <c r="D315" i="2"/>
  <c r="G315" i="2"/>
  <c r="M315" i="2"/>
  <c r="L315" i="2"/>
  <c r="K315" i="2"/>
  <c r="H315" i="2"/>
  <c r="I315" i="2"/>
  <c r="N315" i="2"/>
  <c r="J315" i="2"/>
  <c r="F311" i="2"/>
  <c r="D311" i="2"/>
  <c r="E311" i="2"/>
  <c r="G311" i="2"/>
  <c r="M311" i="2"/>
  <c r="K311" i="2"/>
  <c r="J311" i="2"/>
  <c r="H311" i="2"/>
  <c r="I311" i="2"/>
  <c r="N311" i="2"/>
  <c r="L311" i="2"/>
  <c r="F307" i="2"/>
  <c r="E307" i="2"/>
  <c r="D307" i="2"/>
  <c r="G307" i="2"/>
  <c r="M307" i="2"/>
  <c r="I307" i="2"/>
  <c r="J307" i="2"/>
  <c r="L307" i="2"/>
  <c r="K307" i="2"/>
  <c r="H307" i="2"/>
  <c r="N307" i="2"/>
  <c r="F303" i="2"/>
  <c r="E303" i="2"/>
  <c r="D303" i="2"/>
  <c r="G303" i="2"/>
  <c r="M303" i="2"/>
  <c r="J303" i="2"/>
  <c r="L303" i="2"/>
  <c r="H303" i="2"/>
  <c r="K303" i="2"/>
  <c r="I303" i="2"/>
  <c r="N303" i="2"/>
  <c r="F299" i="2"/>
  <c r="E299" i="2"/>
  <c r="D299" i="2"/>
  <c r="G299" i="2"/>
  <c r="M299" i="2"/>
  <c r="L299" i="2"/>
  <c r="I299" i="2"/>
  <c r="H299" i="2"/>
  <c r="K299" i="2"/>
  <c r="N299" i="2"/>
  <c r="J299" i="2"/>
  <c r="F468" i="2"/>
  <c r="E468" i="2"/>
  <c r="D468" i="2"/>
  <c r="G468" i="2"/>
  <c r="J468" i="2"/>
  <c r="H468" i="2"/>
  <c r="M468" i="2"/>
  <c r="L468" i="2"/>
  <c r="K468" i="2"/>
  <c r="I468" i="2"/>
  <c r="N468" i="2"/>
  <c r="F463" i="2"/>
  <c r="E463" i="2"/>
  <c r="D463" i="2"/>
  <c r="G463" i="2"/>
  <c r="M463" i="2"/>
  <c r="J463" i="2"/>
  <c r="K463" i="2"/>
  <c r="I463" i="2"/>
  <c r="L463" i="2"/>
  <c r="H463" i="2"/>
  <c r="N463" i="2"/>
  <c r="F470" i="2"/>
  <c r="E470" i="2"/>
  <c r="D470" i="2"/>
  <c r="G470" i="2"/>
  <c r="K470" i="2"/>
  <c r="H470" i="2"/>
  <c r="I470" i="2"/>
  <c r="M470" i="2"/>
  <c r="L470" i="2"/>
  <c r="J470" i="2"/>
  <c r="N470" i="2"/>
  <c r="F466" i="2"/>
  <c r="E466" i="2"/>
  <c r="D466" i="2"/>
  <c r="G466" i="2"/>
  <c r="M466" i="2"/>
  <c r="L466" i="2"/>
  <c r="K466" i="2"/>
  <c r="J466" i="2"/>
  <c r="I466" i="2"/>
  <c r="N466" i="2"/>
  <c r="H466" i="2"/>
  <c r="F462" i="2"/>
  <c r="E462" i="2"/>
  <c r="D462" i="2"/>
  <c r="G462" i="2"/>
  <c r="L462" i="2"/>
  <c r="I462" i="2"/>
  <c r="K462" i="2"/>
  <c r="H462" i="2"/>
  <c r="M462" i="2"/>
  <c r="J462" i="2"/>
  <c r="N462" i="2"/>
  <c r="F458" i="2"/>
  <c r="E458" i="2"/>
  <c r="D458" i="2"/>
  <c r="G458" i="2"/>
  <c r="M458" i="2"/>
  <c r="J458" i="2"/>
  <c r="K458" i="2"/>
  <c r="N458" i="2"/>
  <c r="L458" i="2"/>
  <c r="H458" i="2"/>
  <c r="I458" i="2"/>
  <c r="F454" i="2"/>
  <c r="E454" i="2"/>
  <c r="D454" i="2"/>
  <c r="G454" i="2"/>
  <c r="M454" i="2"/>
  <c r="H454" i="2"/>
  <c r="K454" i="2"/>
  <c r="J454" i="2"/>
  <c r="L454" i="2"/>
  <c r="I454" i="2"/>
  <c r="N454" i="2"/>
  <c r="F450" i="2"/>
  <c r="E450" i="2"/>
  <c r="D450" i="2"/>
  <c r="G450" i="2"/>
  <c r="L450" i="2"/>
  <c r="H450" i="2"/>
  <c r="K450" i="2"/>
  <c r="I450" i="2"/>
  <c r="M450" i="2"/>
  <c r="J450" i="2"/>
  <c r="N450" i="2"/>
  <c r="F446" i="2"/>
  <c r="E446" i="2"/>
  <c r="D446" i="2"/>
  <c r="G446" i="2"/>
  <c r="J446" i="2"/>
  <c r="I446" i="2"/>
  <c r="L446" i="2"/>
  <c r="K446" i="2"/>
  <c r="M446" i="2"/>
  <c r="H446" i="2"/>
  <c r="N446" i="2"/>
  <c r="F442" i="2"/>
  <c r="E442" i="2"/>
  <c r="D442" i="2"/>
  <c r="G442" i="2"/>
  <c r="I442" i="2"/>
  <c r="L442" i="2"/>
  <c r="K442" i="2"/>
  <c r="H442" i="2"/>
  <c r="N442" i="2"/>
  <c r="M442" i="2"/>
  <c r="J442" i="2"/>
  <c r="F438" i="2"/>
  <c r="E438" i="2"/>
  <c r="D438" i="2"/>
  <c r="G438" i="2"/>
  <c r="L438" i="2"/>
  <c r="K438" i="2"/>
  <c r="M438" i="2"/>
  <c r="H438" i="2"/>
  <c r="J438" i="2"/>
  <c r="I438" i="2"/>
  <c r="N438" i="2"/>
  <c r="F434" i="2"/>
  <c r="E434" i="2"/>
  <c r="D434" i="2"/>
  <c r="G434" i="2"/>
  <c r="M434" i="2"/>
  <c r="K434" i="2"/>
  <c r="J434" i="2"/>
  <c r="H434" i="2"/>
  <c r="I434" i="2"/>
  <c r="L434" i="2"/>
  <c r="N434" i="2"/>
  <c r="F430" i="2"/>
  <c r="E430" i="2"/>
  <c r="D430" i="2"/>
  <c r="G430" i="2"/>
  <c r="N430" i="2"/>
  <c r="M430" i="2"/>
  <c r="K430" i="2"/>
  <c r="H430" i="2"/>
  <c r="I430" i="2"/>
  <c r="J430" i="2"/>
  <c r="L430" i="2"/>
  <c r="F426" i="2"/>
  <c r="E426" i="2"/>
  <c r="D426" i="2"/>
  <c r="G426" i="2"/>
  <c r="M426" i="2"/>
  <c r="L426" i="2"/>
  <c r="J426" i="2"/>
  <c r="I426" i="2"/>
  <c r="K426" i="2"/>
  <c r="H426" i="2"/>
  <c r="N426" i="2"/>
  <c r="F422" i="2"/>
  <c r="E422" i="2"/>
  <c r="D422" i="2"/>
  <c r="G422" i="2"/>
  <c r="M422" i="2"/>
  <c r="L422" i="2"/>
  <c r="H422" i="2"/>
  <c r="K422" i="2"/>
  <c r="J422" i="2"/>
  <c r="I422" i="2"/>
  <c r="N422" i="2"/>
  <c r="F418" i="2"/>
  <c r="E418" i="2"/>
  <c r="D418" i="2"/>
  <c r="G418" i="2"/>
  <c r="K418" i="2"/>
  <c r="L418" i="2"/>
  <c r="I418" i="2"/>
  <c r="M418" i="2"/>
  <c r="J418" i="2"/>
  <c r="H418" i="2"/>
  <c r="N418" i="2"/>
  <c r="F414" i="2"/>
  <c r="E414" i="2"/>
  <c r="D414" i="2"/>
  <c r="G414" i="2"/>
  <c r="J414" i="2"/>
  <c r="K414" i="2"/>
  <c r="I414" i="2"/>
  <c r="M414" i="2"/>
  <c r="L414" i="2"/>
  <c r="H414" i="2"/>
  <c r="N414" i="2"/>
  <c r="F410" i="2"/>
  <c r="E410" i="2"/>
  <c r="D410" i="2"/>
  <c r="G410" i="2"/>
  <c r="H410" i="2"/>
  <c r="I410" i="2"/>
  <c r="K410" i="2"/>
  <c r="M410" i="2"/>
  <c r="J410" i="2"/>
  <c r="L410" i="2"/>
  <c r="N410" i="2"/>
  <c r="F406" i="2"/>
  <c r="E406" i="2"/>
  <c r="D406" i="2"/>
  <c r="G406" i="2"/>
  <c r="M406" i="2"/>
  <c r="K406" i="2"/>
  <c r="H406" i="2"/>
  <c r="N406" i="2"/>
  <c r="L406" i="2"/>
  <c r="J406" i="2"/>
  <c r="I406" i="2"/>
  <c r="F402" i="2"/>
  <c r="E402" i="2"/>
  <c r="D402" i="2"/>
  <c r="G402" i="2"/>
  <c r="N402" i="2"/>
  <c r="M402" i="2"/>
  <c r="L402" i="2"/>
  <c r="K402" i="2"/>
  <c r="J402" i="2"/>
  <c r="H402" i="2"/>
  <c r="I402" i="2"/>
  <c r="F398" i="2"/>
  <c r="E398" i="2"/>
  <c r="G398" i="2"/>
  <c r="D398" i="2"/>
  <c r="M398" i="2"/>
  <c r="L398" i="2"/>
  <c r="K398" i="2"/>
  <c r="H398" i="2"/>
  <c r="I398" i="2"/>
  <c r="J398" i="2"/>
  <c r="N398" i="2"/>
  <c r="F394" i="2"/>
  <c r="E394" i="2"/>
  <c r="D394" i="2"/>
  <c r="G394" i="2"/>
  <c r="M394" i="2"/>
  <c r="J394" i="2"/>
  <c r="H394" i="2"/>
  <c r="I394" i="2"/>
  <c r="N394" i="2"/>
  <c r="K394" i="2"/>
  <c r="L394" i="2"/>
  <c r="F390" i="2"/>
  <c r="E390" i="2"/>
  <c r="D390" i="2"/>
  <c r="G390" i="2"/>
  <c r="H390" i="2"/>
  <c r="K390" i="2"/>
  <c r="J390" i="2"/>
  <c r="L390" i="2"/>
  <c r="N390" i="2"/>
  <c r="M390" i="2"/>
  <c r="I390" i="2"/>
  <c r="F386" i="2"/>
  <c r="E386" i="2"/>
  <c r="D386" i="2"/>
  <c r="G386" i="2"/>
  <c r="L386" i="2"/>
  <c r="K386" i="2"/>
  <c r="N386" i="2"/>
  <c r="H386" i="2"/>
  <c r="I386" i="2"/>
  <c r="M386" i="2"/>
  <c r="J386" i="2"/>
  <c r="F382" i="2"/>
  <c r="E382" i="2"/>
  <c r="G382" i="2"/>
  <c r="D382" i="2"/>
  <c r="L382" i="2"/>
  <c r="J382" i="2"/>
  <c r="M382" i="2"/>
  <c r="K382" i="2"/>
  <c r="I382" i="2"/>
  <c r="H382" i="2"/>
  <c r="N382" i="2"/>
  <c r="F378" i="2"/>
  <c r="E378" i="2"/>
  <c r="D378" i="2"/>
  <c r="G378" i="2"/>
  <c r="I378" i="2"/>
  <c r="L378" i="2"/>
  <c r="K378" i="2"/>
  <c r="N378" i="2"/>
  <c r="M378" i="2"/>
  <c r="J378" i="2"/>
  <c r="H378" i="2"/>
  <c r="F374" i="2"/>
  <c r="E374" i="2"/>
  <c r="D374" i="2"/>
  <c r="G374" i="2"/>
  <c r="M374" i="2"/>
  <c r="L374" i="2"/>
  <c r="K374" i="2"/>
  <c r="N374" i="2"/>
  <c r="H374" i="2"/>
  <c r="J374" i="2"/>
  <c r="I374" i="2"/>
  <c r="F370" i="2"/>
  <c r="E370" i="2"/>
  <c r="D370" i="2"/>
  <c r="G370" i="2"/>
  <c r="H370" i="2"/>
  <c r="M370" i="2"/>
  <c r="K370" i="2"/>
  <c r="J370" i="2"/>
  <c r="N370" i="2"/>
  <c r="I370" i="2"/>
  <c r="L370" i="2"/>
  <c r="F366" i="2"/>
  <c r="E366" i="2"/>
  <c r="G366" i="2"/>
  <c r="D366" i="2"/>
  <c r="K366" i="2"/>
  <c r="H366" i="2"/>
  <c r="I366" i="2"/>
  <c r="N366" i="2"/>
  <c r="J366" i="2"/>
  <c r="M366" i="2"/>
  <c r="L366" i="2"/>
  <c r="F362" i="2"/>
  <c r="E362" i="2"/>
  <c r="D362" i="2"/>
  <c r="G362" i="2"/>
  <c r="M362" i="2"/>
  <c r="L362" i="2"/>
  <c r="J362" i="2"/>
  <c r="I362" i="2"/>
  <c r="K362" i="2"/>
  <c r="N362" i="2"/>
  <c r="H362" i="2"/>
  <c r="F358" i="2"/>
  <c r="E358" i="2"/>
  <c r="D358" i="2"/>
  <c r="G358" i="2"/>
  <c r="L358" i="2"/>
  <c r="H358" i="2"/>
  <c r="K358" i="2"/>
  <c r="J358" i="2"/>
  <c r="N358" i="2"/>
  <c r="M358" i="2"/>
  <c r="I358" i="2"/>
  <c r="F354" i="2"/>
  <c r="E354" i="2"/>
  <c r="D354" i="2"/>
  <c r="G354" i="2"/>
  <c r="J354" i="2"/>
  <c r="K354" i="2"/>
  <c r="H354" i="2"/>
  <c r="N354" i="2"/>
  <c r="M354" i="2"/>
  <c r="L354" i="2"/>
  <c r="I354" i="2"/>
  <c r="F350" i="2"/>
  <c r="E350" i="2"/>
  <c r="G350" i="2"/>
  <c r="D350" i="2"/>
  <c r="M350" i="2"/>
  <c r="K350" i="2"/>
  <c r="I350" i="2"/>
  <c r="N350" i="2"/>
  <c r="L350" i="2"/>
  <c r="J350" i="2"/>
  <c r="H350" i="2"/>
  <c r="F346" i="2"/>
  <c r="E346" i="2"/>
  <c r="D346" i="2"/>
  <c r="G346" i="2"/>
  <c r="L346" i="2"/>
  <c r="K346" i="2"/>
  <c r="I346" i="2"/>
  <c r="N346" i="2"/>
  <c r="M346" i="2"/>
  <c r="J346" i="2"/>
  <c r="H346" i="2"/>
  <c r="F342" i="2"/>
  <c r="E342" i="2"/>
  <c r="D342" i="2"/>
  <c r="G342" i="2"/>
  <c r="L342" i="2"/>
  <c r="K342" i="2"/>
  <c r="J342" i="2"/>
  <c r="N342" i="2"/>
  <c r="H342" i="2"/>
  <c r="M342" i="2"/>
  <c r="I342" i="2"/>
  <c r="F338" i="2"/>
  <c r="E338" i="2"/>
  <c r="D338" i="2"/>
  <c r="G338" i="2"/>
  <c r="J338" i="2"/>
  <c r="I338" i="2"/>
  <c r="M338" i="2"/>
  <c r="K338" i="2"/>
  <c r="N338" i="2"/>
  <c r="L338" i="2"/>
  <c r="H338" i="2"/>
  <c r="F334" i="2"/>
  <c r="E334" i="2"/>
  <c r="G334" i="2"/>
  <c r="D334" i="2"/>
  <c r="I334" i="2"/>
  <c r="K334" i="2"/>
  <c r="H334" i="2"/>
  <c r="N334" i="2"/>
  <c r="M334" i="2"/>
  <c r="L334" i="2"/>
  <c r="J334" i="2"/>
  <c r="F330" i="2"/>
  <c r="E330" i="2"/>
  <c r="D330" i="2"/>
  <c r="G330" i="2"/>
  <c r="M330" i="2"/>
  <c r="L330" i="2"/>
  <c r="K330" i="2"/>
  <c r="N330" i="2"/>
  <c r="J330" i="2"/>
  <c r="H330" i="2"/>
  <c r="I330" i="2"/>
  <c r="F326" i="2"/>
  <c r="E326" i="2"/>
  <c r="D326" i="2"/>
  <c r="G326" i="2"/>
  <c r="L326" i="2"/>
  <c r="H326" i="2"/>
  <c r="K326" i="2"/>
  <c r="J326" i="2"/>
  <c r="N326" i="2"/>
  <c r="M326" i="2"/>
  <c r="I326" i="2"/>
  <c r="F322" i="2"/>
  <c r="E322" i="2"/>
  <c r="D322" i="2"/>
  <c r="G322" i="2"/>
  <c r="J322" i="2"/>
  <c r="H322" i="2"/>
  <c r="I322" i="2"/>
  <c r="K322" i="2"/>
  <c r="N322" i="2"/>
  <c r="M322" i="2"/>
  <c r="L322" i="2"/>
  <c r="F318" i="2"/>
  <c r="E318" i="2"/>
  <c r="D318" i="2"/>
  <c r="G318" i="2"/>
  <c r="M318" i="2"/>
  <c r="K318" i="2"/>
  <c r="I318" i="2"/>
  <c r="N318" i="2"/>
  <c r="L318" i="2"/>
  <c r="J318" i="2"/>
  <c r="H318" i="2"/>
  <c r="F314" i="2"/>
  <c r="E314" i="2"/>
  <c r="D314" i="2"/>
  <c r="G314" i="2"/>
  <c r="M314" i="2"/>
  <c r="L314" i="2"/>
  <c r="K314" i="2"/>
  <c r="H314" i="2"/>
  <c r="N314" i="2"/>
  <c r="J314" i="2"/>
  <c r="I314" i="2"/>
  <c r="F310" i="2"/>
  <c r="E310" i="2"/>
  <c r="G310" i="2"/>
  <c r="D310" i="2"/>
  <c r="M310" i="2"/>
  <c r="L310" i="2"/>
  <c r="K310" i="2"/>
  <c r="J310" i="2"/>
  <c r="I310" i="2"/>
  <c r="N310" i="2"/>
  <c r="H310" i="2"/>
  <c r="F306" i="2"/>
  <c r="E306" i="2"/>
  <c r="D306" i="2"/>
  <c r="G306" i="2"/>
  <c r="M306" i="2"/>
  <c r="J306" i="2"/>
  <c r="K306" i="2"/>
  <c r="H306" i="2"/>
  <c r="N306" i="2"/>
  <c r="L306" i="2"/>
  <c r="I306" i="2"/>
  <c r="F302" i="2"/>
  <c r="E302" i="2"/>
  <c r="D302" i="2"/>
  <c r="G302" i="2"/>
  <c r="M302" i="2"/>
  <c r="K302" i="2"/>
  <c r="I302" i="2"/>
  <c r="N302" i="2"/>
  <c r="L302" i="2"/>
  <c r="J302" i="2"/>
  <c r="H302" i="2"/>
  <c r="F298" i="2"/>
  <c r="E298" i="2"/>
  <c r="G298" i="2"/>
  <c r="D298" i="2"/>
  <c r="M298" i="2"/>
  <c r="I298" i="2"/>
  <c r="L298" i="2"/>
  <c r="K298" i="2"/>
  <c r="H298" i="2"/>
  <c r="N298" i="2"/>
  <c r="J298" i="2"/>
  <c r="AF22" i="2"/>
  <c r="B22" i="2" s="1"/>
  <c r="AF23" i="2"/>
  <c r="B23" i="2" s="1"/>
  <c r="AF24" i="2"/>
  <c r="B24" i="2" s="1"/>
  <c r="AF25" i="2"/>
  <c r="B25" i="2" s="1"/>
  <c r="AF26" i="2"/>
  <c r="B26" i="2" s="1"/>
  <c r="AF27" i="2"/>
  <c r="B27" i="2" s="1"/>
  <c r="AF28" i="2"/>
  <c r="B28" i="2" s="1"/>
  <c r="AF29" i="2"/>
  <c r="B29" i="2" s="1"/>
  <c r="AF30" i="2"/>
  <c r="B30" i="2" s="1"/>
  <c r="AF31" i="2"/>
  <c r="B31" i="2" s="1"/>
  <c r="AF32" i="2"/>
  <c r="B32" i="2" s="1"/>
  <c r="AF33" i="2"/>
  <c r="B33" i="2" s="1"/>
  <c r="AF34" i="2"/>
  <c r="B34" i="2" s="1"/>
  <c r="AF35" i="2"/>
  <c r="B35" i="2" s="1"/>
  <c r="AF36" i="2"/>
  <c r="B36" i="2" s="1"/>
  <c r="AF37" i="2"/>
  <c r="B37" i="2" s="1"/>
  <c r="AF38" i="2"/>
  <c r="B38" i="2" s="1"/>
  <c r="AF39" i="2"/>
  <c r="B39" i="2" s="1"/>
  <c r="AF40" i="2"/>
  <c r="B40" i="2" s="1"/>
  <c r="AF41" i="2"/>
  <c r="B41" i="2" s="1"/>
  <c r="AF42" i="2"/>
  <c r="B42" i="2" s="1"/>
  <c r="AF43" i="2"/>
  <c r="B43" i="2" s="1"/>
  <c r="AF44" i="2"/>
  <c r="B44" i="2" s="1"/>
  <c r="AF45" i="2"/>
  <c r="B45" i="2" s="1"/>
  <c r="AF46" i="2"/>
  <c r="B46" i="2" s="1"/>
  <c r="AF47" i="2"/>
  <c r="B47" i="2" s="1"/>
  <c r="AF48" i="2"/>
  <c r="B48" i="2" s="1"/>
  <c r="AF49" i="2"/>
  <c r="B49" i="2" s="1"/>
  <c r="AF50" i="2"/>
  <c r="B50" i="2" s="1"/>
  <c r="AF51" i="2"/>
  <c r="B51" i="2" s="1"/>
  <c r="AF52" i="2"/>
  <c r="B52" i="2" s="1"/>
  <c r="AF53" i="2"/>
  <c r="B53" i="2" s="1"/>
  <c r="AF54" i="2"/>
  <c r="B54" i="2" s="1"/>
  <c r="AF55" i="2"/>
  <c r="B55" i="2" s="1"/>
  <c r="AF56" i="2"/>
  <c r="B56" i="2" s="1"/>
  <c r="AF57" i="2"/>
  <c r="B57" i="2" s="1"/>
  <c r="AF58" i="2"/>
  <c r="B58" i="2" s="1"/>
  <c r="AF59" i="2"/>
  <c r="B59" i="2" s="1"/>
  <c r="AF60" i="2"/>
  <c r="B60" i="2" s="1"/>
  <c r="AF61" i="2"/>
  <c r="B61" i="2" s="1"/>
  <c r="AF62" i="2"/>
  <c r="B62" i="2" s="1"/>
  <c r="AF63" i="2"/>
  <c r="B63" i="2" s="1"/>
  <c r="AF64" i="2"/>
  <c r="B64" i="2" s="1"/>
  <c r="AF65" i="2"/>
  <c r="B65" i="2" s="1"/>
  <c r="AF66" i="2"/>
  <c r="B66" i="2" s="1"/>
  <c r="AF67" i="2"/>
  <c r="B67" i="2" s="1"/>
  <c r="AF68" i="2"/>
  <c r="B68" i="2" s="1"/>
  <c r="AF69" i="2"/>
  <c r="B69" i="2" s="1"/>
  <c r="AF70" i="2"/>
  <c r="B70" i="2" s="1"/>
  <c r="AF71" i="2"/>
  <c r="B71" i="2" s="1"/>
  <c r="AF72" i="2"/>
  <c r="B72" i="2" s="1"/>
  <c r="AF73" i="2"/>
  <c r="B73" i="2" s="1"/>
  <c r="AF74" i="2"/>
  <c r="B74" i="2" s="1"/>
  <c r="AF75" i="2"/>
  <c r="B75" i="2" s="1"/>
  <c r="AF76" i="2"/>
  <c r="B76" i="2" s="1"/>
  <c r="AF77" i="2"/>
  <c r="B77" i="2" s="1"/>
  <c r="AF78" i="2"/>
  <c r="B78" i="2" s="1"/>
  <c r="AF79" i="2"/>
  <c r="B79" i="2" s="1"/>
  <c r="AF80" i="2"/>
  <c r="B80" i="2" s="1"/>
  <c r="AF81" i="2"/>
  <c r="B81" i="2" s="1"/>
  <c r="AF82" i="2"/>
  <c r="B82" i="2" s="1"/>
  <c r="AF83" i="2"/>
  <c r="B83" i="2" s="1"/>
  <c r="AF84" i="2"/>
  <c r="B84" i="2" s="1"/>
  <c r="AF85" i="2"/>
  <c r="B85" i="2" s="1"/>
  <c r="AF86" i="2"/>
  <c r="B86" i="2" s="1"/>
  <c r="AF87" i="2"/>
  <c r="B87" i="2" s="1"/>
  <c r="AF88" i="2"/>
  <c r="B88" i="2" s="1"/>
  <c r="AF89" i="2"/>
  <c r="B89" i="2" s="1"/>
  <c r="AF90" i="2"/>
  <c r="B90" i="2" s="1"/>
  <c r="AF91" i="2"/>
  <c r="B91" i="2" s="1"/>
  <c r="AF92" i="2"/>
  <c r="B92" i="2" s="1"/>
  <c r="AF93" i="2"/>
  <c r="B93" i="2" s="1"/>
  <c r="AF94" i="2"/>
  <c r="B94" i="2" s="1"/>
  <c r="AF95" i="2"/>
  <c r="B95" i="2" s="1"/>
  <c r="AF96" i="2"/>
  <c r="B96" i="2" s="1"/>
  <c r="AF97" i="2"/>
  <c r="B97" i="2" s="1"/>
  <c r="AF98" i="2"/>
  <c r="B98" i="2" s="1"/>
  <c r="AF99" i="2"/>
  <c r="B99" i="2" s="1"/>
  <c r="AF100" i="2"/>
  <c r="B100" i="2" s="1"/>
  <c r="AF101" i="2"/>
  <c r="B101" i="2" s="1"/>
  <c r="AF102" i="2"/>
  <c r="B102" i="2" s="1"/>
  <c r="AF103" i="2"/>
  <c r="B103" i="2" s="1"/>
  <c r="AF104" i="2"/>
  <c r="B104" i="2" s="1"/>
  <c r="AF105" i="2"/>
  <c r="B105" i="2" s="1"/>
  <c r="AF106" i="2"/>
  <c r="B106" i="2" s="1"/>
  <c r="AF107" i="2"/>
  <c r="B107" i="2" s="1"/>
  <c r="AF108" i="2"/>
  <c r="B108" i="2" s="1"/>
  <c r="AF109" i="2"/>
  <c r="B109" i="2" s="1"/>
  <c r="AF110" i="2"/>
  <c r="B110" i="2" s="1"/>
  <c r="AF111" i="2"/>
  <c r="B111" i="2" s="1"/>
  <c r="AF112" i="2"/>
  <c r="B112" i="2" s="1"/>
  <c r="AF113" i="2"/>
  <c r="B113" i="2" s="1"/>
  <c r="AF114" i="2"/>
  <c r="B114" i="2" s="1"/>
  <c r="AF115" i="2"/>
  <c r="B115" i="2" s="1"/>
  <c r="AF116" i="2"/>
  <c r="B116" i="2" s="1"/>
  <c r="AF117" i="2"/>
  <c r="B117" i="2" s="1"/>
  <c r="AF118" i="2"/>
  <c r="B118" i="2" s="1"/>
  <c r="AF119" i="2"/>
  <c r="B119" i="2" s="1"/>
  <c r="AF120" i="2"/>
  <c r="B120" i="2" s="1"/>
  <c r="AF121" i="2"/>
  <c r="B121" i="2" s="1"/>
  <c r="AF122" i="2"/>
  <c r="B122" i="2" s="1"/>
  <c r="AF123" i="2"/>
  <c r="B123" i="2" s="1"/>
  <c r="AF124" i="2"/>
  <c r="B124" i="2" s="1"/>
  <c r="AF125" i="2"/>
  <c r="B125" i="2" s="1"/>
  <c r="AF126" i="2"/>
  <c r="B126" i="2" s="1"/>
  <c r="AF127" i="2"/>
  <c r="B127" i="2" s="1"/>
  <c r="AF128" i="2"/>
  <c r="B128" i="2" s="1"/>
  <c r="AF129" i="2"/>
  <c r="B129" i="2" s="1"/>
  <c r="AF130" i="2"/>
  <c r="B130" i="2" s="1"/>
  <c r="AF131" i="2"/>
  <c r="B131" i="2" s="1"/>
  <c r="AF132" i="2"/>
  <c r="B132" i="2" s="1"/>
  <c r="AF133" i="2"/>
  <c r="B133" i="2" s="1"/>
  <c r="AF134" i="2"/>
  <c r="B134" i="2" s="1"/>
  <c r="AF135" i="2"/>
  <c r="B135" i="2" s="1"/>
  <c r="AF136" i="2"/>
  <c r="B136" i="2" s="1"/>
  <c r="AF137" i="2"/>
  <c r="B137" i="2" s="1"/>
  <c r="AF138" i="2"/>
  <c r="B138" i="2" s="1"/>
  <c r="AF139" i="2"/>
  <c r="B139" i="2" s="1"/>
  <c r="AF140" i="2"/>
  <c r="B140" i="2" s="1"/>
  <c r="AF141" i="2"/>
  <c r="B141" i="2" s="1"/>
  <c r="AF142" i="2"/>
  <c r="B142" i="2" s="1"/>
  <c r="AF143" i="2"/>
  <c r="B143" i="2" s="1"/>
  <c r="AF144" i="2"/>
  <c r="B144" i="2" s="1"/>
  <c r="AF145" i="2"/>
  <c r="B145" i="2" s="1"/>
  <c r="AF146" i="2"/>
  <c r="B146" i="2" s="1"/>
  <c r="AF147" i="2"/>
  <c r="B147" i="2" s="1"/>
  <c r="AF148" i="2"/>
  <c r="B148" i="2" s="1"/>
  <c r="AF149" i="2"/>
  <c r="B149" i="2" s="1"/>
  <c r="AF150" i="2"/>
  <c r="B150" i="2" s="1"/>
  <c r="AF151" i="2"/>
  <c r="B151" i="2" s="1"/>
  <c r="AF152" i="2"/>
  <c r="B152" i="2" s="1"/>
  <c r="AF153" i="2"/>
  <c r="B153" i="2" s="1"/>
  <c r="AF154" i="2"/>
  <c r="B154" i="2" s="1"/>
  <c r="AF155" i="2"/>
  <c r="B155" i="2" s="1"/>
  <c r="AF156" i="2"/>
  <c r="B156" i="2" s="1"/>
  <c r="AF157" i="2"/>
  <c r="B157" i="2" s="1"/>
  <c r="AF158" i="2"/>
  <c r="B158" i="2" s="1"/>
  <c r="AF159" i="2"/>
  <c r="B159" i="2" s="1"/>
  <c r="AF160" i="2"/>
  <c r="B160" i="2" s="1"/>
  <c r="AF161" i="2"/>
  <c r="B161" i="2" s="1"/>
  <c r="AF162" i="2"/>
  <c r="B162" i="2" s="1"/>
  <c r="AF163" i="2"/>
  <c r="B163" i="2" s="1"/>
  <c r="AF164" i="2"/>
  <c r="B164" i="2" s="1"/>
  <c r="AF165" i="2"/>
  <c r="B165" i="2" s="1"/>
  <c r="AF166" i="2"/>
  <c r="B166" i="2" s="1"/>
  <c r="AF167" i="2"/>
  <c r="B167" i="2" s="1"/>
  <c r="AF168" i="2"/>
  <c r="B168" i="2" s="1"/>
  <c r="AF169" i="2"/>
  <c r="B169" i="2" s="1"/>
  <c r="AF170" i="2"/>
  <c r="B170" i="2" s="1"/>
  <c r="AF171" i="2"/>
  <c r="B171" i="2" s="1"/>
  <c r="AF172" i="2"/>
  <c r="B172" i="2" s="1"/>
  <c r="AF173" i="2"/>
  <c r="B173" i="2" s="1"/>
  <c r="AF174" i="2"/>
  <c r="B174" i="2" s="1"/>
  <c r="AF175" i="2"/>
  <c r="B175" i="2" s="1"/>
  <c r="AF176" i="2"/>
  <c r="B176" i="2" s="1"/>
  <c r="AF177" i="2"/>
  <c r="B177" i="2" s="1"/>
  <c r="AF178" i="2"/>
  <c r="B178" i="2" s="1"/>
  <c r="AF179" i="2"/>
  <c r="B179" i="2" s="1"/>
  <c r="AF180" i="2"/>
  <c r="B180" i="2" s="1"/>
  <c r="AF181" i="2"/>
  <c r="B181" i="2" s="1"/>
  <c r="AF182" i="2"/>
  <c r="B182" i="2" s="1"/>
  <c r="AF183" i="2"/>
  <c r="B183" i="2" s="1"/>
  <c r="AF184" i="2"/>
  <c r="B184" i="2" s="1"/>
  <c r="AF185" i="2"/>
  <c r="B185" i="2" s="1"/>
  <c r="AF186" i="2"/>
  <c r="B186" i="2" s="1"/>
  <c r="AF187" i="2"/>
  <c r="B187" i="2" s="1"/>
  <c r="AF188" i="2"/>
  <c r="B188" i="2" s="1"/>
  <c r="AF189" i="2"/>
  <c r="B189" i="2" s="1"/>
  <c r="AF190" i="2"/>
  <c r="B190" i="2" s="1"/>
  <c r="AF191" i="2"/>
  <c r="B191" i="2" s="1"/>
  <c r="AF192" i="2"/>
  <c r="B192" i="2" s="1"/>
  <c r="AF193" i="2"/>
  <c r="B193" i="2" s="1"/>
  <c r="AF194" i="2"/>
  <c r="B194" i="2" s="1"/>
  <c r="AF195" i="2"/>
  <c r="B195" i="2" s="1"/>
  <c r="AF196" i="2"/>
  <c r="B196" i="2" s="1"/>
  <c r="AF197" i="2"/>
  <c r="B197" i="2" s="1"/>
  <c r="AF198" i="2"/>
  <c r="B198" i="2" s="1"/>
  <c r="AF199" i="2"/>
  <c r="B199" i="2" s="1"/>
  <c r="AF200" i="2"/>
  <c r="B200" i="2" s="1"/>
  <c r="AF201" i="2"/>
  <c r="B201" i="2" s="1"/>
  <c r="AF202" i="2"/>
  <c r="B202" i="2" s="1"/>
  <c r="AF203" i="2"/>
  <c r="B203" i="2" s="1"/>
  <c r="AF204" i="2"/>
  <c r="B204" i="2" s="1"/>
  <c r="AF205" i="2"/>
  <c r="B205" i="2" s="1"/>
  <c r="AF206" i="2"/>
  <c r="B206" i="2" s="1"/>
  <c r="AF207" i="2"/>
  <c r="B207" i="2" s="1"/>
  <c r="AF208" i="2"/>
  <c r="B208" i="2" s="1"/>
  <c r="AF209" i="2"/>
  <c r="B209" i="2" s="1"/>
  <c r="AF210" i="2"/>
  <c r="B210" i="2" s="1"/>
  <c r="AF211" i="2"/>
  <c r="B211" i="2" s="1"/>
  <c r="AF212" i="2"/>
  <c r="B212" i="2" s="1"/>
  <c r="AF213" i="2"/>
  <c r="B213" i="2" s="1"/>
  <c r="AF214" i="2"/>
  <c r="B214" i="2" s="1"/>
  <c r="AF215" i="2"/>
  <c r="B215" i="2" s="1"/>
  <c r="AF216" i="2"/>
  <c r="B216" i="2" s="1"/>
  <c r="AF217" i="2"/>
  <c r="B217" i="2" s="1"/>
  <c r="AF218" i="2"/>
  <c r="B218" i="2" s="1"/>
  <c r="AF219" i="2"/>
  <c r="B219" i="2" s="1"/>
  <c r="AF220" i="2"/>
  <c r="B220" i="2" s="1"/>
  <c r="AF221" i="2"/>
  <c r="B221" i="2" s="1"/>
  <c r="AF222" i="2"/>
  <c r="B222" i="2" s="1"/>
  <c r="AF223" i="2"/>
  <c r="B223" i="2" s="1"/>
  <c r="AF224" i="2"/>
  <c r="B224" i="2" s="1"/>
  <c r="AF225" i="2"/>
  <c r="B225" i="2" s="1"/>
  <c r="AF226" i="2"/>
  <c r="B226" i="2" s="1"/>
  <c r="AF227" i="2"/>
  <c r="B227" i="2" s="1"/>
  <c r="AF228" i="2"/>
  <c r="B228" i="2" s="1"/>
  <c r="AF229" i="2"/>
  <c r="B229" i="2" s="1"/>
  <c r="AF230" i="2"/>
  <c r="B230" i="2" s="1"/>
  <c r="AF231" i="2"/>
  <c r="B231" i="2" s="1"/>
  <c r="AF232" i="2"/>
  <c r="B232" i="2" s="1"/>
  <c r="AF233" i="2"/>
  <c r="B233" i="2" s="1"/>
  <c r="AF234" i="2"/>
  <c r="B234" i="2" s="1"/>
  <c r="AF235" i="2"/>
  <c r="B235" i="2" s="1"/>
  <c r="AF236" i="2"/>
  <c r="B236" i="2" s="1"/>
  <c r="AF237" i="2"/>
  <c r="B237" i="2" s="1"/>
  <c r="AF238" i="2"/>
  <c r="B238" i="2" s="1"/>
  <c r="AF239" i="2"/>
  <c r="B239" i="2" s="1"/>
  <c r="AF240" i="2"/>
  <c r="B240" i="2" s="1"/>
  <c r="AF241" i="2"/>
  <c r="B241" i="2" s="1"/>
  <c r="AF242" i="2"/>
  <c r="B242" i="2" s="1"/>
  <c r="AF243" i="2"/>
  <c r="B243" i="2" s="1"/>
  <c r="AF244" i="2"/>
  <c r="B244" i="2" s="1"/>
  <c r="AF245" i="2"/>
  <c r="B245" i="2" s="1"/>
  <c r="AF246" i="2"/>
  <c r="B246" i="2" s="1"/>
  <c r="AF247" i="2"/>
  <c r="B247" i="2" s="1"/>
  <c r="AF248" i="2"/>
  <c r="B248" i="2" s="1"/>
  <c r="AF249" i="2"/>
  <c r="B249" i="2" s="1"/>
  <c r="AF250" i="2"/>
  <c r="B250" i="2" s="1"/>
  <c r="AF251" i="2"/>
  <c r="B251" i="2" s="1"/>
  <c r="AF252" i="2"/>
  <c r="B252" i="2" s="1"/>
  <c r="AF253" i="2"/>
  <c r="B253" i="2" s="1"/>
  <c r="AF254" i="2"/>
  <c r="B254" i="2" s="1"/>
  <c r="AF255" i="2"/>
  <c r="B255" i="2" s="1"/>
  <c r="AF256" i="2"/>
  <c r="B256" i="2" s="1"/>
  <c r="AF257" i="2"/>
  <c r="B257" i="2" s="1"/>
  <c r="AF258" i="2"/>
  <c r="B258" i="2" s="1"/>
  <c r="AF259" i="2"/>
  <c r="B259" i="2" s="1"/>
  <c r="AF260" i="2"/>
  <c r="B260" i="2" s="1"/>
  <c r="AF261" i="2"/>
  <c r="B261" i="2" s="1"/>
  <c r="AF262" i="2"/>
  <c r="B262" i="2" s="1"/>
  <c r="AF263" i="2"/>
  <c r="B263" i="2" s="1"/>
  <c r="AF264" i="2"/>
  <c r="B264" i="2" s="1"/>
  <c r="AF265" i="2"/>
  <c r="B265" i="2" s="1"/>
  <c r="AF266" i="2"/>
  <c r="B266" i="2" s="1"/>
  <c r="AF267" i="2"/>
  <c r="B267" i="2" s="1"/>
  <c r="AF268" i="2"/>
  <c r="B268" i="2" s="1"/>
  <c r="AF269" i="2"/>
  <c r="B269" i="2" s="1"/>
  <c r="AF270" i="2"/>
  <c r="B270" i="2" s="1"/>
  <c r="AF271" i="2"/>
  <c r="B271" i="2" s="1"/>
  <c r="AF272" i="2"/>
  <c r="B272" i="2" s="1"/>
  <c r="AF273" i="2"/>
  <c r="B273" i="2" s="1"/>
  <c r="AF274" i="2"/>
  <c r="B274" i="2" s="1"/>
  <c r="AF275" i="2"/>
  <c r="B275" i="2" s="1"/>
  <c r="AF276" i="2"/>
  <c r="B276" i="2" s="1"/>
  <c r="AF277" i="2"/>
  <c r="B277" i="2" s="1"/>
  <c r="AF278" i="2"/>
  <c r="B278" i="2" s="1"/>
  <c r="AF279" i="2"/>
  <c r="B279" i="2" s="1"/>
  <c r="AF280" i="2"/>
  <c r="B280" i="2" s="1"/>
  <c r="AF281" i="2"/>
  <c r="B281" i="2" s="1"/>
  <c r="AF282" i="2"/>
  <c r="B282" i="2" s="1"/>
  <c r="AF283" i="2"/>
  <c r="B283" i="2" s="1"/>
  <c r="AF284" i="2"/>
  <c r="B284" i="2" s="1"/>
  <c r="AF285" i="2"/>
  <c r="B285" i="2" s="1"/>
  <c r="AF286" i="2"/>
  <c r="B286" i="2" s="1"/>
  <c r="AF287" i="2"/>
  <c r="B287" i="2" s="1"/>
  <c r="AF288" i="2"/>
  <c r="B288" i="2" s="1"/>
  <c r="AF289" i="2"/>
  <c r="B289" i="2" s="1"/>
  <c r="AF290" i="2"/>
  <c r="B290" i="2" s="1"/>
  <c r="AF291" i="2"/>
  <c r="B291" i="2" s="1"/>
  <c r="AF292" i="2"/>
  <c r="B292" i="2" s="1"/>
  <c r="AF293" i="2"/>
  <c r="B293" i="2" s="1"/>
  <c r="AF294" i="2"/>
  <c r="B294" i="2" s="1"/>
  <c r="AF295" i="2"/>
  <c r="B295" i="2" s="1"/>
  <c r="AF296" i="2"/>
  <c r="B296" i="2" s="1"/>
  <c r="AF297" i="2"/>
  <c r="B297" i="2" s="1"/>
  <c r="AF21" i="2"/>
  <c r="B21" i="2" s="1"/>
  <c r="C284" i="2" l="1"/>
  <c r="S284" i="2"/>
  <c r="W284" i="2"/>
  <c r="T284" i="2"/>
  <c r="AA284" i="2"/>
  <c r="P284" i="2"/>
  <c r="Z284" i="2"/>
  <c r="X284" i="2"/>
  <c r="Y284" i="2"/>
  <c r="V284" i="2"/>
  <c r="R284" i="2"/>
  <c r="Q284" i="2"/>
  <c r="U284" i="2"/>
  <c r="C272" i="2"/>
  <c r="W272" i="2"/>
  <c r="S272" i="2"/>
  <c r="T272" i="2"/>
  <c r="AA272" i="2"/>
  <c r="P272" i="2"/>
  <c r="Z272" i="2"/>
  <c r="R272" i="2"/>
  <c r="V272" i="2"/>
  <c r="X272" i="2"/>
  <c r="Q272" i="2"/>
  <c r="Y272" i="2"/>
  <c r="U272" i="2"/>
  <c r="C260" i="2"/>
  <c r="W260" i="2"/>
  <c r="S260" i="2"/>
  <c r="T260" i="2"/>
  <c r="AA260" i="2"/>
  <c r="P260" i="2"/>
  <c r="Z260" i="2"/>
  <c r="R260" i="2"/>
  <c r="V260" i="2"/>
  <c r="Y260" i="2"/>
  <c r="X260" i="2"/>
  <c r="Q260" i="2"/>
  <c r="U260" i="2"/>
  <c r="C244" i="2"/>
  <c r="W244" i="2"/>
  <c r="S244" i="2"/>
  <c r="T244" i="2"/>
  <c r="AA244" i="2"/>
  <c r="P244" i="2"/>
  <c r="Z244" i="2"/>
  <c r="R244" i="2"/>
  <c r="V244" i="2"/>
  <c r="Y244" i="2"/>
  <c r="U244" i="2"/>
  <c r="X244" i="2"/>
  <c r="Q244" i="2"/>
  <c r="C228" i="2"/>
  <c r="W228" i="2"/>
  <c r="S228" i="2"/>
  <c r="T228" i="2"/>
  <c r="AA228" i="2"/>
  <c r="P228" i="2"/>
  <c r="Z228" i="2"/>
  <c r="R228" i="2"/>
  <c r="V228" i="2"/>
  <c r="Y228" i="2"/>
  <c r="X228" i="2"/>
  <c r="U228" i="2"/>
  <c r="Q228" i="2"/>
  <c r="C220" i="2"/>
  <c r="W220" i="2"/>
  <c r="S220" i="2"/>
  <c r="T220" i="2"/>
  <c r="AA220" i="2"/>
  <c r="P220" i="2"/>
  <c r="Z220" i="2"/>
  <c r="R220" i="2"/>
  <c r="V220" i="2"/>
  <c r="X220" i="2"/>
  <c r="Y220" i="2"/>
  <c r="U220" i="2"/>
  <c r="Q220" i="2"/>
  <c r="C208" i="2"/>
  <c r="W208" i="2"/>
  <c r="S208" i="2"/>
  <c r="T208" i="2"/>
  <c r="AA208" i="2"/>
  <c r="P208" i="2"/>
  <c r="Z208" i="2"/>
  <c r="R208" i="2"/>
  <c r="V208" i="2"/>
  <c r="X208" i="2"/>
  <c r="Q208" i="2"/>
  <c r="Y208" i="2"/>
  <c r="U208" i="2"/>
  <c r="C192" i="2"/>
  <c r="W192" i="2"/>
  <c r="S192" i="2"/>
  <c r="T192" i="2"/>
  <c r="AA192" i="2"/>
  <c r="P192" i="2"/>
  <c r="Z192" i="2"/>
  <c r="R192" i="2"/>
  <c r="V192" i="2"/>
  <c r="X192" i="2"/>
  <c r="U192" i="2"/>
  <c r="Q192" i="2"/>
  <c r="Y192" i="2"/>
  <c r="C184" i="2"/>
  <c r="W184" i="2"/>
  <c r="S184" i="2"/>
  <c r="T184" i="2"/>
  <c r="AA184" i="2"/>
  <c r="P184" i="2"/>
  <c r="Z184" i="2"/>
  <c r="R184" i="2"/>
  <c r="V184" i="2"/>
  <c r="X184" i="2"/>
  <c r="Y184" i="2"/>
  <c r="U184" i="2"/>
  <c r="Q184" i="2"/>
  <c r="C168" i="2"/>
  <c r="S168" i="2"/>
  <c r="Z168" i="2"/>
  <c r="T168" i="2"/>
  <c r="AA168" i="2"/>
  <c r="P168" i="2"/>
  <c r="U168" i="2"/>
  <c r="X168" i="2"/>
  <c r="Y168" i="2"/>
  <c r="W168" i="2"/>
  <c r="V168" i="2"/>
  <c r="Q168" i="2"/>
  <c r="R168" i="2"/>
  <c r="C152" i="2"/>
  <c r="S152" i="2"/>
  <c r="Z152" i="2"/>
  <c r="T152" i="2"/>
  <c r="AA152" i="2"/>
  <c r="P152" i="2"/>
  <c r="X152" i="2"/>
  <c r="Y152" i="2"/>
  <c r="W152" i="2"/>
  <c r="V152" i="2"/>
  <c r="U152" i="2"/>
  <c r="R152" i="2"/>
  <c r="Q152" i="2"/>
  <c r="C144" i="2"/>
  <c r="S144" i="2"/>
  <c r="Z144" i="2"/>
  <c r="T144" i="2"/>
  <c r="AA144" i="2"/>
  <c r="P144" i="2"/>
  <c r="W144" i="2"/>
  <c r="X144" i="2"/>
  <c r="U144" i="2"/>
  <c r="Y144" i="2"/>
  <c r="Q144" i="2"/>
  <c r="R144" i="2"/>
  <c r="V144" i="2"/>
  <c r="C128" i="2"/>
  <c r="S128" i="2"/>
  <c r="Z128" i="2"/>
  <c r="T128" i="2"/>
  <c r="AA128" i="2"/>
  <c r="W128" i="2"/>
  <c r="P128" i="2"/>
  <c r="X128" i="2"/>
  <c r="V128" i="2"/>
  <c r="U128" i="2"/>
  <c r="Q128" i="2"/>
  <c r="Y128" i="2"/>
  <c r="R128" i="2"/>
  <c r="S112" i="2"/>
  <c r="T112" i="2"/>
  <c r="AA112" i="2"/>
  <c r="W112" i="2"/>
  <c r="P112" i="2"/>
  <c r="Z112" i="2"/>
  <c r="X112" i="2"/>
  <c r="V112" i="2"/>
  <c r="U112" i="2"/>
  <c r="Y112" i="2"/>
  <c r="Q112" i="2"/>
  <c r="R112" i="2"/>
  <c r="S100" i="2"/>
  <c r="T100" i="2"/>
  <c r="AA100" i="2"/>
  <c r="W100" i="2"/>
  <c r="P100" i="2"/>
  <c r="Z100" i="2"/>
  <c r="R100" i="2"/>
  <c r="X100" i="2"/>
  <c r="U100" i="2"/>
  <c r="V100" i="2"/>
  <c r="Y100" i="2"/>
  <c r="Q100" i="2"/>
  <c r="Z84" i="2"/>
  <c r="T84" i="2"/>
  <c r="AA84" i="2"/>
  <c r="P84" i="2"/>
  <c r="W84" i="2"/>
  <c r="S84" i="2"/>
  <c r="X84" i="2"/>
  <c r="V84" i="2"/>
  <c r="R84" i="2"/>
  <c r="U84" i="2"/>
  <c r="Y84" i="2"/>
  <c r="Q84" i="2"/>
  <c r="Z72" i="2"/>
  <c r="T72" i="2"/>
  <c r="AA72" i="2"/>
  <c r="P72" i="2"/>
  <c r="W72" i="2"/>
  <c r="X72" i="2"/>
  <c r="S72" i="2"/>
  <c r="V72" i="2"/>
  <c r="R72" i="2"/>
  <c r="Y72" i="2"/>
  <c r="U72" i="2"/>
  <c r="Q72" i="2"/>
  <c r="T60" i="2"/>
  <c r="W60" i="2"/>
  <c r="R60" i="2"/>
  <c r="AA60" i="2"/>
  <c r="S60" i="2"/>
  <c r="P60" i="2"/>
  <c r="U60" i="2"/>
  <c r="V60" i="2"/>
  <c r="X60" i="2"/>
  <c r="Y60" i="2"/>
  <c r="Z60" i="2"/>
  <c r="Q60" i="2"/>
  <c r="R44" i="2"/>
  <c r="W44" i="2"/>
  <c r="S44" i="2"/>
  <c r="AA44" i="2"/>
  <c r="T44" i="2"/>
  <c r="U44" i="2"/>
  <c r="X44" i="2"/>
  <c r="V44" i="2"/>
  <c r="Y44" i="2"/>
  <c r="Q44" i="2"/>
  <c r="Z44" i="2"/>
  <c r="P44" i="2"/>
  <c r="W32" i="2"/>
  <c r="R32" i="2"/>
  <c r="S32" i="2"/>
  <c r="T32" i="2"/>
  <c r="AA32" i="2"/>
  <c r="P32" i="2"/>
  <c r="Z32" i="2"/>
  <c r="U32" i="2"/>
  <c r="X32" i="2"/>
  <c r="V32" i="2"/>
  <c r="Y32" i="2"/>
  <c r="Q32" i="2"/>
  <c r="C287" i="2"/>
  <c r="W287" i="2"/>
  <c r="T287" i="2"/>
  <c r="P287" i="2"/>
  <c r="Z287" i="2"/>
  <c r="S287" i="2"/>
  <c r="X287" i="2"/>
  <c r="Y287" i="2"/>
  <c r="U287" i="2"/>
  <c r="AA287" i="2"/>
  <c r="V287" i="2"/>
  <c r="R287" i="2"/>
  <c r="Q287" i="2"/>
  <c r="C279" i="2"/>
  <c r="S279" i="2"/>
  <c r="T279" i="2"/>
  <c r="AA279" i="2"/>
  <c r="P279" i="2"/>
  <c r="Z279" i="2"/>
  <c r="X279" i="2"/>
  <c r="Y279" i="2"/>
  <c r="W279" i="2"/>
  <c r="U279" i="2"/>
  <c r="R279" i="2"/>
  <c r="Q279" i="2"/>
  <c r="V279" i="2"/>
  <c r="C267" i="2"/>
  <c r="S267" i="2"/>
  <c r="T267" i="2"/>
  <c r="AA267" i="2"/>
  <c r="P267" i="2"/>
  <c r="Z267" i="2"/>
  <c r="X267" i="2"/>
  <c r="Y267" i="2"/>
  <c r="V267" i="2"/>
  <c r="W267" i="2"/>
  <c r="R267" i="2"/>
  <c r="U267" i="2"/>
  <c r="Q267" i="2"/>
  <c r="C259" i="2"/>
  <c r="S259" i="2"/>
  <c r="T259" i="2"/>
  <c r="AA259" i="2"/>
  <c r="P259" i="2"/>
  <c r="Z259" i="2"/>
  <c r="X259" i="2"/>
  <c r="Y259" i="2"/>
  <c r="W259" i="2"/>
  <c r="U259" i="2"/>
  <c r="R259" i="2"/>
  <c r="V259" i="2"/>
  <c r="Q259" i="2"/>
  <c r="C247" i="2"/>
  <c r="S247" i="2"/>
  <c r="T247" i="2"/>
  <c r="AA247" i="2"/>
  <c r="P247" i="2"/>
  <c r="Z247" i="2"/>
  <c r="X247" i="2"/>
  <c r="Y247" i="2"/>
  <c r="W247" i="2"/>
  <c r="U247" i="2"/>
  <c r="R247" i="2"/>
  <c r="V247" i="2"/>
  <c r="Q247" i="2"/>
  <c r="C239" i="2"/>
  <c r="S239" i="2"/>
  <c r="T239" i="2"/>
  <c r="AA239" i="2"/>
  <c r="P239" i="2"/>
  <c r="Z239" i="2"/>
  <c r="W239" i="2"/>
  <c r="X239" i="2"/>
  <c r="U239" i="2"/>
  <c r="V239" i="2"/>
  <c r="Q239" i="2"/>
  <c r="Y239" i="2"/>
  <c r="R239" i="2"/>
  <c r="C235" i="2"/>
  <c r="S235" i="2"/>
  <c r="T235" i="2"/>
  <c r="AA235" i="2"/>
  <c r="P235" i="2"/>
  <c r="Z235" i="2"/>
  <c r="X235" i="2"/>
  <c r="Y235" i="2"/>
  <c r="V235" i="2"/>
  <c r="W235" i="2"/>
  <c r="R235" i="2"/>
  <c r="U235" i="2"/>
  <c r="Q235" i="2"/>
  <c r="C223" i="2"/>
  <c r="S223" i="2"/>
  <c r="T223" i="2"/>
  <c r="AA223" i="2"/>
  <c r="P223" i="2"/>
  <c r="Z223" i="2"/>
  <c r="W223" i="2"/>
  <c r="X223" i="2"/>
  <c r="U223" i="2"/>
  <c r="Q223" i="2"/>
  <c r="V223" i="2"/>
  <c r="R223" i="2"/>
  <c r="Y223" i="2"/>
  <c r="C215" i="2"/>
  <c r="S215" i="2"/>
  <c r="T215" i="2"/>
  <c r="AA215" i="2"/>
  <c r="P215" i="2"/>
  <c r="Z215" i="2"/>
  <c r="X215" i="2"/>
  <c r="Y215" i="2"/>
  <c r="W215" i="2"/>
  <c r="U215" i="2"/>
  <c r="R215" i="2"/>
  <c r="V215" i="2"/>
  <c r="Q215" i="2"/>
  <c r="C203" i="2"/>
  <c r="S203" i="2"/>
  <c r="T203" i="2"/>
  <c r="AA203" i="2"/>
  <c r="P203" i="2"/>
  <c r="Z203" i="2"/>
  <c r="X203" i="2"/>
  <c r="Y203" i="2"/>
  <c r="V203" i="2"/>
  <c r="R203" i="2"/>
  <c r="U203" i="2"/>
  <c r="Q203" i="2"/>
  <c r="W203" i="2"/>
  <c r="C195" i="2"/>
  <c r="S195" i="2"/>
  <c r="T195" i="2"/>
  <c r="AA195" i="2"/>
  <c r="P195" i="2"/>
  <c r="Z195" i="2"/>
  <c r="X195" i="2"/>
  <c r="Y195" i="2"/>
  <c r="W195" i="2"/>
  <c r="U195" i="2"/>
  <c r="Q195" i="2"/>
  <c r="V195" i="2"/>
  <c r="R195" i="2"/>
  <c r="C183" i="2"/>
  <c r="S183" i="2"/>
  <c r="T183" i="2"/>
  <c r="AA183" i="2"/>
  <c r="P183" i="2"/>
  <c r="Z183" i="2"/>
  <c r="X183" i="2"/>
  <c r="Y183" i="2"/>
  <c r="W183" i="2"/>
  <c r="U183" i="2"/>
  <c r="R183" i="2"/>
  <c r="Q183" i="2"/>
  <c r="V183" i="2"/>
  <c r="C175" i="2"/>
  <c r="T175" i="2"/>
  <c r="AA175" i="2"/>
  <c r="P175" i="2"/>
  <c r="W175" i="2"/>
  <c r="X175" i="2"/>
  <c r="U175" i="2"/>
  <c r="S175" i="2"/>
  <c r="Z175" i="2"/>
  <c r="R175" i="2"/>
  <c r="V175" i="2"/>
  <c r="Y175" i="2"/>
  <c r="Q175" i="2"/>
  <c r="C163" i="2"/>
  <c r="T163" i="2"/>
  <c r="AA163" i="2"/>
  <c r="P163" i="2"/>
  <c r="W163" i="2"/>
  <c r="X163" i="2"/>
  <c r="S163" i="2"/>
  <c r="Z163" i="2"/>
  <c r="R163" i="2"/>
  <c r="V163" i="2"/>
  <c r="Y163" i="2"/>
  <c r="U163" i="2"/>
  <c r="Q163" i="2"/>
  <c r="C155" i="2"/>
  <c r="T155" i="2"/>
  <c r="AA155" i="2"/>
  <c r="P155" i="2"/>
  <c r="W155" i="2"/>
  <c r="S155" i="2"/>
  <c r="Z155" i="2"/>
  <c r="X155" i="2"/>
  <c r="Y155" i="2"/>
  <c r="R155" i="2"/>
  <c r="V155" i="2"/>
  <c r="Q155" i="2"/>
  <c r="U155" i="2"/>
  <c r="C143" i="2"/>
  <c r="T143" i="2"/>
  <c r="AA143" i="2"/>
  <c r="P143" i="2"/>
  <c r="W143" i="2"/>
  <c r="X143" i="2"/>
  <c r="U143" i="2"/>
  <c r="S143" i="2"/>
  <c r="Z143" i="2"/>
  <c r="R143" i="2"/>
  <c r="V143" i="2"/>
  <c r="Y143" i="2"/>
  <c r="Q143" i="2"/>
  <c r="C135" i="2"/>
  <c r="T135" i="2"/>
  <c r="AA135" i="2"/>
  <c r="W135" i="2"/>
  <c r="P135" i="2"/>
  <c r="Z135" i="2"/>
  <c r="V135" i="2"/>
  <c r="S135" i="2"/>
  <c r="R135" i="2"/>
  <c r="Y135" i="2"/>
  <c r="X135" i="2"/>
  <c r="U135" i="2"/>
  <c r="Q135" i="2"/>
  <c r="C127" i="2"/>
  <c r="Z127" i="2"/>
  <c r="T127" i="2"/>
  <c r="AA127" i="2"/>
  <c r="W127" i="2"/>
  <c r="P127" i="2"/>
  <c r="S127" i="2"/>
  <c r="R127" i="2"/>
  <c r="V127" i="2"/>
  <c r="Y127" i="2"/>
  <c r="X127" i="2"/>
  <c r="Q127" i="2"/>
  <c r="U127" i="2"/>
  <c r="T115" i="2"/>
  <c r="AA115" i="2"/>
  <c r="W115" i="2"/>
  <c r="P115" i="2"/>
  <c r="Z115" i="2"/>
  <c r="S115" i="2"/>
  <c r="R115" i="2"/>
  <c r="V115" i="2"/>
  <c r="Y115" i="2"/>
  <c r="U115" i="2"/>
  <c r="X115" i="2"/>
  <c r="Q115" i="2"/>
  <c r="T107" i="2"/>
  <c r="AA107" i="2"/>
  <c r="W107" i="2"/>
  <c r="P107" i="2"/>
  <c r="V107" i="2"/>
  <c r="Z107" i="2"/>
  <c r="Y107" i="2"/>
  <c r="S107" i="2"/>
  <c r="R107" i="2"/>
  <c r="X107" i="2"/>
  <c r="U107" i="2"/>
  <c r="Q107" i="2"/>
  <c r="Z95" i="2"/>
  <c r="T95" i="2"/>
  <c r="AA95" i="2"/>
  <c r="W95" i="2"/>
  <c r="P95" i="2"/>
  <c r="S95" i="2"/>
  <c r="R95" i="2"/>
  <c r="V95" i="2"/>
  <c r="Y95" i="2"/>
  <c r="U95" i="2"/>
  <c r="X95" i="2"/>
  <c r="Q95" i="2"/>
  <c r="T87" i="2"/>
  <c r="AA87" i="2"/>
  <c r="P87" i="2"/>
  <c r="W87" i="2"/>
  <c r="S87" i="2"/>
  <c r="R87" i="2"/>
  <c r="X87" i="2"/>
  <c r="V87" i="2"/>
  <c r="Z87" i="2"/>
  <c r="Y87" i="2"/>
  <c r="U87" i="2"/>
  <c r="Q87" i="2"/>
  <c r="Z75" i="2"/>
  <c r="T75" i="2"/>
  <c r="AA75" i="2"/>
  <c r="P75" i="2"/>
  <c r="W75" i="2"/>
  <c r="S75" i="2"/>
  <c r="X75" i="2"/>
  <c r="V75" i="2"/>
  <c r="R75" i="2"/>
  <c r="Y75" i="2"/>
  <c r="U75" i="2"/>
  <c r="Q75" i="2"/>
  <c r="AA67" i="2"/>
  <c r="W67" i="2"/>
  <c r="S67" i="2"/>
  <c r="P67" i="2"/>
  <c r="Z67" i="2"/>
  <c r="T67" i="2"/>
  <c r="V67" i="2"/>
  <c r="X67" i="2"/>
  <c r="Y67" i="2"/>
  <c r="R67" i="2"/>
  <c r="U67" i="2"/>
  <c r="Q67" i="2"/>
  <c r="AA55" i="2"/>
  <c r="P55" i="2"/>
  <c r="Z55" i="2"/>
  <c r="W55" i="2"/>
  <c r="S55" i="2"/>
  <c r="R55" i="2"/>
  <c r="V55" i="2"/>
  <c r="T55" i="2"/>
  <c r="X55" i="2"/>
  <c r="Y55" i="2"/>
  <c r="U55" i="2"/>
  <c r="Q55" i="2"/>
  <c r="P47" i="2"/>
  <c r="T47" i="2"/>
  <c r="AA47" i="2"/>
  <c r="W47" i="2"/>
  <c r="Z47" i="2"/>
  <c r="R47" i="2"/>
  <c r="V47" i="2"/>
  <c r="S47" i="2"/>
  <c r="Y47" i="2"/>
  <c r="U47" i="2"/>
  <c r="X47" i="2"/>
  <c r="Q47" i="2"/>
  <c r="T35" i="2"/>
  <c r="W35" i="2"/>
  <c r="P35" i="2"/>
  <c r="AA35" i="2"/>
  <c r="S35" i="2"/>
  <c r="Z35" i="2"/>
  <c r="X35" i="2"/>
  <c r="V35" i="2"/>
  <c r="Y35" i="2"/>
  <c r="U35" i="2"/>
  <c r="Q35" i="2"/>
  <c r="R35" i="2"/>
  <c r="AA27" i="2"/>
  <c r="S27" i="2"/>
  <c r="T27" i="2"/>
  <c r="P27" i="2"/>
  <c r="Z27" i="2"/>
  <c r="X27" i="2"/>
  <c r="V27" i="2"/>
  <c r="Y27" i="2"/>
  <c r="W27" i="2"/>
  <c r="U27" i="2"/>
  <c r="R27" i="2"/>
  <c r="Q27" i="2"/>
  <c r="C297" i="2"/>
  <c r="W297" i="2"/>
  <c r="S297" i="2"/>
  <c r="T297" i="2"/>
  <c r="R297" i="2"/>
  <c r="P297" i="2"/>
  <c r="AA297" i="2"/>
  <c r="Z297" i="2"/>
  <c r="X297" i="2"/>
  <c r="Y297" i="2"/>
  <c r="U297" i="2"/>
  <c r="Q297" i="2"/>
  <c r="V297" i="2"/>
  <c r="C293" i="2"/>
  <c r="W293" i="2"/>
  <c r="S293" i="2"/>
  <c r="AA293" i="2"/>
  <c r="P293" i="2"/>
  <c r="R293" i="2"/>
  <c r="Z293" i="2"/>
  <c r="X293" i="2"/>
  <c r="Y293" i="2"/>
  <c r="U293" i="2"/>
  <c r="T293" i="2"/>
  <c r="V293" i="2"/>
  <c r="Q293" i="2"/>
  <c r="C289" i="2"/>
  <c r="S289" i="2"/>
  <c r="AA289" i="2"/>
  <c r="W289" i="2"/>
  <c r="Z289" i="2"/>
  <c r="R289" i="2"/>
  <c r="T289" i="2"/>
  <c r="X289" i="2"/>
  <c r="Y289" i="2"/>
  <c r="U289" i="2"/>
  <c r="V289" i="2"/>
  <c r="P289" i="2"/>
  <c r="Q289" i="2"/>
  <c r="C285" i="2"/>
  <c r="AA285" i="2"/>
  <c r="S285" i="2"/>
  <c r="R285" i="2"/>
  <c r="T285" i="2"/>
  <c r="W285" i="2"/>
  <c r="P285" i="2"/>
  <c r="X285" i="2"/>
  <c r="Y285" i="2"/>
  <c r="U285" i="2"/>
  <c r="V285" i="2"/>
  <c r="Z285" i="2"/>
  <c r="Q285" i="2"/>
  <c r="C281" i="2"/>
  <c r="S281" i="2"/>
  <c r="T281" i="2"/>
  <c r="W281" i="2"/>
  <c r="R281" i="2"/>
  <c r="AA281" i="2"/>
  <c r="P281" i="2"/>
  <c r="Z281" i="2"/>
  <c r="X281" i="2"/>
  <c r="Y281" i="2"/>
  <c r="U281" i="2"/>
  <c r="Q281" i="2"/>
  <c r="V281" i="2"/>
  <c r="C277" i="2"/>
  <c r="W277" i="2"/>
  <c r="S277" i="2"/>
  <c r="AA277" i="2"/>
  <c r="P277" i="2"/>
  <c r="R277" i="2"/>
  <c r="V277" i="2"/>
  <c r="Y277" i="2"/>
  <c r="X277" i="2"/>
  <c r="Z277" i="2"/>
  <c r="U277" i="2"/>
  <c r="Q277" i="2"/>
  <c r="T277" i="2"/>
  <c r="C273" i="2"/>
  <c r="W273" i="2"/>
  <c r="S273" i="2"/>
  <c r="Y273" i="2"/>
  <c r="U273" i="2"/>
  <c r="R273" i="2"/>
  <c r="V273" i="2"/>
  <c r="T273" i="2"/>
  <c r="Z273" i="2"/>
  <c r="X273" i="2"/>
  <c r="P273" i="2"/>
  <c r="Q273" i="2"/>
  <c r="AA273" i="2"/>
  <c r="C269" i="2"/>
  <c r="W269" i="2"/>
  <c r="S269" i="2"/>
  <c r="T269" i="2"/>
  <c r="Z269" i="2"/>
  <c r="R269" i="2"/>
  <c r="V269" i="2"/>
  <c r="AA269" i="2"/>
  <c r="P269" i="2"/>
  <c r="X269" i="2"/>
  <c r="Y269" i="2"/>
  <c r="Q269" i="2"/>
  <c r="U269" i="2"/>
  <c r="C265" i="2"/>
  <c r="W265" i="2"/>
  <c r="S265" i="2"/>
  <c r="T265" i="2"/>
  <c r="Z265" i="2"/>
  <c r="AA265" i="2"/>
  <c r="P265" i="2"/>
  <c r="R265" i="2"/>
  <c r="V265" i="2"/>
  <c r="Y265" i="2"/>
  <c r="X265" i="2"/>
  <c r="U265" i="2"/>
  <c r="Q265" i="2"/>
  <c r="C261" i="2"/>
  <c r="W261" i="2"/>
  <c r="S261" i="2"/>
  <c r="AA261" i="2"/>
  <c r="P261" i="2"/>
  <c r="R261" i="2"/>
  <c r="V261" i="2"/>
  <c r="X261" i="2"/>
  <c r="Q261" i="2"/>
  <c r="Y261" i="2"/>
  <c r="T261" i="2"/>
  <c r="U261" i="2"/>
  <c r="Z261" i="2"/>
  <c r="C257" i="2"/>
  <c r="W257" i="2"/>
  <c r="S257" i="2"/>
  <c r="U257" i="2"/>
  <c r="R257" i="2"/>
  <c r="V257" i="2"/>
  <c r="T257" i="2"/>
  <c r="Z257" i="2"/>
  <c r="X257" i="2"/>
  <c r="P257" i="2"/>
  <c r="AA257" i="2"/>
  <c r="Y257" i="2"/>
  <c r="Q257" i="2"/>
  <c r="C253" i="2"/>
  <c r="W253" i="2"/>
  <c r="S253" i="2"/>
  <c r="T253" i="2"/>
  <c r="Z253" i="2"/>
  <c r="R253" i="2"/>
  <c r="V253" i="2"/>
  <c r="AA253" i="2"/>
  <c r="P253" i="2"/>
  <c r="X253" i="2"/>
  <c r="Y253" i="2"/>
  <c r="U253" i="2"/>
  <c r="Q253" i="2"/>
  <c r="C249" i="2"/>
  <c r="W249" i="2"/>
  <c r="S249" i="2"/>
  <c r="T249" i="2"/>
  <c r="Z249" i="2"/>
  <c r="Y249" i="2"/>
  <c r="AA249" i="2"/>
  <c r="P249" i="2"/>
  <c r="R249" i="2"/>
  <c r="V249" i="2"/>
  <c r="X249" i="2"/>
  <c r="U249" i="2"/>
  <c r="Q249" i="2"/>
  <c r="C245" i="2"/>
  <c r="W245" i="2"/>
  <c r="S245" i="2"/>
  <c r="AA245" i="2"/>
  <c r="P245" i="2"/>
  <c r="Y245" i="2"/>
  <c r="R245" i="2"/>
  <c r="V245" i="2"/>
  <c r="X245" i="2"/>
  <c r="U245" i="2"/>
  <c r="Q245" i="2"/>
  <c r="T245" i="2"/>
  <c r="Z245" i="2"/>
  <c r="C241" i="2"/>
  <c r="W241" i="2"/>
  <c r="S241" i="2"/>
  <c r="U241" i="2"/>
  <c r="R241" i="2"/>
  <c r="V241" i="2"/>
  <c r="T241" i="2"/>
  <c r="Z241" i="2"/>
  <c r="X241" i="2"/>
  <c r="Y241" i="2"/>
  <c r="AA241" i="2"/>
  <c r="Q241" i="2"/>
  <c r="P241" i="2"/>
  <c r="C237" i="2"/>
  <c r="W237" i="2"/>
  <c r="S237" i="2"/>
  <c r="T237" i="2"/>
  <c r="Z237" i="2"/>
  <c r="R237" i="2"/>
  <c r="V237" i="2"/>
  <c r="Y237" i="2"/>
  <c r="AA237" i="2"/>
  <c r="P237" i="2"/>
  <c r="X237" i="2"/>
  <c r="U237" i="2"/>
  <c r="Q237" i="2"/>
  <c r="C233" i="2"/>
  <c r="W233" i="2"/>
  <c r="S233" i="2"/>
  <c r="T233" i="2"/>
  <c r="Z233" i="2"/>
  <c r="AA233" i="2"/>
  <c r="P233" i="2"/>
  <c r="R233" i="2"/>
  <c r="V233" i="2"/>
  <c r="X233" i="2"/>
  <c r="U233" i="2"/>
  <c r="Q233" i="2"/>
  <c r="Y233" i="2"/>
  <c r="C229" i="2"/>
  <c r="W229" i="2"/>
  <c r="S229" i="2"/>
  <c r="AA229" i="2"/>
  <c r="P229" i="2"/>
  <c r="R229" i="2"/>
  <c r="V229" i="2"/>
  <c r="X229" i="2"/>
  <c r="T229" i="2"/>
  <c r="Q229" i="2"/>
  <c r="Z229" i="2"/>
  <c r="Y229" i="2"/>
  <c r="U229" i="2"/>
  <c r="C225" i="2"/>
  <c r="W225" i="2"/>
  <c r="S225" i="2"/>
  <c r="U225" i="2"/>
  <c r="R225" i="2"/>
  <c r="V225" i="2"/>
  <c r="Y225" i="2"/>
  <c r="T225" i="2"/>
  <c r="Z225" i="2"/>
  <c r="X225" i="2"/>
  <c r="AA225" i="2"/>
  <c r="Q225" i="2"/>
  <c r="P225" i="2"/>
  <c r="C221" i="2"/>
  <c r="W221" i="2"/>
  <c r="S221" i="2"/>
  <c r="Y221" i="2"/>
  <c r="T221" i="2"/>
  <c r="Z221" i="2"/>
  <c r="R221" i="2"/>
  <c r="V221" i="2"/>
  <c r="AA221" i="2"/>
  <c r="P221" i="2"/>
  <c r="X221" i="2"/>
  <c r="U221" i="2"/>
  <c r="Q221" i="2"/>
  <c r="C217" i="2"/>
  <c r="W217" i="2"/>
  <c r="S217" i="2"/>
  <c r="T217" i="2"/>
  <c r="Z217" i="2"/>
  <c r="AA217" i="2"/>
  <c r="P217" i="2"/>
  <c r="R217" i="2"/>
  <c r="V217" i="2"/>
  <c r="X217" i="2"/>
  <c r="Y217" i="2"/>
  <c r="U217" i="2"/>
  <c r="Q217" i="2"/>
  <c r="C213" i="2"/>
  <c r="W213" i="2"/>
  <c r="S213" i="2"/>
  <c r="AA213" i="2"/>
  <c r="P213" i="2"/>
  <c r="Y213" i="2"/>
  <c r="R213" i="2"/>
  <c r="V213" i="2"/>
  <c r="X213" i="2"/>
  <c r="Z213" i="2"/>
  <c r="U213" i="2"/>
  <c r="Q213" i="2"/>
  <c r="T213" i="2"/>
  <c r="C209" i="2"/>
  <c r="W209" i="2"/>
  <c r="S209" i="2"/>
  <c r="Y209" i="2"/>
  <c r="U209" i="2"/>
  <c r="R209" i="2"/>
  <c r="V209" i="2"/>
  <c r="T209" i="2"/>
  <c r="Z209" i="2"/>
  <c r="X209" i="2"/>
  <c r="P209" i="2"/>
  <c r="AA209" i="2"/>
  <c r="Q209" i="2"/>
  <c r="C205" i="2"/>
  <c r="W205" i="2"/>
  <c r="S205" i="2"/>
  <c r="T205" i="2"/>
  <c r="Z205" i="2"/>
  <c r="R205" i="2"/>
  <c r="V205" i="2"/>
  <c r="AA205" i="2"/>
  <c r="P205" i="2"/>
  <c r="X205" i="2"/>
  <c r="Y205" i="2"/>
  <c r="Q205" i="2"/>
  <c r="U205" i="2"/>
  <c r="C201" i="2"/>
  <c r="W201" i="2"/>
  <c r="S201" i="2"/>
  <c r="T201" i="2"/>
  <c r="Z201" i="2"/>
  <c r="AA201" i="2"/>
  <c r="P201" i="2"/>
  <c r="R201" i="2"/>
  <c r="V201" i="2"/>
  <c r="Y201" i="2"/>
  <c r="X201" i="2"/>
  <c r="U201" i="2"/>
  <c r="Q201" i="2"/>
  <c r="C197" i="2"/>
  <c r="W197" i="2"/>
  <c r="S197" i="2"/>
  <c r="AA197" i="2"/>
  <c r="P197" i="2"/>
  <c r="R197" i="2"/>
  <c r="V197" i="2"/>
  <c r="X197" i="2"/>
  <c r="Y197" i="2"/>
  <c r="Q197" i="2"/>
  <c r="Z197" i="2"/>
  <c r="T197" i="2"/>
  <c r="U197" i="2"/>
  <c r="C193" i="2"/>
  <c r="W193" i="2"/>
  <c r="S193" i="2"/>
  <c r="U193" i="2"/>
  <c r="R193" i="2"/>
  <c r="V193" i="2"/>
  <c r="T193" i="2"/>
  <c r="Z193" i="2"/>
  <c r="X193" i="2"/>
  <c r="Q193" i="2"/>
  <c r="AA193" i="2"/>
  <c r="Y193" i="2"/>
  <c r="P193" i="2"/>
  <c r="C189" i="2"/>
  <c r="W189" i="2"/>
  <c r="S189" i="2"/>
  <c r="T189" i="2"/>
  <c r="Z189" i="2"/>
  <c r="R189" i="2"/>
  <c r="V189" i="2"/>
  <c r="AA189" i="2"/>
  <c r="P189" i="2"/>
  <c r="X189" i="2"/>
  <c r="Y189" i="2"/>
  <c r="U189" i="2"/>
  <c r="Q189" i="2"/>
  <c r="C185" i="2"/>
  <c r="W185" i="2"/>
  <c r="S185" i="2"/>
  <c r="T185" i="2"/>
  <c r="Z185" i="2"/>
  <c r="Y185" i="2"/>
  <c r="AA185" i="2"/>
  <c r="P185" i="2"/>
  <c r="R185" i="2"/>
  <c r="V185" i="2"/>
  <c r="X185" i="2"/>
  <c r="U185" i="2"/>
  <c r="Q185" i="2"/>
  <c r="C181" i="2"/>
  <c r="W181" i="2"/>
  <c r="S181" i="2"/>
  <c r="AA181" i="2"/>
  <c r="P181" i="2"/>
  <c r="R181" i="2"/>
  <c r="V181" i="2"/>
  <c r="X181" i="2"/>
  <c r="Y181" i="2"/>
  <c r="U181" i="2"/>
  <c r="Q181" i="2"/>
  <c r="T181" i="2"/>
  <c r="Z181" i="2"/>
  <c r="C177" i="2"/>
  <c r="W177" i="2"/>
  <c r="S177" i="2"/>
  <c r="Z177" i="2"/>
  <c r="R177" i="2"/>
  <c r="V177" i="2"/>
  <c r="Y177" i="2"/>
  <c r="T177" i="2"/>
  <c r="X177" i="2"/>
  <c r="U177" i="2"/>
  <c r="AA177" i="2"/>
  <c r="P177" i="2"/>
  <c r="Q177" i="2"/>
  <c r="C173" i="2"/>
  <c r="W173" i="2"/>
  <c r="S173" i="2"/>
  <c r="Z173" i="2"/>
  <c r="R173" i="2"/>
  <c r="V173" i="2"/>
  <c r="Y173" i="2"/>
  <c r="U173" i="2"/>
  <c r="T173" i="2"/>
  <c r="AA173" i="2"/>
  <c r="P173" i="2"/>
  <c r="X173" i="2"/>
  <c r="Q173" i="2"/>
  <c r="C169" i="2"/>
  <c r="W169" i="2"/>
  <c r="S169" i="2"/>
  <c r="Z169" i="2"/>
  <c r="T169" i="2"/>
  <c r="R169" i="2"/>
  <c r="V169" i="2"/>
  <c r="Y169" i="2"/>
  <c r="AA169" i="2"/>
  <c r="P169" i="2"/>
  <c r="X169" i="2"/>
  <c r="Q169" i="2"/>
  <c r="U169" i="2"/>
  <c r="C165" i="2"/>
  <c r="W165" i="2"/>
  <c r="S165" i="2"/>
  <c r="Z165" i="2"/>
  <c r="AA165" i="2"/>
  <c r="P165" i="2"/>
  <c r="R165" i="2"/>
  <c r="V165" i="2"/>
  <c r="X165" i="2"/>
  <c r="Y165" i="2"/>
  <c r="U165" i="2"/>
  <c r="T165" i="2"/>
  <c r="Q165" i="2"/>
  <c r="C161" i="2"/>
  <c r="W161" i="2"/>
  <c r="S161" i="2"/>
  <c r="Z161" i="2"/>
  <c r="R161" i="2"/>
  <c r="V161" i="2"/>
  <c r="T161" i="2"/>
  <c r="X161" i="2"/>
  <c r="AA161" i="2"/>
  <c r="Y161" i="2"/>
  <c r="P161" i="2"/>
  <c r="U161" i="2"/>
  <c r="Q161" i="2"/>
  <c r="C157" i="2"/>
  <c r="W157" i="2"/>
  <c r="S157" i="2"/>
  <c r="Z157" i="2"/>
  <c r="R157" i="2"/>
  <c r="V157" i="2"/>
  <c r="U157" i="2"/>
  <c r="T157" i="2"/>
  <c r="AA157" i="2"/>
  <c r="P157" i="2"/>
  <c r="X157" i="2"/>
  <c r="Y157" i="2"/>
  <c r="Q157" i="2"/>
  <c r="C153" i="2"/>
  <c r="W153" i="2"/>
  <c r="S153" i="2"/>
  <c r="Z153" i="2"/>
  <c r="T153" i="2"/>
  <c r="R153" i="2"/>
  <c r="V153" i="2"/>
  <c r="AA153" i="2"/>
  <c r="P153" i="2"/>
  <c r="X153" i="2"/>
  <c r="Q153" i="2"/>
  <c r="Y153" i="2"/>
  <c r="U153" i="2"/>
  <c r="C149" i="2"/>
  <c r="W149" i="2"/>
  <c r="S149" i="2"/>
  <c r="Z149" i="2"/>
  <c r="AA149" i="2"/>
  <c r="P149" i="2"/>
  <c r="R149" i="2"/>
  <c r="V149" i="2"/>
  <c r="Y149" i="2"/>
  <c r="X149" i="2"/>
  <c r="U149" i="2"/>
  <c r="T149" i="2"/>
  <c r="Q149" i="2"/>
  <c r="C145" i="2"/>
  <c r="W145" i="2"/>
  <c r="S145" i="2"/>
  <c r="Z145" i="2"/>
  <c r="R145" i="2"/>
  <c r="V145" i="2"/>
  <c r="T145" i="2"/>
  <c r="X145" i="2"/>
  <c r="Y145" i="2"/>
  <c r="P145" i="2"/>
  <c r="U145" i="2"/>
  <c r="Q145" i="2"/>
  <c r="AA145" i="2"/>
  <c r="C141" i="2"/>
  <c r="W141" i="2"/>
  <c r="S141" i="2"/>
  <c r="Z141" i="2"/>
  <c r="R141" i="2"/>
  <c r="V141" i="2"/>
  <c r="U141" i="2"/>
  <c r="T141" i="2"/>
  <c r="AA141" i="2"/>
  <c r="P141" i="2"/>
  <c r="X141" i="2"/>
  <c r="Y141" i="2"/>
  <c r="Q141" i="2"/>
  <c r="C137" i="2"/>
  <c r="S137" i="2"/>
  <c r="Z137" i="2"/>
  <c r="T137" i="2"/>
  <c r="AA137" i="2"/>
  <c r="Y137" i="2"/>
  <c r="W137" i="2"/>
  <c r="P137" i="2"/>
  <c r="R137" i="2"/>
  <c r="X137" i="2"/>
  <c r="V137" i="2"/>
  <c r="U137" i="2"/>
  <c r="Q137" i="2"/>
  <c r="C133" i="2"/>
  <c r="Z133" i="2"/>
  <c r="S133" i="2"/>
  <c r="W133" i="2"/>
  <c r="P133" i="2"/>
  <c r="R133" i="2"/>
  <c r="V133" i="2"/>
  <c r="Y133" i="2"/>
  <c r="X133" i="2"/>
  <c r="Q133" i="2"/>
  <c r="T133" i="2"/>
  <c r="AA133" i="2"/>
  <c r="U133" i="2"/>
  <c r="C129" i="2"/>
  <c r="S129" i="2"/>
  <c r="Y129" i="2"/>
  <c r="Z129" i="2"/>
  <c r="X129" i="2"/>
  <c r="T129" i="2"/>
  <c r="AA129" i="2"/>
  <c r="U129" i="2"/>
  <c r="Q129" i="2"/>
  <c r="P129" i="2"/>
  <c r="R129" i="2"/>
  <c r="W129" i="2"/>
  <c r="V129" i="2"/>
  <c r="C125" i="2"/>
  <c r="S125" i="2"/>
  <c r="Z125" i="2"/>
  <c r="Y125" i="2"/>
  <c r="T125" i="2"/>
  <c r="AA125" i="2"/>
  <c r="X125" i="2"/>
  <c r="W125" i="2"/>
  <c r="P125" i="2"/>
  <c r="R125" i="2"/>
  <c r="V125" i="2"/>
  <c r="Q125" i="2"/>
  <c r="U125" i="2"/>
  <c r="D121" i="2"/>
  <c r="S121" i="2"/>
  <c r="Z121" i="2"/>
  <c r="T121" i="2"/>
  <c r="AA121" i="2"/>
  <c r="Y121" i="2"/>
  <c r="W121" i="2"/>
  <c r="P121" i="2"/>
  <c r="R121" i="2"/>
  <c r="X121" i="2"/>
  <c r="V121" i="2"/>
  <c r="U121" i="2"/>
  <c r="Q121" i="2"/>
  <c r="Z117" i="2"/>
  <c r="S117" i="2"/>
  <c r="W117" i="2"/>
  <c r="P117" i="2"/>
  <c r="R117" i="2"/>
  <c r="V117" i="2"/>
  <c r="Y117" i="2"/>
  <c r="X117" i="2"/>
  <c r="Q117" i="2"/>
  <c r="T117" i="2"/>
  <c r="AA117" i="2"/>
  <c r="U117" i="2"/>
  <c r="S113" i="2"/>
  <c r="Z113" i="2"/>
  <c r="Y113" i="2"/>
  <c r="X113" i="2"/>
  <c r="T113" i="2"/>
  <c r="AA113" i="2"/>
  <c r="R113" i="2"/>
  <c r="U113" i="2"/>
  <c r="Q113" i="2"/>
  <c r="W113" i="2"/>
  <c r="V113" i="2"/>
  <c r="P113" i="2"/>
  <c r="S109" i="2"/>
  <c r="Z109" i="2"/>
  <c r="Y109" i="2"/>
  <c r="T109" i="2"/>
  <c r="AA109" i="2"/>
  <c r="X109" i="2"/>
  <c r="W109" i="2"/>
  <c r="P109" i="2"/>
  <c r="R109" i="2"/>
  <c r="V109" i="2"/>
  <c r="Q109" i="2"/>
  <c r="U109" i="2"/>
  <c r="S105" i="2"/>
  <c r="Z105" i="2"/>
  <c r="T105" i="2"/>
  <c r="AA105" i="2"/>
  <c r="Y105" i="2"/>
  <c r="W105" i="2"/>
  <c r="P105" i="2"/>
  <c r="R105" i="2"/>
  <c r="X105" i="2"/>
  <c r="V105" i="2"/>
  <c r="U105" i="2"/>
  <c r="Q105" i="2"/>
  <c r="Z101" i="2"/>
  <c r="S101" i="2"/>
  <c r="W101" i="2"/>
  <c r="P101" i="2"/>
  <c r="R101" i="2"/>
  <c r="V101" i="2"/>
  <c r="Y101" i="2"/>
  <c r="X101" i="2"/>
  <c r="T101" i="2"/>
  <c r="AA101" i="2"/>
  <c r="Q101" i="2"/>
  <c r="U101" i="2"/>
  <c r="S97" i="2"/>
  <c r="Y97" i="2"/>
  <c r="X97" i="2"/>
  <c r="T97" i="2"/>
  <c r="AA97" i="2"/>
  <c r="W97" i="2"/>
  <c r="V97" i="2"/>
  <c r="U97" i="2"/>
  <c r="Q97" i="2"/>
  <c r="R97" i="2"/>
  <c r="P97" i="2"/>
  <c r="Z97" i="2"/>
  <c r="S93" i="2"/>
  <c r="Z93" i="2"/>
  <c r="Y93" i="2"/>
  <c r="T93" i="2"/>
  <c r="AA93" i="2"/>
  <c r="X93" i="2"/>
  <c r="W93" i="2"/>
  <c r="P93" i="2"/>
  <c r="R93" i="2"/>
  <c r="V93" i="2"/>
  <c r="Q93" i="2"/>
  <c r="U93" i="2"/>
  <c r="W89" i="2"/>
  <c r="S89" i="2"/>
  <c r="Z89" i="2"/>
  <c r="R89" i="2"/>
  <c r="T89" i="2"/>
  <c r="AA89" i="2"/>
  <c r="Y89" i="2"/>
  <c r="U89" i="2"/>
  <c r="P89" i="2"/>
  <c r="V89" i="2"/>
  <c r="Q89" i="2"/>
  <c r="X89" i="2"/>
  <c r="W85" i="2"/>
  <c r="S85" i="2"/>
  <c r="Z85" i="2"/>
  <c r="P85" i="2"/>
  <c r="V85" i="2"/>
  <c r="Y85" i="2"/>
  <c r="U85" i="2"/>
  <c r="R85" i="2"/>
  <c r="X85" i="2"/>
  <c r="Q85" i="2"/>
  <c r="AA85" i="2"/>
  <c r="T85" i="2"/>
  <c r="W81" i="2"/>
  <c r="S81" i="2"/>
  <c r="Z81" i="2"/>
  <c r="R81" i="2"/>
  <c r="Y81" i="2"/>
  <c r="U81" i="2"/>
  <c r="T81" i="2"/>
  <c r="AA81" i="2"/>
  <c r="X81" i="2"/>
  <c r="P81" i="2"/>
  <c r="Q81" i="2"/>
  <c r="V81" i="2"/>
  <c r="W77" i="2"/>
  <c r="S77" i="2"/>
  <c r="Z77" i="2"/>
  <c r="Y77" i="2"/>
  <c r="U77" i="2"/>
  <c r="T77" i="2"/>
  <c r="AA77" i="2"/>
  <c r="R77" i="2"/>
  <c r="P77" i="2"/>
  <c r="X77" i="2"/>
  <c r="V77" i="2"/>
  <c r="Q77" i="2"/>
  <c r="W73" i="2"/>
  <c r="S73" i="2"/>
  <c r="Z73" i="2"/>
  <c r="R73" i="2"/>
  <c r="T73" i="2"/>
  <c r="AA73" i="2"/>
  <c r="Y73" i="2"/>
  <c r="U73" i="2"/>
  <c r="P73" i="2"/>
  <c r="V73" i="2"/>
  <c r="X73" i="2"/>
  <c r="Q73" i="2"/>
  <c r="W69" i="2"/>
  <c r="S69" i="2"/>
  <c r="Z69" i="2"/>
  <c r="P69" i="2"/>
  <c r="R69" i="2"/>
  <c r="V69" i="2"/>
  <c r="Y69" i="2"/>
  <c r="U69" i="2"/>
  <c r="X69" i="2"/>
  <c r="Q69" i="2"/>
  <c r="AA69" i="2"/>
  <c r="T69" i="2"/>
  <c r="P65" i="2"/>
  <c r="Z65" i="2"/>
  <c r="T65" i="2"/>
  <c r="AA65" i="2"/>
  <c r="W65" i="2"/>
  <c r="X65" i="2"/>
  <c r="Y65" i="2"/>
  <c r="S65" i="2"/>
  <c r="R65" i="2"/>
  <c r="V65" i="2"/>
  <c r="U65" i="2"/>
  <c r="Q65" i="2"/>
  <c r="AA61" i="2"/>
  <c r="P61" i="2"/>
  <c r="Z61" i="2"/>
  <c r="T61" i="2"/>
  <c r="W61" i="2"/>
  <c r="S61" i="2"/>
  <c r="R61" i="2"/>
  <c r="X61" i="2"/>
  <c r="Y61" i="2"/>
  <c r="Q61" i="2"/>
  <c r="V61" i="2"/>
  <c r="U61" i="2"/>
  <c r="W57" i="2"/>
  <c r="P57" i="2"/>
  <c r="Z57" i="2"/>
  <c r="T57" i="2"/>
  <c r="S57" i="2"/>
  <c r="X57" i="2"/>
  <c r="Y57" i="2"/>
  <c r="R57" i="2"/>
  <c r="U57" i="2"/>
  <c r="Q57" i="2"/>
  <c r="V57" i="2"/>
  <c r="AA57" i="2"/>
  <c r="S53" i="2"/>
  <c r="P53" i="2"/>
  <c r="Z53" i="2"/>
  <c r="T53" i="2"/>
  <c r="AA53" i="2"/>
  <c r="R53" i="2"/>
  <c r="X53" i="2"/>
  <c r="Y53" i="2"/>
  <c r="W53" i="2"/>
  <c r="Q53" i="2"/>
  <c r="V53" i="2"/>
  <c r="U53" i="2"/>
  <c r="S49" i="2"/>
  <c r="Z49" i="2"/>
  <c r="W49" i="2"/>
  <c r="P49" i="2"/>
  <c r="T49" i="2"/>
  <c r="AA49" i="2"/>
  <c r="X49" i="2"/>
  <c r="Y49" i="2"/>
  <c r="R49" i="2"/>
  <c r="V49" i="2"/>
  <c r="U49" i="2"/>
  <c r="Q49" i="2"/>
  <c r="T45" i="2"/>
  <c r="AA45" i="2"/>
  <c r="Z45" i="2"/>
  <c r="W45" i="2"/>
  <c r="S45" i="2"/>
  <c r="R45" i="2"/>
  <c r="Y45" i="2"/>
  <c r="P45" i="2"/>
  <c r="X45" i="2"/>
  <c r="Q45" i="2"/>
  <c r="U45" i="2"/>
  <c r="V45" i="2"/>
  <c r="W41" i="2"/>
  <c r="S41" i="2"/>
  <c r="Z41" i="2"/>
  <c r="P41" i="2"/>
  <c r="T41" i="2"/>
  <c r="AA41" i="2"/>
  <c r="X41" i="2"/>
  <c r="Y41" i="2"/>
  <c r="R41" i="2"/>
  <c r="U41" i="2"/>
  <c r="Q41" i="2"/>
  <c r="V41" i="2"/>
  <c r="AA37" i="2"/>
  <c r="W37" i="2"/>
  <c r="S37" i="2"/>
  <c r="Z37" i="2"/>
  <c r="P37" i="2"/>
  <c r="R37" i="2"/>
  <c r="Y37" i="2"/>
  <c r="X37" i="2"/>
  <c r="T37" i="2"/>
  <c r="Q37" i="2"/>
  <c r="V37" i="2"/>
  <c r="U37" i="2"/>
  <c r="Z33" i="2"/>
  <c r="W33" i="2"/>
  <c r="Y33" i="2"/>
  <c r="AA33" i="2"/>
  <c r="T33" i="2"/>
  <c r="R33" i="2"/>
  <c r="X33" i="2"/>
  <c r="V33" i="2"/>
  <c r="U33" i="2"/>
  <c r="Q33" i="2"/>
  <c r="S33" i="2"/>
  <c r="P33" i="2"/>
  <c r="Z29" i="2"/>
  <c r="AA29" i="2"/>
  <c r="S29" i="2"/>
  <c r="R29" i="2"/>
  <c r="Y29" i="2"/>
  <c r="T29" i="2"/>
  <c r="P29" i="2"/>
  <c r="X29" i="2"/>
  <c r="Q29" i="2"/>
  <c r="W29" i="2"/>
  <c r="V29" i="2"/>
  <c r="U29" i="2"/>
  <c r="W25" i="2"/>
  <c r="Z25" i="2"/>
  <c r="AA25" i="2"/>
  <c r="S25" i="2"/>
  <c r="T25" i="2"/>
  <c r="Y25" i="2"/>
  <c r="P25" i="2"/>
  <c r="R25" i="2"/>
  <c r="X25" i="2"/>
  <c r="U25" i="2"/>
  <c r="Q25" i="2"/>
  <c r="V25" i="2"/>
  <c r="C296" i="2"/>
  <c r="W296" i="2"/>
  <c r="AA296" i="2"/>
  <c r="S296" i="2"/>
  <c r="T296" i="2"/>
  <c r="P296" i="2"/>
  <c r="Z296" i="2"/>
  <c r="X296" i="2"/>
  <c r="Y296" i="2"/>
  <c r="V296" i="2"/>
  <c r="U296" i="2"/>
  <c r="Q296" i="2"/>
  <c r="R296" i="2"/>
  <c r="C276" i="2"/>
  <c r="W276" i="2"/>
  <c r="S276" i="2"/>
  <c r="T276" i="2"/>
  <c r="AA276" i="2"/>
  <c r="P276" i="2"/>
  <c r="Z276" i="2"/>
  <c r="R276" i="2"/>
  <c r="V276" i="2"/>
  <c r="Y276" i="2"/>
  <c r="X276" i="2"/>
  <c r="U276" i="2"/>
  <c r="Q276" i="2"/>
  <c r="C256" i="2"/>
  <c r="W256" i="2"/>
  <c r="S256" i="2"/>
  <c r="T256" i="2"/>
  <c r="AA256" i="2"/>
  <c r="P256" i="2"/>
  <c r="Z256" i="2"/>
  <c r="R256" i="2"/>
  <c r="V256" i="2"/>
  <c r="X256" i="2"/>
  <c r="Q256" i="2"/>
  <c r="Y256" i="2"/>
  <c r="U256" i="2"/>
  <c r="C240" i="2"/>
  <c r="W240" i="2"/>
  <c r="S240" i="2"/>
  <c r="T240" i="2"/>
  <c r="AA240" i="2"/>
  <c r="P240" i="2"/>
  <c r="Z240" i="2"/>
  <c r="R240" i="2"/>
  <c r="V240" i="2"/>
  <c r="X240" i="2"/>
  <c r="Y240" i="2"/>
  <c r="Q240" i="2"/>
  <c r="U240" i="2"/>
  <c r="C216" i="2"/>
  <c r="W216" i="2"/>
  <c r="S216" i="2"/>
  <c r="T216" i="2"/>
  <c r="AA216" i="2"/>
  <c r="P216" i="2"/>
  <c r="Z216" i="2"/>
  <c r="R216" i="2"/>
  <c r="V216" i="2"/>
  <c r="X216" i="2"/>
  <c r="Y216" i="2"/>
  <c r="U216" i="2"/>
  <c r="Q216" i="2"/>
  <c r="C200" i="2"/>
  <c r="W200" i="2"/>
  <c r="S200" i="2"/>
  <c r="T200" i="2"/>
  <c r="AA200" i="2"/>
  <c r="P200" i="2"/>
  <c r="Z200" i="2"/>
  <c r="R200" i="2"/>
  <c r="V200" i="2"/>
  <c r="X200" i="2"/>
  <c r="Y200" i="2"/>
  <c r="U200" i="2"/>
  <c r="Q200" i="2"/>
  <c r="C176" i="2"/>
  <c r="S176" i="2"/>
  <c r="Z176" i="2"/>
  <c r="T176" i="2"/>
  <c r="AA176" i="2"/>
  <c r="P176" i="2"/>
  <c r="W176" i="2"/>
  <c r="U176" i="2"/>
  <c r="X176" i="2"/>
  <c r="R176" i="2"/>
  <c r="Q176" i="2"/>
  <c r="V176" i="2"/>
  <c r="Y176" i="2"/>
  <c r="C156" i="2"/>
  <c r="S156" i="2"/>
  <c r="Z156" i="2"/>
  <c r="T156" i="2"/>
  <c r="AA156" i="2"/>
  <c r="P156" i="2"/>
  <c r="U156" i="2"/>
  <c r="X156" i="2"/>
  <c r="Y156" i="2"/>
  <c r="W156" i="2"/>
  <c r="Q156" i="2"/>
  <c r="V156" i="2"/>
  <c r="R156" i="2"/>
  <c r="C136" i="2"/>
  <c r="S136" i="2"/>
  <c r="Z136" i="2"/>
  <c r="T136" i="2"/>
  <c r="AA136" i="2"/>
  <c r="W136" i="2"/>
  <c r="P136" i="2"/>
  <c r="X136" i="2"/>
  <c r="U136" i="2"/>
  <c r="R136" i="2"/>
  <c r="V136" i="2"/>
  <c r="Q136" i="2"/>
  <c r="Y136" i="2"/>
  <c r="S120" i="2"/>
  <c r="Z120" i="2"/>
  <c r="T120" i="2"/>
  <c r="AA120" i="2"/>
  <c r="W120" i="2"/>
  <c r="P120" i="2"/>
  <c r="X120" i="2"/>
  <c r="U120" i="2"/>
  <c r="R120" i="2"/>
  <c r="V120" i="2"/>
  <c r="Y120" i="2"/>
  <c r="Q120" i="2"/>
  <c r="S96" i="2"/>
  <c r="Z96" i="2"/>
  <c r="T96" i="2"/>
  <c r="AA96" i="2"/>
  <c r="W96" i="2"/>
  <c r="P96" i="2"/>
  <c r="X96" i="2"/>
  <c r="V96" i="2"/>
  <c r="U96" i="2"/>
  <c r="Q96" i="2"/>
  <c r="R96" i="2"/>
  <c r="Y96" i="2"/>
  <c r="T80" i="2"/>
  <c r="AA80" i="2"/>
  <c r="P80" i="2"/>
  <c r="S80" i="2"/>
  <c r="V80" i="2"/>
  <c r="R80" i="2"/>
  <c r="X80" i="2"/>
  <c r="Z80" i="2"/>
  <c r="Y80" i="2"/>
  <c r="Q80" i="2"/>
  <c r="W80" i="2"/>
  <c r="U80" i="2"/>
  <c r="T56" i="2"/>
  <c r="AA56" i="2"/>
  <c r="R56" i="2"/>
  <c r="S56" i="2"/>
  <c r="W56" i="2"/>
  <c r="U56" i="2"/>
  <c r="Z56" i="2"/>
  <c r="V56" i="2"/>
  <c r="Q56" i="2"/>
  <c r="P56" i="2"/>
  <c r="X56" i="2"/>
  <c r="Y56" i="2"/>
  <c r="AA40" i="2"/>
  <c r="R40" i="2"/>
  <c r="T40" i="2"/>
  <c r="P40" i="2"/>
  <c r="S40" i="2"/>
  <c r="W40" i="2"/>
  <c r="X40" i="2"/>
  <c r="U40" i="2"/>
  <c r="Z40" i="2"/>
  <c r="V40" i="2"/>
  <c r="Y40" i="2"/>
  <c r="Q40" i="2"/>
  <c r="R28" i="2"/>
  <c r="AA28" i="2"/>
  <c r="S28" i="2"/>
  <c r="T28" i="2"/>
  <c r="P28" i="2"/>
  <c r="U28" i="2"/>
  <c r="X28" i="2"/>
  <c r="W28" i="2"/>
  <c r="V28" i="2"/>
  <c r="Y28" i="2"/>
  <c r="Q28" i="2"/>
  <c r="Z28" i="2"/>
  <c r="AA24" i="2"/>
  <c r="S24" i="2"/>
  <c r="R24" i="2"/>
  <c r="T24" i="2"/>
  <c r="W24" i="2"/>
  <c r="P24" i="2"/>
  <c r="U24" i="2"/>
  <c r="X24" i="2"/>
  <c r="Z24" i="2"/>
  <c r="V24" i="2"/>
  <c r="Y24" i="2"/>
  <c r="Q24" i="2"/>
  <c r="C288" i="2"/>
  <c r="S288" i="2"/>
  <c r="T288" i="2"/>
  <c r="W288" i="2"/>
  <c r="P288" i="2"/>
  <c r="Z288" i="2"/>
  <c r="AA288" i="2"/>
  <c r="X288" i="2"/>
  <c r="Y288" i="2"/>
  <c r="V288" i="2"/>
  <c r="U288" i="2"/>
  <c r="Q288" i="2"/>
  <c r="R288" i="2"/>
  <c r="C268" i="2"/>
  <c r="W268" i="2"/>
  <c r="S268" i="2"/>
  <c r="T268" i="2"/>
  <c r="AA268" i="2"/>
  <c r="P268" i="2"/>
  <c r="Z268" i="2"/>
  <c r="R268" i="2"/>
  <c r="V268" i="2"/>
  <c r="U268" i="2"/>
  <c r="X268" i="2"/>
  <c r="Y268" i="2"/>
  <c r="Q268" i="2"/>
  <c r="C252" i="2"/>
  <c r="W252" i="2"/>
  <c r="S252" i="2"/>
  <c r="T252" i="2"/>
  <c r="AA252" i="2"/>
  <c r="P252" i="2"/>
  <c r="Z252" i="2"/>
  <c r="R252" i="2"/>
  <c r="V252" i="2"/>
  <c r="X252" i="2"/>
  <c r="Y252" i="2"/>
  <c r="U252" i="2"/>
  <c r="Q252" i="2"/>
  <c r="C232" i="2"/>
  <c r="W232" i="2"/>
  <c r="S232" i="2"/>
  <c r="T232" i="2"/>
  <c r="AA232" i="2"/>
  <c r="P232" i="2"/>
  <c r="Z232" i="2"/>
  <c r="R232" i="2"/>
  <c r="V232" i="2"/>
  <c r="U232" i="2"/>
  <c r="X232" i="2"/>
  <c r="Y232" i="2"/>
  <c r="Q232" i="2"/>
  <c r="C212" i="2"/>
  <c r="W212" i="2"/>
  <c r="S212" i="2"/>
  <c r="T212" i="2"/>
  <c r="AA212" i="2"/>
  <c r="P212" i="2"/>
  <c r="Z212" i="2"/>
  <c r="R212" i="2"/>
  <c r="V212" i="2"/>
  <c r="Y212" i="2"/>
  <c r="X212" i="2"/>
  <c r="U212" i="2"/>
  <c r="Q212" i="2"/>
  <c r="C196" i="2"/>
  <c r="W196" i="2"/>
  <c r="S196" i="2"/>
  <c r="T196" i="2"/>
  <c r="AA196" i="2"/>
  <c r="P196" i="2"/>
  <c r="Z196" i="2"/>
  <c r="R196" i="2"/>
  <c r="V196" i="2"/>
  <c r="Y196" i="2"/>
  <c r="X196" i="2"/>
  <c r="U196" i="2"/>
  <c r="Q196" i="2"/>
  <c r="C180" i="2"/>
  <c r="S180" i="2"/>
  <c r="Z180" i="2"/>
  <c r="T180" i="2"/>
  <c r="AA180" i="2"/>
  <c r="P180" i="2"/>
  <c r="Y180" i="2"/>
  <c r="W180" i="2"/>
  <c r="X180" i="2"/>
  <c r="R180" i="2"/>
  <c r="U180" i="2"/>
  <c r="V180" i="2"/>
  <c r="Q180" i="2"/>
  <c r="C160" i="2"/>
  <c r="S160" i="2"/>
  <c r="Z160" i="2"/>
  <c r="T160" i="2"/>
  <c r="AA160" i="2"/>
  <c r="P160" i="2"/>
  <c r="W160" i="2"/>
  <c r="X160" i="2"/>
  <c r="Y160" i="2"/>
  <c r="Q160" i="2"/>
  <c r="V160" i="2"/>
  <c r="U160" i="2"/>
  <c r="R160" i="2"/>
  <c r="C140" i="2"/>
  <c r="S140" i="2"/>
  <c r="Z140" i="2"/>
  <c r="T140" i="2"/>
  <c r="AA140" i="2"/>
  <c r="P140" i="2"/>
  <c r="X140" i="2"/>
  <c r="Y140" i="2"/>
  <c r="Q140" i="2"/>
  <c r="V140" i="2"/>
  <c r="U140" i="2"/>
  <c r="R140" i="2"/>
  <c r="W140" i="2"/>
  <c r="C124" i="2"/>
  <c r="S124" i="2"/>
  <c r="T124" i="2"/>
  <c r="AA124" i="2"/>
  <c r="W124" i="2"/>
  <c r="P124" i="2"/>
  <c r="Z124" i="2"/>
  <c r="X124" i="2"/>
  <c r="U124" i="2"/>
  <c r="R124" i="2"/>
  <c r="Y124" i="2"/>
  <c r="V124" i="2"/>
  <c r="Q124" i="2"/>
  <c r="S108" i="2"/>
  <c r="Z108" i="2"/>
  <c r="T108" i="2"/>
  <c r="AA108" i="2"/>
  <c r="W108" i="2"/>
  <c r="P108" i="2"/>
  <c r="X108" i="2"/>
  <c r="U108" i="2"/>
  <c r="R108" i="2"/>
  <c r="V108" i="2"/>
  <c r="Y108" i="2"/>
  <c r="Q108" i="2"/>
  <c r="T88" i="2"/>
  <c r="AA88" i="2"/>
  <c r="P88" i="2"/>
  <c r="Z88" i="2"/>
  <c r="W88" i="2"/>
  <c r="X88" i="2"/>
  <c r="S88" i="2"/>
  <c r="V88" i="2"/>
  <c r="Q88" i="2"/>
  <c r="R88" i="2"/>
  <c r="U88" i="2"/>
  <c r="Y88" i="2"/>
  <c r="T68" i="2"/>
  <c r="R68" i="2"/>
  <c r="AA68" i="2"/>
  <c r="W68" i="2"/>
  <c r="X68" i="2"/>
  <c r="S68" i="2"/>
  <c r="P68" i="2"/>
  <c r="Z68" i="2"/>
  <c r="V68" i="2"/>
  <c r="U68" i="2"/>
  <c r="Q68" i="2"/>
  <c r="Y68" i="2"/>
  <c r="R48" i="2"/>
  <c r="T48" i="2"/>
  <c r="AA48" i="2"/>
  <c r="P48" i="2"/>
  <c r="S48" i="2"/>
  <c r="Z48" i="2"/>
  <c r="X48" i="2"/>
  <c r="U48" i="2"/>
  <c r="W48" i="2"/>
  <c r="V48" i="2"/>
  <c r="Q48" i="2"/>
  <c r="Y48" i="2"/>
  <c r="C295" i="2"/>
  <c r="T295" i="2"/>
  <c r="AA295" i="2"/>
  <c r="S295" i="2"/>
  <c r="P295" i="2"/>
  <c r="Z295" i="2"/>
  <c r="W295" i="2"/>
  <c r="X295" i="2"/>
  <c r="Y295" i="2"/>
  <c r="U295" i="2"/>
  <c r="V295" i="2"/>
  <c r="R295" i="2"/>
  <c r="Q295" i="2"/>
  <c r="C275" i="2"/>
  <c r="S275" i="2"/>
  <c r="T275" i="2"/>
  <c r="AA275" i="2"/>
  <c r="P275" i="2"/>
  <c r="Z275" i="2"/>
  <c r="X275" i="2"/>
  <c r="Y275" i="2"/>
  <c r="W275" i="2"/>
  <c r="Q275" i="2"/>
  <c r="V275" i="2"/>
  <c r="U275" i="2"/>
  <c r="R275" i="2"/>
  <c r="C251" i="2"/>
  <c r="S251" i="2"/>
  <c r="T251" i="2"/>
  <c r="AA251" i="2"/>
  <c r="P251" i="2"/>
  <c r="Z251" i="2"/>
  <c r="X251" i="2"/>
  <c r="Y251" i="2"/>
  <c r="V251" i="2"/>
  <c r="R251" i="2"/>
  <c r="Q251" i="2"/>
  <c r="W251" i="2"/>
  <c r="U251" i="2"/>
  <c r="C227" i="2"/>
  <c r="S227" i="2"/>
  <c r="T227" i="2"/>
  <c r="AA227" i="2"/>
  <c r="P227" i="2"/>
  <c r="Z227" i="2"/>
  <c r="X227" i="2"/>
  <c r="Y227" i="2"/>
  <c r="W227" i="2"/>
  <c r="U227" i="2"/>
  <c r="R227" i="2"/>
  <c r="Q227" i="2"/>
  <c r="V227" i="2"/>
  <c r="C207" i="2"/>
  <c r="S207" i="2"/>
  <c r="T207" i="2"/>
  <c r="AA207" i="2"/>
  <c r="P207" i="2"/>
  <c r="Z207" i="2"/>
  <c r="W207" i="2"/>
  <c r="X207" i="2"/>
  <c r="U207" i="2"/>
  <c r="Q207" i="2"/>
  <c r="V207" i="2"/>
  <c r="Y207" i="2"/>
  <c r="R207" i="2"/>
  <c r="C187" i="2"/>
  <c r="S187" i="2"/>
  <c r="T187" i="2"/>
  <c r="AA187" i="2"/>
  <c r="P187" i="2"/>
  <c r="Z187" i="2"/>
  <c r="X187" i="2"/>
  <c r="Y187" i="2"/>
  <c r="V187" i="2"/>
  <c r="Q187" i="2"/>
  <c r="U187" i="2"/>
  <c r="R187" i="2"/>
  <c r="W187" i="2"/>
  <c r="C167" i="2"/>
  <c r="T167" i="2"/>
  <c r="AA167" i="2"/>
  <c r="P167" i="2"/>
  <c r="W167" i="2"/>
  <c r="X167" i="2"/>
  <c r="Y167" i="2"/>
  <c r="R167" i="2"/>
  <c r="V167" i="2"/>
  <c r="U167" i="2"/>
  <c r="Q167" i="2"/>
  <c r="S167" i="2"/>
  <c r="Z167" i="2"/>
  <c r="C147" i="2"/>
  <c r="T147" i="2"/>
  <c r="AA147" i="2"/>
  <c r="P147" i="2"/>
  <c r="W147" i="2"/>
  <c r="X147" i="2"/>
  <c r="S147" i="2"/>
  <c r="Z147" i="2"/>
  <c r="R147" i="2"/>
  <c r="V147" i="2"/>
  <c r="Y147" i="2"/>
  <c r="U147" i="2"/>
  <c r="Q147" i="2"/>
  <c r="C123" i="2"/>
  <c r="T123" i="2"/>
  <c r="AA123" i="2"/>
  <c r="W123" i="2"/>
  <c r="P123" i="2"/>
  <c r="Y123" i="2"/>
  <c r="Z123" i="2"/>
  <c r="X123" i="2"/>
  <c r="V123" i="2"/>
  <c r="U123" i="2"/>
  <c r="S123" i="2"/>
  <c r="R123" i="2"/>
  <c r="Q123" i="2"/>
  <c r="T103" i="2"/>
  <c r="AA103" i="2"/>
  <c r="W103" i="2"/>
  <c r="P103" i="2"/>
  <c r="Z103" i="2"/>
  <c r="S103" i="2"/>
  <c r="R103" i="2"/>
  <c r="Y103" i="2"/>
  <c r="X103" i="2"/>
  <c r="V103" i="2"/>
  <c r="Q103" i="2"/>
  <c r="U103" i="2"/>
  <c r="T83" i="2"/>
  <c r="AA83" i="2"/>
  <c r="P83" i="2"/>
  <c r="W83" i="2"/>
  <c r="S83" i="2"/>
  <c r="Z83" i="2"/>
  <c r="X83" i="2"/>
  <c r="V83" i="2"/>
  <c r="Y83" i="2"/>
  <c r="U83" i="2"/>
  <c r="R83" i="2"/>
  <c r="Q83" i="2"/>
  <c r="AA63" i="2"/>
  <c r="S63" i="2"/>
  <c r="P63" i="2"/>
  <c r="Z63" i="2"/>
  <c r="T63" i="2"/>
  <c r="R63" i="2"/>
  <c r="V63" i="2"/>
  <c r="W63" i="2"/>
  <c r="X63" i="2"/>
  <c r="Y63" i="2"/>
  <c r="Q63" i="2"/>
  <c r="U63" i="2"/>
  <c r="S43" i="2"/>
  <c r="W43" i="2"/>
  <c r="P43" i="2"/>
  <c r="Z43" i="2"/>
  <c r="X43" i="2"/>
  <c r="V43" i="2"/>
  <c r="T43" i="2"/>
  <c r="Y43" i="2"/>
  <c r="AA43" i="2"/>
  <c r="R43" i="2"/>
  <c r="U43" i="2"/>
  <c r="Q43" i="2"/>
  <c r="T23" i="2"/>
  <c r="P23" i="2"/>
  <c r="W23" i="2"/>
  <c r="Z23" i="2"/>
  <c r="AA23" i="2"/>
  <c r="X23" i="2"/>
  <c r="R23" i="2"/>
  <c r="V23" i="2"/>
  <c r="Y23" i="2"/>
  <c r="S23" i="2"/>
  <c r="U23" i="2"/>
  <c r="Q23" i="2"/>
  <c r="C292" i="2"/>
  <c r="AA292" i="2"/>
  <c r="S292" i="2"/>
  <c r="T292" i="2"/>
  <c r="P292" i="2"/>
  <c r="Z292" i="2"/>
  <c r="X292" i="2"/>
  <c r="Y292" i="2"/>
  <c r="V292" i="2"/>
  <c r="W292" i="2"/>
  <c r="Q292" i="2"/>
  <c r="R292" i="2"/>
  <c r="U292" i="2"/>
  <c r="C280" i="2"/>
  <c r="W280" i="2"/>
  <c r="S280" i="2"/>
  <c r="T280" i="2"/>
  <c r="AA280" i="2"/>
  <c r="P280" i="2"/>
  <c r="Z280" i="2"/>
  <c r="R280" i="2"/>
  <c r="V280" i="2"/>
  <c r="X280" i="2"/>
  <c r="Y280" i="2"/>
  <c r="U280" i="2"/>
  <c r="Q280" i="2"/>
  <c r="C264" i="2"/>
  <c r="W264" i="2"/>
  <c r="S264" i="2"/>
  <c r="T264" i="2"/>
  <c r="AA264" i="2"/>
  <c r="P264" i="2"/>
  <c r="Z264" i="2"/>
  <c r="R264" i="2"/>
  <c r="V264" i="2"/>
  <c r="X264" i="2"/>
  <c r="Y264" i="2"/>
  <c r="U264" i="2"/>
  <c r="Q264" i="2"/>
  <c r="C248" i="2"/>
  <c r="W248" i="2"/>
  <c r="S248" i="2"/>
  <c r="T248" i="2"/>
  <c r="AA248" i="2"/>
  <c r="P248" i="2"/>
  <c r="Z248" i="2"/>
  <c r="R248" i="2"/>
  <c r="V248" i="2"/>
  <c r="X248" i="2"/>
  <c r="Y248" i="2"/>
  <c r="U248" i="2"/>
  <c r="Q248" i="2"/>
  <c r="C236" i="2"/>
  <c r="W236" i="2"/>
  <c r="S236" i="2"/>
  <c r="T236" i="2"/>
  <c r="AA236" i="2"/>
  <c r="P236" i="2"/>
  <c r="Z236" i="2"/>
  <c r="R236" i="2"/>
  <c r="V236" i="2"/>
  <c r="X236" i="2"/>
  <c r="Y236" i="2"/>
  <c r="U236" i="2"/>
  <c r="Q236" i="2"/>
  <c r="C224" i="2"/>
  <c r="W224" i="2"/>
  <c r="S224" i="2"/>
  <c r="T224" i="2"/>
  <c r="AA224" i="2"/>
  <c r="P224" i="2"/>
  <c r="Z224" i="2"/>
  <c r="R224" i="2"/>
  <c r="V224" i="2"/>
  <c r="X224" i="2"/>
  <c r="Q224" i="2"/>
  <c r="U224" i="2"/>
  <c r="Y224" i="2"/>
  <c r="C204" i="2"/>
  <c r="W204" i="2"/>
  <c r="S204" i="2"/>
  <c r="T204" i="2"/>
  <c r="AA204" i="2"/>
  <c r="P204" i="2"/>
  <c r="Z204" i="2"/>
  <c r="R204" i="2"/>
  <c r="V204" i="2"/>
  <c r="U204" i="2"/>
  <c r="X204" i="2"/>
  <c r="Y204" i="2"/>
  <c r="Q204" i="2"/>
  <c r="C188" i="2"/>
  <c r="W188" i="2"/>
  <c r="S188" i="2"/>
  <c r="T188" i="2"/>
  <c r="AA188" i="2"/>
  <c r="P188" i="2"/>
  <c r="Z188" i="2"/>
  <c r="R188" i="2"/>
  <c r="V188" i="2"/>
  <c r="X188" i="2"/>
  <c r="Y188" i="2"/>
  <c r="Q188" i="2"/>
  <c r="U188" i="2"/>
  <c r="C172" i="2"/>
  <c r="S172" i="2"/>
  <c r="Z172" i="2"/>
  <c r="T172" i="2"/>
  <c r="AA172" i="2"/>
  <c r="P172" i="2"/>
  <c r="X172" i="2"/>
  <c r="Y172" i="2"/>
  <c r="Q172" i="2"/>
  <c r="W172" i="2"/>
  <c r="V172" i="2"/>
  <c r="R172" i="2"/>
  <c r="U172" i="2"/>
  <c r="C164" i="2"/>
  <c r="S164" i="2"/>
  <c r="Z164" i="2"/>
  <c r="T164" i="2"/>
  <c r="AA164" i="2"/>
  <c r="P164" i="2"/>
  <c r="Y164" i="2"/>
  <c r="U164" i="2"/>
  <c r="W164" i="2"/>
  <c r="X164" i="2"/>
  <c r="R164" i="2"/>
  <c r="Q164" i="2"/>
  <c r="V164" i="2"/>
  <c r="C148" i="2"/>
  <c r="S148" i="2"/>
  <c r="Z148" i="2"/>
  <c r="T148" i="2"/>
  <c r="AA148" i="2"/>
  <c r="P148" i="2"/>
  <c r="Y148" i="2"/>
  <c r="W148" i="2"/>
  <c r="X148" i="2"/>
  <c r="R148" i="2"/>
  <c r="V148" i="2"/>
  <c r="U148" i="2"/>
  <c r="Q148" i="2"/>
  <c r="C132" i="2"/>
  <c r="S132" i="2"/>
  <c r="Z132" i="2"/>
  <c r="T132" i="2"/>
  <c r="AA132" i="2"/>
  <c r="W132" i="2"/>
  <c r="P132" i="2"/>
  <c r="R132" i="2"/>
  <c r="X132" i="2"/>
  <c r="U132" i="2"/>
  <c r="V132" i="2"/>
  <c r="Y132" i="2"/>
  <c r="Q132" i="2"/>
  <c r="S116" i="2"/>
  <c r="T116" i="2"/>
  <c r="AA116" i="2"/>
  <c r="W116" i="2"/>
  <c r="P116" i="2"/>
  <c r="R116" i="2"/>
  <c r="X116" i="2"/>
  <c r="U116" i="2"/>
  <c r="Z116" i="2"/>
  <c r="V116" i="2"/>
  <c r="Y116" i="2"/>
  <c r="Q116" i="2"/>
  <c r="S104" i="2"/>
  <c r="T104" i="2"/>
  <c r="AA104" i="2"/>
  <c r="W104" i="2"/>
  <c r="P104" i="2"/>
  <c r="Z104" i="2"/>
  <c r="X104" i="2"/>
  <c r="U104" i="2"/>
  <c r="R104" i="2"/>
  <c r="V104" i="2"/>
  <c r="Q104" i="2"/>
  <c r="Y104" i="2"/>
  <c r="S92" i="2"/>
  <c r="Z92" i="2"/>
  <c r="T92" i="2"/>
  <c r="AA92" i="2"/>
  <c r="W92" i="2"/>
  <c r="P92" i="2"/>
  <c r="X92" i="2"/>
  <c r="U92" i="2"/>
  <c r="R92" i="2"/>
  <c r="Y92" i="2"/>
  <c r="V92" i="2"/>
  <c r="Q92" i="2"/>
  <c r="T76" i="2"/>
  <c r="AA76" i="2"/>
  <c r="P76" i="2"/>
  <c r="Z76" i="2"/>
  <c r="R76" i="2"/>
  <c r="X76" i="2"/>
  <c r="W76" i="2"/>
  <c r="V76" i="2"/>
  <c r="Y76" i="2"/>
  <c r="Q76" i="2"/>
  <c r="U76" i="2"/>
  <c r="S76" i="2"/>
  <c r="T64" i="2"/>
  <c r="AA64" i="2"/>
  <c r="R64" i="2"/>
  <c r="W64" i="2"/>
  <c r="S64" i="2"/>
  <c r="Z64" i="2"/>
  <c r="U64" i="2"/>
  <c r="P64" i="2"/>
  <c r="V64" i="2"/>
  <c r="X64" i="2"/>
  <c r="Y64" i="2"/>
  <c r="Q64" i="2"/>
  <c r="T52" i="2"/>
  <c r="S52" i="2"/>
  <c r="R52" i="2"/>
  <c r="W52" i="2"/>
  <c r="U52" i="2"/>
  <c r="AA52" i="2"/>
  <c r="Z52" i="2"/>
  <c r="P52" i="2"/>
  <c r="V52" i="2"/>
  <c r="X52" i="2"/>
  <c r="Y52" i="2"/>
  <c r="Q52" i="2"/>
  <c r="R36" i="2"/>
  <c r="W36" i="2"/>
  <c r="T36" i="2"/>
  <c r="S36" i="2"/>
  <c r="P36" i="2"/>
  <c r="U36" i="2"/>
  <c r="Z36" i="2"/>
  <c r="X36" i="2"/>
  <c r="AA36" i="2"/>
  <c r="V36" i="2"/>
  <c r="Q36" i="2"/>
  <c r="Y36" i="2"/>
  <c r="C291" i="2"/>
  <c r="AA291" i="2"/>
  <c r="S291" i="2"/>
  <c r="T291" i="2"/>
  <c r="W291" i="2"/>
  <c r="P291" i="2"/>
  <c r="Z291" i="2"/>
  <c r="X291" i="2"/>
  <c r="Y291" i="2"/>
  <c r="U291" i="2"/>
  <c r="V291" i="2"/>
  <c r="R291" i="2"/>
  <c r="Q291" i="2"/>
  <c r="C283" i="2"/>
  <c r="T283" i="2"/>
  <c r="P283" i="2"/>
  <c r="Z283" i="2"/>
  <c r="AA283" i="2"/>
  <c r="S283" i="2"/>
  <c r="X283" i="2"/>
  <c r="Y283" i="2"/>
  <c r="U283" i="2"/>
  <c r="W283" i="2"/>
  <c r="V283" i="2"/>
  <c r="R283" i="2"/>
  <c r="Q283" i="2"/>
  <c r="C271" i="2"/>
  <c r="S271" i="2"/>
  <c r="T271" i="2"/>
  <c r="AA271" i="2"/>
  <c r="P271" i="2"/>
  <c r="Z271" i="2"/>
  <c r="W271" i="2"/>
  <c r="X271" i="2"/>
  <c r="U271" i="2"/>
  <c r="V271" i="2"/>
  <c r="Y271" i="2"/>
  <c r="Q271" i="2"/>
  <c r="R271" i="2"/>
  <c r="C263" i="2"/>
  <c r="S263" i="2"/>
  <c r="T263" i="2"/>
  <c r="AA263" i="2"/>
  <c r="P263" i="2"/>
  <c r="Z263" i="2"/>
  <c r="X263" i="2"/>
  <c r="Y263" i="2"/>
  <c r="W263" i="2"/>
  <c r="U263" i="2"/>
  <c r="R263" i="2"/>
  <c r="Q263" i="2"/>
  <c r="V263" i="2"/>
  <c r="C255" i="2"/>
  <c r="S255" i="2"/>
  <c r="T255" i="2"/>
  <c r="AA255" i="2"/>
  <c r="P255" i="2"/>
  <c r="Z255" i="2"/>
  <c r="W255" i="2"/>
  <c r="X255" i="2"/>
  <c r="U255" i="2"/>
  <c r="Y255" i="2"/>
  <c r="V255" i="2"/>
  <c r="R255" i="2"/>
  <c r="Q255" i="2"/>
  <c r="C243" i="2"/>
  <c r="S243" i="2"/>
  <c r="T243" i="2"/>
  <c r="AA243" i="2"/>
  <c r="P243" i="2"/>
  <c r="Z243" i="2"/>
  <c r="X243" i="2"/>
  <c r="Y243" i="2"/>
  <c r="W243" i="2"/>
  <c r="V243" i="2"/>
  <c r="U243" i="2"/>
  <c r="Q243" i="2"/>
  <c r="R243" i="2"/>
  <c r="C231" i="2"/>
  <c r="S231" i="2"/>
  <c r="T231" i="2"/>
  <c r="AA231" i="2"/>
  <c r="P231" i="2"/>
  <c r="Z231" i="2"/>
  <c r="X231" i="2"/>
  <c r="Y231" i="2"/>
  <c r="W231" i="2"/>
  <c r="U231" i="2"/>
  <c r="R231" i="2"/>
  <c r="Q231" i="2"/>
  <c r="V231" i="2"/>
  <c r="C219" i="2"/>
  <c r="S219" i="2"/>
  <c r="T219" i="2"/>
  <c r="AA219" i="2"/>
  <c r="P219" i="2"/>
  <c r="Z219" i="2"/>
  <c r="X219" i="2"/>
  <c r="Y219" i="2"/>
  <c r="W219" i="2"/>
  <c r="V219" i="2"/>
  <c r="R219" i="2"/>
  <c r="U219" i="2"/>
  <c r="Q219" i="2"/>
  <c r="C211" i="2"/>
  <c r="S211" i="2"/>
  <c r="T211" i="2"/>
  <c r="AA211" i="2"/>
  <c r="P211" i="2"/>
  <c r="Z211" i="2"/>
  <c r="X211" i="2"/>
  <c r="Y211" i="2"/>
  <c r="W211" i="2"/>
  <c r="Q211" i="2"/>
  <c r="R211" i="2"/>
  <c r="V211" i="2"/>
  <c r="U211" i="2"/>
  <c r="C199" i="2"/>
  <c r="S199" i="2"/>
  <c r="T199" i="2"/>
  <c r="AA199" i="2"/>
  <c r="P199" i="2"/>
  <c r="Z199" i="2"/>
  <c r="X199" i="2"/>
  <c r="Y199" i="2"/>
  <c r="W199" i="2"/>
  <c r="U199" i="2"/>
  <c r="R199" i="2"/>
  <c r="Q199" i="2"/>
  <c r="V199" i="2"/>
  <c r="C191" i="2"/>
  <c r="S191" i="2"/>
  <c r="T191" i="2"/>
  <c r="AA191" i="2"/>
  <c r="P191" i="2"/>
  <c r="Z191" i="2"/>
  <c r="W191" i="2"/>
  <c r="X191" i="2"/>
  <c r="U191" i="2"/>
  <c r="Y191" i="2"/>
  <c r="V191" i="2"/>
  <c r="R191" i="2"/>
  <c r="Q191" i="2"/>
  <c r="C179" i="2"/>
  <c r="T179" i="2"/>
  <c r="AA179" i="2"/>
  <c r="P179" i="2"/>
  <c r="W179" i="2"/>
  <c r="X179" i="2"/>
  <c r="S179" i="2"/>
  <c r="Z179" i="2"/>
  <c r="R179" i="2"/>
  <c r="V179" i="2"/>
  <c r="Q179" i="2"/>
  <c r="Y179" i="2"/>
  <c r="U179" i="2"/>
  <c r="C171" i="2"/>
  <c r="T171" i="2"/>
  <c r="AA171" i="2"/>
  <c r="P171" i="2"/>
  <c r="W171" i="2"/>
  <c r="S171" i="2"/>
  <c r="Z171" i="2"/>
  <c r="X171" i="2"/>
  <c r="Y171" i="2"/>
  <c r="R171" i="2"/>
  <c r="V171" i="2"/>
  <c r="U171" i="2"/>
  <c r="Q171" i="2"/>
  <c r="C159" i="2"/>
  <c r="T159" i="2"/>
  <c r="AA159" i="2"/>
  <c r="P159" i="2"/>
  <c r="W159" i="2"/>
  <c r="X159" i="2"/>
  <c r="U159" i="2"/>
  <c r="S159" i="2"/>
  <c r="Z159" i="2"/>
  <c r="R159" i="2"/>
  <c r="V159" i="2"/>
  <c r="Y159" i="2"/>
  <c r="Q159" i="2"/>
  <c r="C151" i="2"/>
  <c r="T151" i="2"/>
  <c r="AA151" i="2"/>
  <c r="P151" i="2"/>
  <c r="W151" i="2"/>
  <c r="X151" i="2"/>
  <c r="Y151" i="2"/>
  <c r="R151" i="2"/>
  <c r="V151" i="2"/>
  <c r="U151" i="2"/>
  <c r="S151" i="2"/>
  <c r="Z151" i="2"/>
  <c r="Q151" i="2"/>
  <c r="C139" i="2"/>
  <c r="T139" i="2"/>
  <c r="AA139" i="2"/>
  <c r="P139" i="2"/>
  <c r="W139" i="2"/>
  <c r="S139" i="2"/>
  <c r="Z139" i="2"/>
  <c r="X139" i="2"/>
  <c r="Y139" i="2"/>
  <c r="R139" i="2"/>
  <c r="V139" i="2"/>
  <c r="U139" i="2"/>
  <c r="Q139" i="2"/>
  <c r="C131" i="2"/>
  <c r="T131" i="2"/>
  <c r="AA131" i="2"/>
  <c r="W131" i="2"/>
  <c r="P131" i="2"/>
  <c r="Z131" i="2"/>
  <c r="S131" i="2"/>
  <c r="R131" i="2"/>
  <c r="Y131" i="2"/>
  <c r="V131" i="2"/>
  <c r="X131" i="2"/>
  <c r="U131" i="2"/>
  <c r="Q131" i="2"/>
  <c r="T119" i="2"/>
  <c r="AA119" i="2"/>
  <c r="W119" i="2"/>
  <c r="P119" i="2"/>
  <c r="Z119" i="2"/>
  <c r="V119" i="2"/>
  <c r="S119" i="2"/>
  <c r="R119" i="2"/>
  <c r="Y119" i="2"/>
  <c r="X119" i="2"/>
  <c r="U119" i="2"/>
  <c r="Q119" i="2"/>
  <c r="Z111" i="2"/>
  <c r="T111" i="2"/>
  <c r="AA111" i="2"/>
  <c r="W111" i="2"/>
  <c r="P111" i="2"/>
  <c r="S111" i="2"/>
  <c r="R111" i="2"/>
  <c r="V111" i="2"/>
  <c r="Y111" i="2"/>
  <c r="U111" i="2"/>
  <c r="X111" i="2"/>
  <c r="Q111" i="2"/>
  <c r="T99" i="2"/>
  <c r="AA99" i="2"/>
  <c r="W99" i="2"/>
  <c r="P99" i="2"/>
  <c r="Z99" i="2"/>
  <c r="S99" i="2"/>
  <c r="R99" i="2"/>
  <c r="V99" i="2"/>
  <c r="Y99" i="2"/>
  <c r="U99" i="2"/>
  <c r="Q99" i="2"/>
  <c r="X99" i="2"/>
  <c r="T91" i="2"/>
  <c r="AA91" i="2"/>
  <c r="W91" i="2"/>
  <c r="P91" i="2"/>
  <c r="Z91" i="2"/>
  <c r="V91" i="2"/>
  <c r="Y91" i="2"/>
  <c r="S91" i="2"/>
  <c r="R91" i="2"/>
  <c r="X91" i="2"/>
  <c r="U91" i="2"/>
  <c r="Q91" i="2"/>
  <c r="T79" i="2"/>
  <c r="AA79" i="2"/>
  <c r="P79" i="2"/>
  <c r="Z79" i="2"/>
  <c r="W79" i="2"/>
  <c r="S79" i="2"/>
  <c r="X79" i="2"/>
  <c r="R79" i="2"/>
  <c r="V79" i="2"/>
  <c r="Y79" i="2"/>
  <c r="U79" i="2"/>
  <c r="Q79" i="2"/>
  <c r="T71" i="2"/>
  <c r="AA71" i="2"/>
  <c r="P71" i="2"/>
  <c r="W71" i="2"/>
  <c r="S71" i="2"/>
  <c r="R71" i="2"/>
  <c r="X71" i="2"/>
  <c r="Z71" i="2"/>
  <c r="Y71" i="2"/>
  <c r="U71" i="2"/>
  <c r="V71" i="2"/>
  <c r="Q71" i="2"/>
  <c r="W59" i="2"/>
  <c r="S59" i="2"/>
  <c r="P59" i="2"/>
  <c r="Z59" i="2"/>
  <c r="V59" i="2"/>
  <c r="AA59" i="2"/>
  <c r="X59" i="2"/>
  <c r="Y59" i="2"/>
  <c r="T59" i="2"/>
  <c r="U59" i="2"/>
  <c r="R59" i="2"/>
  <c r="Q59" i="2"/>
  <c r="AA51" i="2"/>
  <c r="W51" i="2"/>
  <c r="S51" i="2"/>
  <c r="P51" i="2"/>
  <c r="Z51" i="2"/>
  <c r="T51" i="2"/>
  <c r="V51" i="2"/>
  <c r="X51" i="2"/>
  <c r="Y51" i="2"/>
  <c r="R51" i="2"/>
  <c r="U51" i="2"/>
  <c r="Q51" i="2"/>
  <c r="P39" i="2"/>
  <c r="T39" i="2"/>
  <c r="AA39" i="2"/>
  <c r="W39" i="2"/>
  <c r="Z39" i="2"/>
  <c r="S39" i="2"/>
  <c r="R39" i="2"/>
  <c r="V39" i="2"/>
  <c r="Y39" i="2"/>
  <c r="X39" i="2"/>
  <c r="Q39" i="2"/>
  <c r="U39" i="2"/>
  <c r="W31" i="2"/>
  <c r="T31" i="2"/>
  <c r="AA31" i="2"/>
  <c r="S31" i="2"/>
  <c r="P31" i="2"/>
  <c r="Z31" i="2"/>
  <c r="X31" i="2"/>
  <c r="R31" i="2"/>
  <c r="V31" i="2"/>
  <c r="Y31" i="2"/>
  <c r="U31" i="2"/>
  <c r="Q31" i="2"/>
  <c r="T21" i="2"/>
  <c r="P21" i="2"/>
  <c r="AA21" i="2"/>
  <c r="W21" i="2"/>
  <c r="S21" i="2"/>
  <c r="Z21" i="2"/>
  <c r="Y21" i="2"/>
  <c r="R21" i="2"/>
  <c r="U21" i="2"/>
  <c r="X21" i="2"/>
  <c r="V21" i="2"/>
  <c r="Q21" i="2"/>
  <c r="C294" i="2"/>
  <c r="T294" i="2"/>
  <c r="AA294" i="2"/>
  <c r="S294" i="2"/>
  <c r="P294" i="2"/>
  <c r="Z294" i="2"/>
  <c r="V294" i="2"/>
  <c r="R294" i="2"/>
  <c r="W294" i="2"/>
  <c r="X294" i="2"/>
  <c r="U294" i="2"/>
  <c r="Y294" i="2"/>
  <c r="Q294" i="2"/>
  <c r="C290" i="2"/>
  <c r="T290" i="2"/>
  <c r="P290" i="2"/>
  <c r="Z290" i="2"/>
  <c r="AA290" i="2"/>
  <c r="W290" i="2"/>
  <c r="V290" i="2"/>
  <c r="R290" i="2"/>
  <c r="Y290" i="2"/>
  <c r="S290" i="2"/>
  <c r="U290" i="2"/>
  <c r="Q290" i="2"/>
  <c r="X290" i="2"/>
  <c r="C286" i="2"/>
  <c r="T286" i="2"/>
  <c r="P286" i="2"/>
  <c r="Z286" i="2"/>
  <c r="AA286" i="2"/>
  <c r="W286" i="2"/>
  <c r="S286" i="2"/>
  <c r="V286" i="2"/>
  <c r="R286" i="2"/>
  <c r="X286" i="2"/>
  <c r="Q286" i="2"/>
  <c r="Y286" i="2"/>
  <c r="U286" i="2"/>
  <c r="C282" i="2"/>
  <c r="T282" i="2"/>
  <c r="W282" i="2"/>
  <c r="P282" i="2"/>
  <c r="Z282" i="2"/>
  <c r="S282" i="2"/>
  <c r="V282" i="2"/>
  <c r="AA282" i="2"/>
  <c r="R282" i="2"/>
  <c r="X282" i="2"/>
  <c r="U282" i="2"/>
  <c r="Y282" i="2"/>
  <c r="Q282" i="2"/>
  <c r="C278" i="2"/>
  <c r="T278" i="2"/>
  <c r="AA278" i="2"/>
  <c r="P278" i="2"/>
  <c r="Z278" i="2"/>
  <c r="W278" i="2"/>
  <c r="Y278" i="2"/>
  <c r="R278" i="2"/>
  <c r="V278" i="2"/>
  <c r="S278" i="2"/>
  <c r="X278" i="2"/>
  <c r="U278" i="2"/>
  <c r="Q278" i="2"/>
  <c r="C274" i="2"/>
  <c r="T274" i="2"/>
  <c r="AA274" i="2"/>
  <c r="P274" i="2"/>
  <c r="Z274" i="2"/>
  <c r="W274" i="2"/>
  <c r="Y274" i="2"/>
  <c r="U274" i="2"/>
  <c r="S274" i="2"/>
  <c r="R274" i="2"/>
  <c r="V274" i="2"/>
  <c r="Q274" i="2"/>
  <c r="X274" i="2"/>
  <c r="C270" i="2"/>
  <c r="T270" i="2"/>
  <c r="AA270" i="2"/>
  <c r="P270" i="2"/>
  <c r="Z270" i="2"/>
  <c r="W270" i="2"/>
  <c r="S270" i="2"/>
  <c r="R270" i="2"/>
  <c r="V270" i="2"/>
  <c r="U270" i="2"/>
  <c r="Q270" i="2"/>
  <c r="Y270" i="2"/>
  <c r="X270" i="2"/>
  <c r="C266" i="2"/>
  <c r="T266" i="2"/>
  <c r="AA266" i="2"/>
  <c r="P266" i="2"/>
  <c r="Z266" i="2"/>
  <c r="W266" i="2"/>
  <c r="S266" i="2"/>
  <c r="R266" i="2"/>
  <c r="V266" i="2"/>
  <c r="Y266" i="2"/>
  <c r="U266" i="2"/>
  <c r="X266" i="2"/>
  <c r="Q266" i="2"/>
  <c r="C262" i="2"/>
  <c r="T262" i="2"/>
  <c r="AA262" i="2"/>
  <c r="P262" i="2"/>
  <c r="Z262" i="2"/>
  <c r="W262" i="2"/>
  <c r="Y262" i="2"/>
  <c r="R262" i="2"/>
  <c r="V262" i="2"/>
  <c r="X262" i="2"/>
  <c r="S262" i="2"/>
  <c r="Q262" i="2"/>
  <c r="U262" i="2"/>
  <c r="C258" i="2"/>
  <c r="T258" i="2"/>
  <c r="AA258" i="2"/>
  <c r="P258" i="2"/>
  <c r="Z258" i="2"/>
  <c r="W258" i="2"/>
  <c r="Y258" i="2"/>
  <c r="U258" i="2"/>
  <c r="S258" i="2"/>
  <c r="R258" i="2"/>
  <c r="V258" i="2"/>
  <c r="Q258" i="2"/>
  <c r="X258" i="2"/>
  <c r="C254" i="2"/>
  <c r="T254" i="2"/>
  <c r="AA254" i="2"/>
  <c r="P254" i="2"/>
  <c r="Z254" i="2"/>
  <c r="W254" i="2"/>
  <c r="S254" i="2"/>
  <c r="R254" i="2"/>
  <c r="V254" i="2"/>
  <c r="Y254" i="2"/>
  <c r="U254" i="2"/>
  <c r="X254" i="2"/>
  <c r="Q254" i="2"/>
  <c r="C250" i="2"/>
  <c r="T250" i="2"/>
  <c r="AA250" i="2"/>
  <c r="P250" i="2"/>
  <c r="Z250" i="2"/>
  <c r="W250" i="2"/>
  <c r="S250" i="2"/>
  <c r="R250" i="2"/>
  <c r="V250" i="2"/>
  <c r="Y250" i="2"/>
  <c r="U250" i="2"/>
  <c r="X250" i="2"/>
  <c r="Q250" i="2"/>
  <c r="C246" i="2"/>
  <c r="T246" i="2"/>
  <c r="AA246" i="2"/>
  <c r="P246" i="2"/>
  <c r="Z246" i="2"/>
  <c r="W246" i="2"/>
  <c r="Y246" i="2"/>
  <c r="R246" i="2"/>
  <c r="V246" i="2"/>
  <c r="X246" i="2"/>
  <c r="U246" i="2"/>
  <c r="Q246" i="2"/>
  <c r="S246" i="2"/>
  <c r="C242" i="2"/>
  <c r="T242" i="2"/>
  <c r="AA242" i="2"/>
  <c r="P242" i="2"/>
  <c r="Z242" i="2"/>
  <c r="W242" i="2"/>
  <c r="Y242" i="2"/>
  <c r="U242" i="2"/>
  <c r="S242" i="2"/>
  <c r="R242" i="2"/>
  <c r="V242" i="2"/>
  <c r="Q242" i="2"/>
  <c r="X242" i="2"/>
  <c r="C238" i="2"/>
  <c r="T238" i="2"/>
  <c r="AA238" i="2"/>
  <c r="P238" i="2"/>
  <c r="Z238" i="2"/>
  <c r="W238" i="2"/>
  <c r="S238" i="2"/>
  <c r="R238" i="2"/>
  <c r="V238" i="2"/>
  <c r="Y238" i="2"/>
  <c r="Q238" i="2"/>
  <c r="X238" i="2"/>
  <c r="U238" i="2"/>
  <c r="C234" i="2"/>
  <c r="T234" i="2"/>
  <c r="AA234" i="2"/>
  <c r="P234" i="2"/>
  <c r="Z234" i="2"/>
  <c r="W234" i="2"/>
  <c r="S234" i="2"/>
  <c r="R234" i="2"/>
  <c r="V234" i="2"/>
  <c r="Y234" i="2"/>
  <c r="U234" i="2"/>
  <c r="X234" i="2"/>
  <c r="Q234" i="2"/>
  <c r="C230" i="2"/>
  <c r="T230" i="2"/>
  <c r="AA230" i="2"/>
  <c r="P230" i="2"/>
  <c r="Z230" i="2"/>
  <c r="W230" i="2"/>
  <c r="Y230" i="2"/>
  <c r="R230" i="2"/>
  <c r="V230" i="2"/>
  <c r="X230" i="2"/>
  <c r="S230" i="2"/>
  <c r="Q230" i="2"/>
  <c r="U230" i="2"/>
  <c r="C226" i="2"/>
  <c r="T226" i="2"/>
  <c r="AA226" i="2"/>
  <c r="P226" i="2"/>
  <c r="Z226" i="2"/>
  <c r="W226" i="2"/>
  <c r="Y226" i="2"/>
  <c r="U226" i="2"/>
  <c r="S226" i="2"/>
  <c r="R226" i="2"/>
  <c r="V226" i="2"/>
  <c r="Q226" i="2"/>
  <c r="X226" i="2"/>
  <c r="C222" i="2"/>
  <c r="T222" i="2"/>
  <c r="AA222" i="2"/>
  <c r="P222" i="2"/>
  <c r="Z222" i="2"/>
  <c r="W222" i="2"/>
  <c r="S222" i="2"/>
  <c r="R222" i="2"/>
  <c r="V222" i="2"/>
  <c r="U222" i="2"/>
  <c r="X222" i="2"/>
  <c r="Y222" i="2"/>
  <c r="Q222" i="2"/>
  <c r="C218" i="2"/>
  <c r="T218" i="2"/>
  <c r="AA218" i="2"/>
  <c r="P218" i="2"/>
  <c r="Z218" i="2"/>
  <c r="W218" i="2"/>
  <c r="S218" i="2"/>
  <c r="R218" i="2"/>
  <c r="V218" i="2"/>
  <c r="Y218" i="2"/>
  <c r="U218" i="2"/>
  <c r="X218" i="2"/>
  <c r="Q218" i="2"/>
  <c r="C214" i="2"/>
  <c r="T214" i="2"/>
  <c r="AA214" i="2"/>
  <c r="P214" i="2"/>
  <c r="Z214" i="2"/>
  <c r="W214" i="2"/>
  <c r="Y214" i="2"/>
  <c r="R214" i="2"/>
  <c r="V214" i="2"/>
  <c r="S214" i="2"/>
  <c r="X214" i="2"/>
  <c r="U214" i="2"/>
  <c r="Q214" i="2"/>
  <c r="C210" i="2"/>
  <c r="T210" i="2"/>
  <c r="AA210" i="2"/>
  <c r="P210" i="2"/>
  <c r="Z210" i="2"/>
  <c r="W210" i="2"/>
  <c r="Y210" i="2"/>
  <c r="U210" i="2"/>
  <c r="S210" i="2"/>
  <c r="R210" i="2"/>
  <c r="V210" i="2"/>
  <c r="Q210" i="2"/>
  <c r="X210" i="2"/>
  <c r="C206" i="2"/>
  <c r="T206" i="2"/>
  <c r="AA206" i="2"/>
  <c r="P206" i="2"/>
  <c r="Z206" i="2"/>
  <c r="W206" i="2"/>
  <c r="S206" i="2"/>
  <c r="R206" i="2"/>
  <c r="V206" i="2"/>
  <c r="Q206" i="2"/>
  <c r="Y206" i="2"/>
  <c r="U206" i="2"/>
  <c r="X206" i="2"/>
  <c r="C202" i="2"/>
  <c r="T202" i="2"/>
  <c r="AA202" i="2"/>
  <c r="P202" i="2"/>
  <c r="Z202" i="2"/>
  <c r="W202" i="2"/>
  <c r="S202" i="2"/>
  <c r="R202" i="2"/>
  <c r="V202" i="2"/>
  <c r="Y202" i="2"/>
  <c r="U202" i="2"/>
  <c r="X202" i="2"/>
  <c r="Q202" i="2"/>
  <c r="C198" i="2"/>
  <c r="T198" i="2"/>
  <c r="AA198" i="2"/>
  <c r="P198" i="2"/>
  <c r="Z198" i="2"/>
  <c r="W198" i="2"/>
  <c r="Y198" i="2"/>
  <c r="R198" i="2"/>
  <c r="V198" i="2"/>
  <c r="X198" i="2"/>
  <c r="Q198" i="2"/>
  <c r="U198" i="2"/>
  <c r="S198" i="2"/>
  <c r="C194" i="2"/>
  <c r="T194" i="2"/>
  <c r="AA194" i="2"/>
  <c r="P194" i="2"/>
  <c r="Z194" i="2"/>
  <c r="W194" i="2"/>
  <c r="Y194" i="2"/>
  <c r="U194" i="2"/>
  <c r="S194" i="2"/>
  <c r="R194" i="2"/>
  <c r="V194" i="2"/>
  <c r="Q194" i="2"/>
  <c r="X194" i="2"/>
  <c r="C190" i="2"/>
  <c r="T190" i="2"/>
  <c r="AA190" i="2"/>
  <c r="P190" i="2"/>
  <c r="Z190" i="2"/>
  <c r="W190" i="2"/>
  <c r="S190" i="2"/>
  <c r="R190" i="2"/>
  <c r="V190" i="2"/>
  <c r="Y190" i="2"/>
  <c r="U190" i="2"/>
  <c r="Q190" i="2"/>
  <c r="X190" i="2"/>
  <c r="C186" i="2"/>
  <c r="T186" i="2"/>
  <c r="AA186" i="2"/>
  <c r="P186" i="2"/>
  <c r="Z186" i="2"/>
  <c r="W186" i="2"/>
  <c r="S186" i="2"/>
  <c r="R186" i="2"/>
  <c r="V186" i="2"/>
  <c r="Y186" i="2"/>
  <c r="U186" i="2"/>
  <c r="X186" i="2"/>
  <c r="Q186" i="2"/>
  <c r="C182" i="2"/>
  <c r="T182" i="2"/>
  <c r="AA182" i="2"/>
  <c r="P182" i="2"/>
  <c r="Z182" i="2"/>
  <c r="W182" i="2"/>
  <c r="Y182" i="2"/>
  <c r="R182" i="2"/>
  <c r="V182" i="2"/>
  <c r="X182" i="2"/>
  <c r="U182" i="2"/>
  <c r="Q182" i="2"/>
  <c r="S182" i="2"/>
  <c r="C178" i="2"/>
  <c r="T178" i="2"/>
  <c r="AA178" i="2"/>
  <c r="P178" i="2"/>
  <c r="W178" i="2"/>
  <c r="S178" i="2"/>
  <c r="Z178" i="2"/>
  <c r="R178" i="2"/>
  <c r="V178" i="2"/>
  <c r="Y178" i="2"/>
  <c r="Q178" i="2"/>
  <c r="U178" i="2"/>
  <c r="X178" i="2"/>
  <c r="C174" i="2"/>
  <c r="T174" i="2"/>
  <c r="AA174" i="2"/>
  <c r="P174" i="2"/>
  <c r="W174" i="2"/>
  <c r="S174" i="2"/>
  <c r="Z174" i="2"/>
  <c r="Y174" i="2"/>
  <c r="R174" i="2"/>
  <c r="V174" i="2"/>
  <c r="U174" i="2"/>
  <c r="Q174" i="2"/>
  <c r="X174" i="2"/>
  <c r="C170" i="2"/>
  <c r="T170" i="2"/>
  <c r="AA170" i="2"/>
  <c r="P170" i="2"/>
  <c r="W170" i="2"/>
  <c r="S170" i="2"/>
  <c r="Z170" i="2"/>
  <c r="R170" i="2"/>
  <c r="V170" i="2"/>
  <c r="X170" i="2"/>
  <c r="Y170" i="2"/>
  <c r="U170" i="2"/>
  <c r="Q170" i="2"/>
  <c r="C166" i="2"/>
  <c r="T166" i="2"/>
  <c r="AA166" i="2"/>
  <c r="P166" i="2"/>
  <c r="W166" i="2"/>
  <c r="S166" i="2"/>
  <c r="Z166" i="2"/>
  <c r="U166" i="2"/>
  <c r="R166" i="2"/>
  <c r="V166" i="2"/>
  <c r="Y166" i="2"/>
  <c r="X166" i="2"/>
  <c r="Q166" i="2"/>
  <c r="C162" i="2"/>
  <c r="T162" i="2"/>
  <c r="AA162" i="2"/>
  <c r="P162" i="2"/>
  <c r="W162" i="2"/>
  <c r="S162" i="2"/>
  <c r="Z162" i="2"/>
  <c r="R162" i="2"/>
  <c r="V162" i="2"/>
  <c r="Y162" i="2"/>
  <c r="Q162" i="2"/>
  <c r="X162" i="2"/>
  <c r="U162" i="2"/>
  <c r="C158" i="2"/>
  <c r="T158" i="2"/>
  <c r="AA158" i="2"/>
  <c r="P158" i="2"/>
  <c r="W158" i="2"/>
  <c r="S158" i="2"/>
  <c r="Z158" i="2"/>
  <c r="Y158" i="2"/>
  <c r="R158" i="2"/>
  <c r="V158" i="2"/>
  <c r="U158" i="2"/>
  <c r="Q158" i="2"/>
  <c r="X158" i="2"/>
  <c r="C154" i="2"/>
  <c r="T154" i="2"/>
  <c r="AA154" i="2"/>
  <c r="P154" i="2"/>
  <c r="W154" i="2"/>
  <c r="S154" i="2"/>
  <c r="Z154" i="2"/>
  <c r="R154" i="2"/>
  <c r="V154" i="2"/>
  <c r="U154" i="2"/>
  <c r="X154" i="2"/>
  <c r="Y154" i="2"/>
  <c r="Q154" i="2"/>
  <c r="C150" i="2"/>
  <c r="T150" i="2"/>
  <c r="AA150" i="2"/>
  <c r="P150" i="2"/>
  <c r="W150" i="2"/>
  <c r="S150" i="2"/>
  <c r="Z150" i="2"/>
  <c r="U150" i="2"/>
  <c r="R150" i="2"/>
  <c r="V150" i="2"/>
  <c r="Y150" i="2"/>
  <c r="X150" i="2"/>
  <c r="Q150" i="2"/>
  <c r="C146" i="2"/>
  <c r="T146" i="2"/>
  <c r="AA146" i="2"/>
  <c r="P146" i="2"/>
  <c r="W146" i="2"/>
  <c r="S146" i="2"/>
  <c r="Z146" i="2"/>
  <c r="R146" i="2"/>
  <c r="V146" i="2"/>
  <c r="Y146" i="2"/>
  <c r="Q146" i="2"/>
  <c r="U146" i="2"/>
  <c r="X146" i="2"/>
  <c r="C142" i="2"/>
  <c r="T142" i="2"/>
  <c r="AA142" i="2"/>
  <c r="P142" i="2"/>
  <c r="W142" i="2"/>
  <c r="S142" i="2"/>
  <c r="Z142" i="2"/>
  <c r="Y142" i="2"/>
  <c r="R142" i="2"/>
  <c r="V142" i="2"/>
  <c r="U142" i="2"/>
  <c r="X142" i="2"/>
  <c r="Q142" i="2"/>
  <c r="C138" i="2"/>
  <c r="T138" i="2"/>
  <c r="P138" i="2"/>
  <c r="AA138" i="2"/>
  <c r="W138" i="2"/>
  <c r="S138" i="2"/>
  <c r="Z138" i="2"/>
  <c r="R138" i="2"/>
  <c r="V138" i="2"/>
  <c r="Y138" i="2"/>
  <c r="X138" i="2"/>
  <c r="U138" i="2"/>
  <c r="Q138" i="2"/>
  <c r="C134" i="2"/>
  <c r="T134" i="2"/>
  <c r="AA134" i="2"/>
  <c r="W134" i="2"/>
  <c r="P134" i="2"/>
  <c r="S134" i="2"/>
  <c r="Z134" i="2"/>
  <c r="V134" i="2"/>
  <c r="Y134" i="2"/>
  <c r="X134" i="2"/>
  <c r="U134" i="2"/>
  <c r="R134" i="2"/>
  <c r="Q134" i="2"/>
  <c r="C130" i="2"/>
  <c r="T130" i="2"/>
  <c r="AA130" i="2"/>
  <c r="W130" i="2"/>
  <c r="P130" i="2"/>
  <c r="Z130" i="2"/>
  <c r="S130" i="2"/>
  <c r="R130" i="2"/>
  <c r="Y130" i="2"/>
  <c r="X130" i="2"/>
  <c r="U130" i="2"/>
  <c r="V130" i="2"/>
  <c r="Q130" i="2"/>
  <c r="C126" i="2"/>
  <c r="T126" i="2"/>
  <c r="AA126" i="2"/>
  <c r="W126" i="2"/>
  <c r="P126" i="2"/>
  <c r="Z126" i="2"/>
  <c r="S126" i="2"/>
  <c r="R126" i="2"/>
  <c r="Y126" i="2"/>
  <c r="X126" i="2"/>
  <c r="V126" i="2"/>
  <c r="U126" i="2"/>
  <c r="Q126" i="2"/>
  <c r="C122" i="2"/>
  <c r="T122" i="2"/>
  <c r="AA122" i="2"/>
  <c r="W122" i="2"/>
  <c r="P122" i="2"/>
  <c r="S122" i="2"/>
  <c r="R122" i="2"/>
  <c r="Z122" i="2"/>
  <c r="V122" i="2"/>
  <c r="Y122" i="2"/>
  <c r="X122" i="2"/>
  <c r="U122" i="2"/>
  <c r="Q122" i="2"/>
  <c r="T118" i="2"/>
  <c r="AA118" i="2"/>
  <c r="W118" i="2"/>
  <c r="P118" i="2"/>
  <c r="S118" i="2"/>
  <c r="Z118" i="2"/>
  <c r="V118" i="2"/>
  <c r="Y118" i="2"/>
  <c r="R118" i="2"/>
  <c r="X118" i="2"/>
  <c r="U118" i="2"/>
  <c r="Q118" i="2"/>
  <c r="T114" i="2"/>
  <c r="AA114" i="2"/>
  <c r="W114" i="2"/>
  <c r="P114" i="2"/>
  <c r="Z114" i="2"/>
  <c r="S114" i="2"/>
  <c r="R114" i="2"/>
  <c r="Y114" i="2"/>
  <c r="X114" i="2"/>
  <c r="U114" i="2"/>
  <c r="Q114" i="2"/>
  <c r="V114" i="2"/>
  <c r="T110" i="2"/>
  <c r="AA110" i="2"/>
  <c r="W110" i="2"/>
  <c r="P110" i="2"/>
  <c r="Z110" i="2"/>
  <c r="S110" i="2"/>
  <c r="Y110" i="2"/>
  <c r="X110" i="2"/>
  <c r="V110" i="2"/>
  <c r="U110" i="2"/>
  <c r="R110" i="2"/>
  <c r="Q110" i="2"/>
  <c r="T106" i="2"/>
  <c r="AA106" i="2"/>
  <c r="W106" i="2"/>
  <c r="P106" i="2"/>
  <c r="S106" i="2"/>
  <c r="Z106" i="2"/>
  <c r="V106" i="2"/>
  <c r="Y106" i="2"/>
  <c r="X106" i="2"/>
  <c r="U106" i="2"/>
  <c r="Q106" i="2"/>
  <c r="R106" i="2"/>
  <c r="T102" i="2"/>
  <c r="AA102" i="2"/>
  <c r="W102" i="2"/>
  <c r="P102" i="2"/>
  <c r="S102" i="2"/>
  <c r="Z102" i="2"/>
  <c r="V102" i="2"/>
  <c r="Y102" i="2"/>
  <c r="R102" i="2"/>
  <c r="X102" i="2"/>
  <c r="U102" i="2"/>
  <c r="Q102" i="2"/>
  <c r="T98" i="2"/>
  <c r="AA98" i="2"/>
  <c r="W98" i="2"/>
  <c r="P98" i="2"/>
  <c r="Z98" i="2"/>
  <c r="S98" i="2"/>
  <c r="Y98" i="2"/>
  <c r="X98" i="2"/>
  <c r="U98" i="2"/>
  <c r="R98" i="2"/>
  <c r="Q98" i="2"/>
  <c r="V98" i="2"/>
  <c r="T94" i="2"/>
  <c r="AA94" i="2"/>
  <c r="W94" i="2"/>
  <c r="P94" i="2"/>
  <c r="Z94" i="2"/>
  <c r="S94" i="2"/>
  <c r="Y94" i="2"/>
  <c r="R94" i="2"/>
  <c r="X94" i="2"/>
  <c r="V94" i="2"/>
  <c r="U94" i="2"/>
  <c r="Q94" i="2"/>
  <c r="T90" i="2"/>
  <c r="AA90" i="2"/>
  <c r="W90" i="2"/>
  <c r="P90" i="2"/>
  <c r="S90" i="2"/>
  <c r="V90" i="2"/>
  <c r="Y90" i="2"/>
  <c r="R90" i="2"/>
  <c r="X90" i="2"/>
  <c r="U90" i="2"/>
  <c r="Z90" i="2"/>
  <c r="Q90" i="2"/>
  <c r="T86" i="2"/>
  <c r="AA86" i="2"/>
  <c r="P86" i="2"/>
  <c r="Z86" i="2"/>
  <c r="W86" i="2"/>
  <c r="S86" i="2"/>
  <c r="R86" i="2"/>
  <c r="Y86" i="2"/>
  <c r="X86" i="2"/>
  <c r="Q86" i="2"/>
  <c r="V86" i="2"/>
  <c r="U86" i="2"/>
  <c r="T82" i="2"/>
  <c r="AA82" i="2"/>
  <c r="P82" i="2"/>
  <c r="W82" i="2"/>
  <c r="S82" i="2"/>
  <c r="R82" i="2"/>
  <c r="Y82" i="2"/>
  <c r="V82" i="2"/>
  <c r="Z82" i="2"/>
  <c r="U82" i="2"/>
  <c r="Q82" i="2"/>
  <c r="X82" i="2"/>
  <c r="T78" i="2"/>
  <c r="AA78" i="2"/>
  <c r="P78" i="2"/>
  <c r="W78" i="2"/>
  <c r="S78" i="2"/>
  <c r="Z78" i="2"/>
  <c r="R78" i="2"/>
  <c r="V78" i="2"/>
  <c r="Y78" i="2"/>
  <c r="Q78" i="2"/>
  <c r="X78" i="2"/>
  <c r="U78" i="2"/>
  <c r="T74" i="2"/>
  <c r="AA74" i="2"/>
  <c r="P74" i="2"/>
  <c r="W74" i="2"/>
  <c r="S74" i="2"/>
  <c r="Z74" i="2"/>
  <c r="V74" i="2"/>
  <c r="Y74" i="2"/>
  <c r="R74" i="2"/>
  <c r="U74" i="2"/>
  <c r="X74" i="2"/>
  <c r="Q74" i="2"/>
  <c r="T70" i="2"/>
  <c r="AA70" i="2"/>
  <c r="P70" i="2"/>
  <c r="Z70" i="2"/>
  <c r="W70" i="2"/>
  <c r="S70" i="2"/>
  <c r="R70" i="2"/>
  <c r="Y70" i="2"/>
  <c r="X70" i="2"/>
  <c r="V70" i="2"/>
  <c r="Q70" i="2"/>
  <c r="U70" i="2"/>
  <c r="S66" i="2"/>
  <c r="P66" i="2"/>
  <c r="Z66" i="2"/>
  <c r="T66" i="2"/>
  <c r="AA66" i="2"/>
  <c r="W66" i="2"/>
  <c r="R66" i="2"/>
  <c r="V66" i="2"/>
  <c r="X66" i="2"/>
  <c r="Y66" i="2"/>
  <c r="U66" i="2"/>
  <c r="Q66" i="2"/>
  <c r="S62" i="2"/>
  <c r="AA62" i="2"/>
  <c r="W62" i="2"/>
  <c r="P62" i="2"/>
  <c r="Z62" i="2"/>
  <c r="T62" i="2"/>
  <c r="R62" i="2"/>
  <c r="V62" i="2"/>
  <c r="X62" i="2"/>
  <c r="Y62" i="2"/>
  <c r="U62" i="2"/>
  <c r="Q62" i="2"/>
  <c r="AA58" i="2"/>
  <c r="W58" i="2"/>
  <c r="S58" i="2"/>
  <c r="P58" i="2"/>
  <c r="Z58" i="2"/>
  <c r="T58" i="2"/>
  <c r="R58" i="2"/>
  <c r="V58" i="2"/>
  <c r="X58" i="2"/>
  <c r="Y58" i="2"/>
  <c r="U58" i="2"/>
  <c r="Q58" i="2"/>
  <c r="P54" i="2"/>
  <c r="Z54" i="2"/>
  <c r="T54" i="2"/>
  <c r="S54" i="2"/>
  <c r="R54" i="2"/>
  <c r="V54" i="2"/>
  <c r="AA54" i="2"/>
  <c r="X54" i="2"/>
  <c r="Y54" i="2"/>
  <c r="U54" i="2"/>
  <c r="W54" i="2"/>
  <c r="Q54" i="2"/>
  <c r="S50" i="2"/>
  <c r="Z50" i="2"/>
  <c r="T50" i="2"/>
  <c r="AA50" i="2"/>
  <c r="W50" i="2"/>
  <c r="P50" i="2"/>
  <c r="R50" i="2"/>
  <c r="V50" i="2"/>
  <c r="X50" i="2"/>
  <c r="Y50" i="2"/>
  <c r="U50" i="2"/>
  <c r="Q50" i="2"/>
  <c r="T46" i="2"/>
  <c r="P46" i="2"/>
  <c r="AA46" i="2"/>
  <c r="Z46" i="2"/>
  <c r="W46" i="2"/>
  <c r="R46" i="2"/>
  <c r="V46" i="2"/>
  <c r="Y46" i="2"/>
  <c r="U46" i="2"/>
  <c r="X46" i="2"/>
  <c r="Q46" i="2"/>
  <c r="S46" i="2"/>
  <c r="AA42" i="2"/>
  <c r="W42" i="2"/>
  <c r="Z42" i="2"/>
  <c r="T42" i="2"/>
  <c r="P42" i="2"/>
  <c r="R42" i="2"/>
  <c r="V42" i="2"/>
  <c r="X42" i="2"/>
  <c r="Y42" i="2"/>
  <c r="U42" i="2"/>
  <c r="S42" i="2"/>
  <c r="Q42" i="2"/>
  <c r="T38" i="2"/>
  <c r="AA38" i="2"/>
  <c r="P38" i="2"/>
  <c r="Z38" i="2"/>
  <c r="W38" i="2"/>
  <c r="S38" i="2"/>
  <c r="R38" i="2"/>
  <c r="V38" i="2"/>
  <c r="Y38" i="2"/>
  <c r="U38" i="2"/>
  <c r="Q38" i="2"/>
  <c r="X38" i="2"/>
  <c r="T34" i="2"/>
  <c r="P34" i="2"/>
  <c r="Z34" i="2"/>
  <c r="S34" i="2"/>
  <c r="R34" i="2"/>
  <c r="V34" i="2"/>
  <c r="Y34" i="2"/>
  <c r="AA34" i="2"/>
  <c r="W34" i="2"/>
  <c r="U34" i="2"/>
  <c r="X34" i="2"/>
  <c r="Q34" i="2"/>
  <c r="T30" i="2"/>
  <c r="P30" i="2"/>
  <c r="AA30" i="2"/>
  <c r="S30" i="2"/>
  <c r="Z30" i="2"/>
  <c r="W30" i="2"/>
  <c r="R30" i="2"/>
  <c r="V30" i="2"/>
  <c r="Y30" i="2"/>
  <c r="U30" i="2"/>
  <c r="Q30" i="2"/>
  <c r="X30" i="2"/>
  <c r="T26" i="2"/>
  <c r="S26" i="2"/>
  <c r="P26" i="2"/>
  <c r="W26" i="2"/>
  <c r="Z26" i="2"/>
  <c r="R26" i="2"/>
  <c r="V26" i="2"/>
  <c r="AA26" i="2"/>
  <c r="Y26" i="2"/>
  <c r="U26" i="2"/>
  <c r="X26" i="2"/>
  <c r="Q26" i="2"/>
  <c r="T22" i="2"/>
  <c r="W22" i="2"/>
  <c r="P22" i="2"/>
  <c r="Z22" i="2"/>
  <c r="R22" i="2"/>
  <c r="AA22" i="2"/>
  <c r="S22" i="2"/>
  <c r="V22" i="2"/>
  <c r="Y22" i="2"/>
  <c r="U22" i="2"/>
  <c r="X22" i="2"/>
  <c r="Q22" i="2"/>
  <c r="F289" i="2"/>
  <c r="E289" i="2"/>
  <c r="G289" i="2"/>
  <c r="D289" i="2"/>
  <c r="K289" i="2"/>
  <c r="N289" i="2"/>
  <c r="I289" i="2"/>
  <c r="H289" i="2"/>
  <c r="M289" i="2"/>
  <c r="L289" i="2"/>
  <c r="J289" i="2"/>
  <c r="F281" i="2"/>
  <c r="E281" i="2"/>
  <c r="G281" i="2"/>
  <c r="D281" i="2"/>
  <c r="K281" i="2"/>
  <c r="N281" i="2"/>
  <c r="M281" i="2"/>
  <c r="L281" i="2"/>
  <c r="J281" i="2"/>
  <c r="H281" i="2"/>
  <c r="I281" i="2"/>
  <c r="F269" i="2"/>
  <c r="D269" i="2"/>
  <c r="E269" i="2"/>
  <c r="G269" i="2"/>
  <c r="M269" i="2"/>
  <c r="N269" i="2"/>
  <c r="L269" i="2"/>
  <c r="J269" i="2"/>
  <c r="K269" i="2"/>
  <c r="H269" i="2"/>
  <c r="I269" i="2"/>
  <c r="F261" i="2"/>
  <c r="E261" i="2"/>
  <c r="G261" i="2"/>
  <c r="D261" i="2"/>
  <c r="M261" i="2"/>
  <c r="L261" i="2"/>
  <c r="K261" i="2"/>
  <c r="J261" i="2"/>
  <c r="N261" i="2"/>
  <c r="H261" i="2"/>
  <c r="I261" i="2"/>
  <c r="F253" i="2"/>
  <c r="D253" i="2"/>
  <c r="E253" i="2"/>
  <c r="G253" i="2"/>
  <c r="M253" i="2"/>
  <c r="K253" i="2"/>
  <c r="I253" i="2"/>
  <c r="N253" i="2"/>
  <c r="H253" i="2"/>
  <c r="L253" i="2"/>
  <c r="J253" i="2"/>
  <c r="F245" i="2"/>
  <c r="E245" i="2"/>
  <c r="G245" i="2"/>
  <c r="D245" i="2"/>
  <c r="M245" i="2"/>
  <c r="L245" i="2"/>
  <c r="K245" i="2"/>
  <c r="J245" i="2"/>
  <c r="H245" i="2"/>
  <c r="N245" i="2"/>
  <c r="I245" i="2"/>
  <c r="F237" i="2"/>
  <c r="D237" i="2"/>
  <c r="E237" i="2"/>
  <c r="G237" i="2"/>
  <c r="M237" i="2"/>
  <c r="K237" i="2"/>
  <c r="N237" i="2"/>
  <c r="I237" i="2"/>
  <c r="L237" i="2"/>
  <c r="J237" i="2"/>
  <c r="H237" i="2"/>
  <c r="F229" i="2"/>
  <c r="E229" i="2"/>
  <c r="G229" i="2"/>
  <c r="D229" i="2"/>
  <c r="M229" i="2"/>
  <c r="L229" i="2"/>
  <c r="K229" i="2"/>
  <c r="J229" i="2"/>
  <c r="N229" i="2"/>
  <c r="H229" i="2"/>
  <c r="I229" i="2"/>
  <c r="F217" i="2"/>
  <c r="E217" i="2"/>
  <c r="G217" i="2"/>
  <c r="D217" i="2"/>
  <c r="K217" i="2"/>
  <c r="N217" i="2"/>
  <c r="L217" i="2"/>
  <c r="J217" i="2"/>
  <c r="I217" i="2"/>
  <c r="H217" i="2"/>
  <c r="M217" i="2"/>
  <c r="F209" i="2"/>
  <c r="E209" i="2"/>
  <c r="D209" i="2"/>
  <c r="G209" i="2"/>
  <c r="M209" i="2"/>
  <c r="K209" i="2"/>
  <c r="N209" i="2"/>
  <c r="H209" i="2"/>
  <c r="L209" i="2"/>
  <c r="J209" i="2"/>
  <c r="I209" i="2"/>
  <c r="F201" i="2"/>
  <c r="E201" i="2"/>
  <c r="G201" i="2"/>
  <c r="D201" i="2"/>
  <c r="K201" i="2"/>
  <c r="H201" i="2"/>
  <c r="L201" i="2"/>
  <c r="J201" i="2"/>
  <c r="I201" i="2"/>
  <c r="M201" i="2"/>
  <c r="N201" i="2"/>
  <c r="F189" i="2"/>
  <c r="E189" i="2"/>
  <c r="D189" i="2"/>
  <c r="G189" i="2"/>
  <c r="M189" i="2"/>
  <c r="I189" i="2"/>
  <c r="H189" i="2"/>
  <c r="L189" i="2"/>
  <c r="J189" i="2"/>
  <c r="N189" i="2"/>
  <c r="K189" i="2"/>
  <c r="F181" i="2"/>
  <c r="E181" i="2"/>
  <c r="D181" i="2"/>
  <c r="G181" i="2"/>
  <c r="L181" i="2"/>
  <c r="J181" i="2"/>
  <c r="H181" i="2"/>
  <c r="I181" i="2"/>
  <c r="M181" i="2"/>
  <c r="K181" i="2"/>
  <c r="N181" i="2"/>
  <c r="F173" i="2"/>
  <c r="E173" i="2"/>
  <c r="D173" i="2"/>
  <c r="G173" i="2"/>
  <c r="M173" i="2"/>
  <c r="H173" i="2"/>
  <c r="I173" i="2"/>
  <c r="L173" i="2"/>
  <c r="J173" i="2"/>
  <c r="N173" i="2"/>
  <c r="K173" i="2"/>
  <c r="F165" i="2"/>
  <c r="E165" i="2"/>
  <c r="D165" i="2"/>
  <c r="G165" i="2"/>
  <c r="M165" i="2"/>
  <c r="L165" i="2"/>
  <c r="J165" i="2"/>
  <c r="N165" i="2"/>
  <c r="I165" i="2"/>
  <c r="K165" i="2"/>
  <c r="H165" i="2"/>
  <c r="F157" i="2"/>
  <c r="E157" i="2"/>
  <c r="G157" i="2"/>
  <c r="D157" i="2"/>
  <c r="M157" i="2"/>
  <c r="N157" i="2"/>
  <c r="L157" i="2"/>
  <c r="J157" i="2"/>
  <c r="I157" i="2"/>
  <c r="K157" i="2"/>
  <c r="H157" i="2"/>
  <c r="F145" i="2"/>
  <c r="E145" i="2"/>
  <c r="D145" i="2"/>
  <c r="G145" i="2"/>
  <c r="M145" i="2"/>
  <c r="N145" i="2"/>
  <c r="L145" i="2"/>
  <c r="K145" i="2"/>
  <c r="J145" i="2"/>
  <c r="H145" i="2"/>
  <c r="I145" i="2"/>
  <c r="F137" i="2"/>
  <c r="E137" i="2"/>
  <c r="G137" i="2"/>
  <c r="D137" i="2"/>
  <c r="M137" i="2"/>
  <c r="L137" i="2"/>
  <c r="J137" i="2"/>
  <c r="H137" i="2"/>
  <c r="K137" i="2"/>
  <c r="I137" i="2"/>
  <c r="N137" i="2"/>
  <c r="F129" i="2"/>
  <c r="E129" i="2"/>
  <c r="G129" i="2"/>
  <c r="D129" i="2"/>
  <c r="M129" i="2"/>
  <c r="I129" i="2"/>
  <c r="N129" i="2"/>
  <c r="H129" i="2"/>
  <c r="L129" i="2"/>
  <c r="K129" i="2"/>
  <c r="J129" i="2"/>
  <c r="C121" i="2"/>
  <c r="F121" i="2"/>
  <c r="E121" i="2"/>
  <c r="G121" i="2"/>
  <c r="M121" i="2"/>
  <c r="H121" i="2"/>
  <c r="I121" i="2"/>
  <c r="N121" i="2"/>
  <c r="L121" i="2"/>
  <c r="J121" i="2"/>
  <c r="K121" i="2"/>
  <c r="C113" i="2"/>
  <c r="F113" i="2"/>
  <c r="E113" i="2"/>
  <c r="D113" i="2"/>
  <c r="G113" i="2"/>
  <c r="M113" i="2"/>
  <c r="N113" i="2"/>
  <c r="I113" i="2"/>
  <c r="L113" i="2"/>
  <c r="K113" i="2"/>
  <c r="J113" i="2"/>
  <c r="H113" i="2"/>
  <c r="C101" i="2"/>
  <c r="F101" i="2"/>
  <c r="E101" i="2"/>
  <c r="D101" i="2"/>
  <c r="G101" i="2"/>
  <c r="M101" i="2"/>
  <c r="L101" i="2"/>
  <c r="J101" i="2"/>
  <c r="H101" i="2"/>
  <c r="N101" i="2"/>
  <c r="K101" i="2"/>
  <c r="I101" i="2"/>
  <c r="C93" i="2"/>
  <c r="F93" i="2"/>
  <c r="E93" i="2"/>
  <c r="D93" i="2"/>
  <c r="G93" i="2"/>
  <c r="M93" i="2"/>
  <c r="L93" i="2"/>
  <c r="J93" i="2"/>
  <c r="I93" i="2"/>
  <c r="K93" i="2"/>
  <c r="H93" i="2"/>
  <c r="N93" i="2"/>
  <c r="C85" i="2"/>
  <c r="F85" i="2"/>
  <c r="E85" i="2"/>
  <c r="G85" i="2"/>
  <c r="D85" i="2"/>
  <c r="M85" i="2"/>
  <c r="L85" i="2"/>
  <c r="J85" i="2"/>
  <c r="I85" i="2"/>
  <c r="K85" i="2"/>
  <c r="H85" i="2"/>
  <c r="N85" i="2"/>
  <c r="C73" i="2"/>
  <c r="F73" i="2"/>
  <c r="E73" i="2"/>
  <c r="D73" i="2"/>
  <c r="G73" i="2"/>
  <c r="M73" i="2"/>
  <c r="I73" i="2"/>
  <c r="L73" i="2"/>
  <c r="J73" i="2"/>
  <c r="N73" i="2"/>
  <c r="H73" i="2"/>
  <c r="K73" i="2"/>
  <c r="C65" i="2"/>
  <c r="F65" i="2"/>
  <c r="E65" i="2"/>
  <c r="D65" i="2"/>
  <c r="G65" i="2"/>
  <c r="M65" i="2"/>
  <c r="I65" i="2"/>
  <c r="H65" i="2"/>
  <c r="L65" i="2"/>
  <c r="K65" i="2"/>
  <c r="J65" i="2"/>
  <c r="N65" i="2"/>
  <c r="C57" i="2"/>
  <c r="F57" i="2"/>
  <c r="E57" i="2"/>
  <c r="D57" i="2"/>
  <c r="G57" i="2"/>
  <c r="M57" i="2"/>
  <c r="H57" i="2"/>
  <c r="L57" i="2"/>
  <c r="J57" i="2"/>
  <c r="I57" i="2"/>
  <c r="N57" i="2"/>
  <c r="K57" i="2"/>
  <c r="C49" i="2"/>
  <c r="F49" i="2"/>
  <c r="E49" i="2"/>
  <c r="D49" i="2"/>
  <c r="G49" i="2"/>
  <c r="M49" i="2"/>
  <c r="I49" i="2"/>
  <c r="L49" i="2"/>
  <c r="K49" i="2"/>
  <c r="J49" i="2"/>
  <c r="H49" i="2"/>
  <c r="N49" i="2"/>
  <c r="C37" i="2"/>
  <c r="F37" i="2"/>
  <c r="E37" i="2"/>
  <c r="D37" i="2"/>
  <c r="G37" i="2"/>
  <c r="M37" i="2"/>
  <c r="L37" i="2"/>
  <c r="J37" i="2"/>
  <c r="I37" i="2"/>
  <c r="N37" i="2"/>
  <c r="K37" i="2"/>
  <c r="H37" i="2"/>
  <c r="F293" i="2"/>
  <c r="E293" i="2"/>
  <c r="D293" i="2"/>
  <c r="G293" i="2"/>
  <c r="M293" i="2"/>
  <c r="L293" i="2"/>
  <c r="K293" i="2"/>
  <c r="J293" i="2"/>
  <c r="N293" i="2"/>
  <c r="H293" i="2"/>
  <c r="I293" i="2"/>
  <c r="F285" i="2"/>
  <c r="D285" i="2"/>
  <c r="E285" i="2"/>
  <c r="G285" i="2"/>
  <c r="M285" i="2"/>
  <c r="K285" i="2"/>
  <c r="N285" i="2"/>
  <c r="H285" i="2"/>
  <c r="L285" i="2"/>
  <c r="J285" i="2"/>
  <c r="I285" i="2"/>
  <c r="F277" i="2"/>
  <c r="E277" i="2"/>
  <c r="D277" i="2"/>
  <c r="G277" i="2"/>
  <c r="M277" i="2"/>
  <c r="L277" i="2"/>
  <c r="J277" i="2"/>
  <c r="H277" i="2"/>
  <c r="N277" i="2"/>
  <c r="K277" i="2"/>
  <c r="I277" i="2"/>
  <c r="F273" i="2"/>
  <c r="E273" i="2"/>
  <c r="D273" i="2"/>
  <c r="G273" i="2"/>
  <c r="M273" i="2"/>
  <c r="N273" i="2"/>
  <c r="H273" i="2"/>
  <c r="L273" i="2"/>
  <c r="K273" i="2"/>
  <c r="J273" i="2"/>
  <c r="I273" i="2"/>
  <c r="F265" i="2"/>
  <c r="E265" i="2"/>
  <c r="G265" i="2"/>
  <c r="D265" i="2"/>
  <c r="K265" i="2"/>
  <c r="N265" i="2"/>
  <c r="M265" i="2"/>
  <c r="L265" i="2"/>
  <c r="J265" i="2"/>
  <c r="H265" i="2"/>
  <c r="I265" i="2"/>
  <c r="F257" i="2"/>
  <c r="E257" i="2"/>
  <c r="D257" i="2"/>
  <c r="G257" i="2"/>
  <c r="K257" i="2"/>
  <c r="H257" i="2"/>
  <c r="I257" i="2"/>
  <c r="N257" i="2"/>
  <c r="M257" i="2"/>
  <c r="L257" i="2"/>
  <c r="J257" i="2"/>
  <c r="F249" i="2"/>
  <c r="E249" i="2"/>
  <c r="D249" i="2"/>
  <c r="G249" i="2"/>
  <c r="M249" i="2"/>
  <c r="K249" i="2"/>
  <c r="I249" i="2"/>
  <c r="N249" i="2"/>
  <c r="L249" i="2"/>
  <c r="J249" i="2"/>
  <c r="H249" i="2"/>
  <c r="F241" i="2"/>
  <c r="E241" i="2"/>
  <c r="G241" i="2"/>
  <c r="D241" i="2"/>
  <c r="M241" i="2"/>
  <c r="K241" i="2"/>
  <c r="N241" i="2"/>
  <c r="I241" i="2"/>
  <c r="L241" i="2"/>
  <c r="J241" i="2"/>
  <c r="H241" i="2"/>
  <c r="F233" i="2"/>
  <c r="E233" i="2"/>
  <c r="D233" i="2"/>
  <c r="G233" i="2"/>
  <c r="K233" i="2"/>
  <c r="N233" i="2"/>
  <c r="M233" i="2"/>
  <c r="L233" i="2"/>
  <c r="J233" i="2"/>
  <c r="H233" i="2"/>
  <c r="I233" i="2"/>
  <c r="D225" i="2"/>
  <c r="F225" i="2"/>
  <c r="E225" i="2"/>
  <c r="G225" i="2"/>
  <c r="K225" i="2"/>
  <c r="N225" i="2"/>
  <c r="M225" i="2"/>
  <c r="H225" i="2"/>
  <c r="I225" i="2"/>
  <c r="L225" i="2"/>
  <c r="J225" i="2"/>
  <c r="F221" i="2"/>
  <c r="E221" i="2"/>
  <c r="D221" i="2"/>
  <c r="G221" i="2"/>
  <c r="M221" i="2"/>
  <c r="K221" i="2"/>
  <c r="N221" i="2"/>
  <c r="H221" i="2"/>
  <c r="L221" i="2"/>
  <c r="J221" i="2"/>
  <c r="I221" i="2"/>
  <c r="F213" i="2"/>
  <c r="E213" i="2"/>
  <c r="G213" i="2"/>
  <c r="D213" i="2"/>
  <c r="M213" i="2"/>
  <c r="L213" i="2"/>
  <c r="K213" i="2"/>
  <c r="J213" i="2"/>
  <c r="H213" i="2"/>
  <c r="I213" i="2"/>
  <c r="N213" i="2"/>
  <c r="F205" i="2"/>
  <c r="E205" i="2"/>
  <c r="D205" i="2"/>
  <c r="G205" i="2"/>
  <c r="M205" i="2"/>
  <c r="K205" i="2"/>
  <c r="N205" i="2"/>
  <c r="L205" i="2"/>
  <c r="J205" i="2"/>
  <c r="H205" i="2"/>
  <c r="I205" i="2"/>
  <c r="F197" i="2"/>
  <c r="E197" i="2"/>
  <c r="G197" i="2"/>
  <c r="D197" i="2"/>
  <c r="M197" i="2"/>
  <c r="L197" i="2"/>
  <c r="K197" i="2"/>
  <c r="J197" i="2"/>
  <c r="I197" i="2"/>
  <c r="H197" i="2"/>
  <c r="N197" i="2"/>
  <c r="F193" i="2"/>
  <c r="E193" i="2"/>
  <c r="D193" i="2"/>
  <c r="G193" i="2"/>
  <c r="M193" i="2"/>
  <c r="K193" i="2"/>
  <c r="H193" i="2"/>
  <c r="I193" i="2"/>
  <c r="N193" i="2"/>
  <c r="L193" i="2"/>
  <c r="J193" i="2"/>
  <c r="F185" i="2"/>
  <c r="E185" i="2"/>
  <c r="G185" i="2"/>
  <c r="D185" i="2"/>
  <c r="M185" i="2"/>
  <c r="H185" i="2"/>
  <c r="L185" i="2"/>
  <c r="J185" i="2"/>
  <c r="I185" i="2"/>
  <c r="N185" i="2"/>
  <c r="K185" i="2"/>
  <c r="F177" i="2"/>
  <c r="E177" i="2"/>
  <c r="D177" i="2"/>
  <c r="G177" i="2"/>
  <c r="M177" i="2"/>
  <c r="I177" i="2"/>
  <c r="N177" i="2"/>
  <c r="L177" i="2"/>
  <c r="K177" i="2"/>
  <c r="J177" i="2"/>
  <c r="H177" i="2"/>
  <c r="F169" i="2"/>
  <c r="E169" i="2"/>
  <c r="G169" i="2"/>
  <c r="D169" i="2"/>
  <c r="M169" i="2"/>
  <c r="L169" i="2"/>
  <c r="J169" i="2"/>
  <c r="N169" i="2"/>
  <c r="H169" i="2"/>
  <c r="I169" i="2"/>
  <c r="K169" i="2"/>
  <c r="F161" i="2"/>
  <c r="E161" i="2"/>
  <c r="D161" i="2"/>
  <c r="G161" i="2"/>
  <c r="M161" i="2"/>
  <c r="H161" i="2"/>
  <c r="I161" i="2"/>
  <c r="N161" i="2"/>
  <c r="L161" i="2"/>
  <c r="K161" i="2"/>
  <c r="J161" i="2"/>
  <c r="F153" i="2"/>
  <c r="E153" i="2"/>
  <c r="G153" i="2"/>
  <c r="D153" i="2"/>
  <c r="M153" i="2"/>
  <c r="H153" i="2"/>
  <c r="L153" i="2"/>
  <c r="J153" i="2"/>
  <c r="N153" i="2"/>
  <c r="K153" i="2"/>
  <c r="I153" i="2"/>
  <c r="F149" i="2"/>
  <c r="E149" i="2"/>
  <c r="D149" i="2"/>
  <c r="G149" i="2"/>
  <c r="L149" i="2"/>
  <c r="J149" i="2"/>
  <c r="H149" i="2"/>
  <c r="M149" i="2"/>
  <c r="I149" i="2"/>
  <c r="K149" i="2"/>
  <c r="N149" i="2"/>
  <c r="F141" i="2"/>
  <c r="E141" i="2"/>
  <c r="G141" i="2"/>
  <c r="D141" i="2"/>
  <c r="M141" i="2"/>
  <c r="N141" i="2"/>
  <c r="L141" i="2"/>
  <c r="J141" i="2"/>
  <c r="H141" i="2"/>
  <c r="K141" i="2"/>
  <c r="I141" i="2"/>
  <c r="F133" i="2"/>
  <c r="E133" i="2"/>
  <c r="G133" i="2"/>
  <c r="D133" i="2"/>
  <c r="L133" i="2"/>
  <c r="J133" i="2"/>
  <c r="N133" i="2"/>
  <c r="H133" i="2"/>
  <c r="I133" i="2"/>
  <c r="M133" i="2"/>
  <c r="K133" i="2"/>
  <c r="F125" i="2"/>
  <c r="E125" i="2"/>
  <c r="D125" i="2"/>
  <c r="G125" i="2"/>
  <c r="M125" i="2"/>
  <c r="I125" i="2"/>
  <c r="H125" i="2"/>
  <c r="L125" i="2"/>
  <c r="J125" i="2"/>
  <c r="K125" i="2"/>
  <c r="N125" i="2"/>
  <c r="C117" i="2"/>
  <c r="F117" i="2"/>
  <c r="E117" i="2"/>
  <c r="G117" i="2"/>
  <c r="D117" i="2"/>
  <c r="L117" i="2"/>
  <c r="J117" i="2"/>
  <c r="I117" i="2"/>
  <c r="N117" i="2"/>
  <c r="M117" i="2"/>
  <c r="H117" i="2"/>
  <c r="K117" i="2"/>
  <c r="C109" i="2"/>
  <c r="F109" i="2"/>
  <c r="E109" i="2"/>
  <c r="G109" i="2"/>
  <c r="D109" i="2"/>
  <c r="M109" i="2"/>
  <c r="H109" i="2"/>
  <c r="I109" i="2"/>
  <c r="L109" i="2"/>
  <c r="J109" i="2"/>
  <c r="N109" i="2"/>
  <c r="K109" i="2"/>
  <c r="C105" i="2"/>
  <c r="E105" i="2"/>
  <c r="F105" i="2"/>
  <c r="D105" i="2"/>
  <c r="G105" i="2"/>
  <c r="M105" i="2"/>
  <c r="I105" i="2"/>
  <c r="L105" i="2"/>
  <c r="J105" i="2"/>
  <c r="H105" i="2"/>
  <c r="K105" i="2"/>
  <c r="N105" i="2"/>
  <c r="C97" i="2"/>
  <c r="F97" i="2"/>
  <c r="E97" i="2"/>
  <c r="D97" i="2"/>
  <c r="G97" i="2"/>
  <c r="M97" i="2"/>
  <c r="H97" i="2"/>
  <c r="N97" i="2"/>
  <c r="I97" i="2"/>
  <c r="L97" i="2"/>
  <c r="K97" i="2"/>
  <c r="J97" i="2"/>
  <c r="C89" i="2"/>
  <c r="F89" i="2"/>
  <c r="E89" i="2"/>
  <c r="D89" i="2"/>
  <c r="G89" i="2"/>
  <c r="M89" i="2"/>
  <c r="H89" i="2"/>
  <c r="L89" i="2"/>
  <c r="J89" i="2"/>
  <c r="I89" i="2"/>
  <c r="N89" i="2"/>
  <c r="K89" i="2"/>
  <c r="C81" i="2"/>
  <c r="E81" i="2"/>
  <c r="F81" i="2"/>
  <c r="D81" i="2"/>
  <c r="G81" i="2"/>
  <c r="M81" i="2"/>
  <c r="N81" i="2"/>
  <c r="L81" i="2"/>
  <c r="K81" i="2"/>
  <c r="J81" i="2"/>
  <c r="H81" i="2"/>
  <c r="I81" i="2"/>
  <c r="C77" i="2"/>
  <c r="F77" i="2"/>
  <c r="E77" i="2"/>
  <c r="D77" i="2"/>
  <c r="G77" i="2"/>
  <c r="M77" i="2"/>
  <c r="L77" i="2"/>
  <c r="J77" i="2"/>
  <c r="H77" i="2"/>
  <c r="K77" i="2"/>
  <c r="I77" i="2"/>
  <c r="N77" i="2"/>
  <c r="C69" i="2"/>
  <c r="F69" i="2"/>
  <c r="D69" i="2"/>
  <c r="E69" i="2"/>
  <c r="G69" i="2"/>
  <c r="L69" i="2"/>
  <c r="J69" i="2"/>
  <c r="H69" i="2"/>
  <c r="I69" i="2"/>
  <c r="M69" i="2"/>
  <c r="N69" i="2"/>
  <c r="K69" i="2"/>
  <c r="C61" i="2"/>
  <c r="F61" i="2"/>
  <c r="D61" i="2"/>
  <c r="E61" i="2"/>
  <c r="G61" i="2"/>
  <c r="M61" i="2"/>
  <c r="I61" i="2"/>
  <c r="N61" i="2"/>
  <c r="H61" i="2"/>
  <c r="L61" i="2"/>
  <c r="J61" i="2"/>
  <c r="K61" i="2"/>
  <c r="C53" i="2"/>
  <c r="F53" i="2"/>
  <c r="E53" i="2"/>
  <c r="D53" i="2"/>
  <c r="G53" i="2"/>
  <c r="M53" i="2"/>
  <c r="L53" i="2"/>
  <c r="J53" i="2"/>
  <c r="N53" i="2"/>
  <c r="I53" i="2"/>
  <c r="K53" i="2"/>
  <c r="H53" i="2"/>
  <c r="C45" i="2"/>
  <c r="F45" i="2"/>
  <c r="E45" i="2"/>
  <c r="D45" i="2"/>
  <c r="G45" i="2"/>
  <c r="M45" i="2"/>
  <c r="H45" i="2"/>
  <c r="N45" i="2"/>
  <c r="I45" i="2"/>
  <c r="L45" i="2"/>
  <c r="J45" i="2"/>
  <c r="K45" i="2"/>
  <c r="C41" i="2"/>
  <c r="F41" i="2"/>
  <c r="E41" i="2"/>
  <c r="D41" i="2"/>
  <c r="G41" i="2"/>
  <c r="M41" i="2"/>
  <c r="L41" i="2"/>
  <c r="J41" i="2"/>
  <c r="H41" i="2"/>
  <c r="K41" i="2"/>
  <c r="I41" i="2"/>
  <c r="N41" i="2"/>
  <c r="C33" i="2"/>
  <c r="F33" i="2"/>
  <c r="E33" i="2"/>
  <c r="D33" i="2"/>
  <c r="G33" i="2"/>
  <c r="M33" i="2"/>
  <c r="H33" i="2"/>
  <c r="I33" i="2"/>
  <c r="N33" i="2"/>
  <c r="L33" i="2"/>
  <c r="K33" i="2"/>
  <c r="J33" i="2"/>
  <c r="C29" i="2"/>
  <c r="F29" i="2"/>
  <c r="E29" i="2"/>
  <c r="G29" i="2"/>
  <c r="D29" i="2"/>
  <c r="M29" i="2"/>
  <c r="L29" i="2"/>
  <c r="J29" i="2"/>
  <c r="I29" i="2"/>
  <c r="N29" i="2"/>
  <c r="K29" i="2"/>
  <c r="H29" i="2"/>
  <c r="C25" i="2"/>
  <c r="F25" i="2"/>
  <c r="E25" i="2"/>
  <c r="D25" i="2"/>
  <c r="G25" i="2"/>
  <c r="M25" i="2"/>
  <c r="H25" i="2"/>
  <c r="L25" i="2"/>
  <c r="J25" i="2"/>
  <c r="N25" i="2"/>
  <c r="K25" i="2"/>
  <c r="I25" i="2"/>
  <c r="F296" i="2"/>
  <c r="D296" i="2"/>
  <c r="E296" i="2"/>
  <c r="G296" i="2"/>
  <c r="M296" i="2"/>
  <c r="L296" i="2"/>
  <c r="H296" i="2"/>
  <c r="J296" i="2"/>
  <c r="K296" i="2"/>
  <c r="I296" i="2"/>
  <c r="N296" i="2"/>
  <c r="E292" i="2"/>
  <c r="F292" i="2"/>
  <c r="D292" i="2"/>
  <c r="G292" i="2"/>
  <c r="M292" i="2"/>
  <c r="L292" i="2"/>
  <c r="H292" i="2"/>
  <c r="I292" i="2"/>
  <c r="K292" i="2"/>
  <c r="J292" i="2"/>
  <c r="N292" i="2"/>
  <c r="F288" i="2"/>
  <c r="E288" i="2"/>
  <c r="G288" i="2"/>
  <c r="D288" i="2"/>
  <c r="M288" i="2"/>
  <c r="H288" i="2"/>
  <c r="I288" i="2"/>
  <c r="L288" i="2"/>
  <c r="K288" i="2"/>
  <c r="J288" i="2"/>
  <c r="N288" i="2"/>
  <c r="F284" i="2"/>
  <c r="E284" i="2"/>
  <c r="G284" i="2"/>
  <c r="D284" i="2"/>
  <c r="M284" i="2"/>
  <c r="J284" i="2"/>
  <c r="I284" i="2"/>
  <c r="L284" i="2"/>
  <c r="H284" i="2"/>
  <c r="K284" i="2"/>
  <c r="N284" i="2"/>
  <c r="F280" i="2"/>
  <c r="D280" i="2"/>
  <c r="E280" i="2"/>
  <c r="G280" i="2"/>
  <c r="M280" i="2"/>
  <c r="J280" i="2"/>
  <c r="H280" i="2"/>
  <c r="L280" i="2"/>
  <c r="K280" i="2"/>
  <c r="I280" i="2"/>
  <c r="N280" i="2"/>
  <c r="E276" i="2"/>
  <c r="F276" i="2"/>
  <c r="G276" i="2"/>
  <c r="D276" i="2"/>
  <c r="M276" i="2"/>
  <c r="L276" i="2"/>
  <c r="K276" i="2"/>
  <c r="J276" i="2"/>
  <c r="H276" i="2"/>
  <c r="I276" i="2"/>
  <c r="N276" i="2"/>
  <c r="F272" i="2"/>
  <c r="E272" i="2"/>
  <c r="D272" i="2"/>
  <c r="G272" i="2"/>
  <c r="M272" i="2"/>
  <c r="H272" i="2"/>
  <c r="L272" i="2"/>
  <c r="J272" i="2"/>
  <c r="I272" i="2"/>
  <c r="K272" i="2"/>
  <c r="N272" i="2"/>
  <c r="F268" i="2"/>
  <c r="E268" i="2"/>
  <c r="G268" i="2"/>
  <c r="D268" i="2"/>
  <c r="M268" i="2"/>
  <c r="L268" i="2"/>
  <c r="I268" i="2"/>
  <c r="K268" i="2"/>
  <c r="J268" i="2"/>
  <c r="H268" i="2"/>
  <c r="N268" i="2"/>
  <c r="F264" i="2"/>
  <c r="D264" i="2"/>
  <c r="E264" i="2"/>
  <c r="G264" i="2"/>
  <c r="M264" i="2"/>
  <c r="H264" i="2"/>
  <c r="L264" i="2"/>
  <c r="K264" i="2"/>
  <c r="J264" i="2"/>
  <c r="I264" i="2"/>
  <c r="N264" i="2"/>
  <c r="E260" i="2"/>
  <c r="F260" i="2"/>
  <c r="G260" i="2"/>
  <c r="D260" i="2"/>
  <c r="M260" i="2"/>
  <c r="J260" i="2"/>
  <c r="H260" i="2"/>
  <c r="I260" i="2"/>
  <c r="L260" i="2"/>
  <c r="K260" i="2"/>
  <c r="N260" i="2"/>
  <c r="F256" i="2"/>
  <c r="E256" i="2"/>
  <c r="G256" i="2"/>
  <c r="D256" i="2"/>
  <c r="M256" i="2"/>
  <c r="H256" i="2"/>
  <c r="I256" i="2"/>
  <c r="J256" i="2"/>
  <c r="L256" i="2"/>
  <c r="K256" i="2"/>
  <c r="N256" i="2"/>
  <c r="F252" i="2"/>
  <c r="E252" i="2"/>
  <c r="D252" i="2"/>
  <c r="G252" i="2"/>
  <c r="M252" i="2"/>
  <c r="I252" i="2"/>
  <c r="H252" i="2"/>
  <c r="L252" i="2"/>
  <c r="K252" i="2"/>
  <c r="J252" i="2"/>
  <c r="N252" i="2"/>
  <c r="F248" i="2"/>
  <c r="D248" i="2"/>
  <c r="E248" i="2"/>
  <c r="G248" i="2"/>
  <c r="M248" i="2"/>
  <c r="H248" i="2"/>
  <c r="L248" i="2"/>
  <c r="J248" i="2"/>
  <c r="K248" i="2"/>
  <c r="I248" i="2"/>
  <c r="N248" i="2"/>
  <c r="E244" i="2"/>
  <c r="F244" i="2"/>
  <c r="G244" i="2"/>
  <c r="D244" i="2"/>
  <c r="M244" i="2"/>
  <c r="J244" i="2"/>
  <c r="L244" i="2"/>
  <c r="H244" i="2"/>
  <c r="I244" i="2"/>
  <c r="K244" i="2"/>
  <c r="N244" i="2"/>
  <c r="F240" i="2"/>
  <c r="E240" i="2"/>
  <c r="G240" i="2"/>
  <c r="D240" i="2"/>
  <c r="M240" i="2"/>
  <c r="J240" i="2"/>
  <c r="H240" i="2"/>
  <c r="I240" i="2"/>
  <c r="L240" i="2"/>
  <c r="K240" i="2"/>
  <c r="N240" i="2"/>
  <c r="F236" i="2"/>
  <c r="E236" i="2"/>
  <c r="G236" i="2"/>
  <c r="D236" i="2"/>
  <c r="M236" i="2"/>
  <c r="I236" i="2"/>
  <c r="J236" i="2"/>
  <c r="L236" i="2"/>
  <c r="H236" i="2"/>
  <c r="K236" i="2"/>
  <c r="N236" i="2"/>
  <c r="F232" i="2"/>
  <c r="D232" i="2"/>
  <c r="E232" i="2"/>
  <c r="G232" i="2"/>
  <c r="M232" i="2"/>
  <c r="L232" i="2"/>
  <c r="H232" i="2"/>
  <c r="J232" i="2"/>
  <c r="K232" i="2"/>
  <c r="I232" i="2"/>
  <c r="N232" i="2"/>
  <c r="F228" i="2"/>
  <c r="E228" i="2"/>
  <c r="G228" i="2"/>
  <c r="D228" i="2"/>
  <c r="M228" i="2"/>
  <c r="L228" i="2"/>
  <c r="H228" i="2"/>
  <c r="I228" i="2"/>
  <c r="K228" i="2"/>
  <c r="J228" i="2"/>
  <c r="N228" i="2"/>
  <c r="F224" i="2"/>
  <c r="E224" i="2"/>
  <c r="G224" i="2"/>
  <c r="D224" i="2"/>
  <c r="M224" i="2"/>
  <c r="H224" i="2"/>
  <c r="J224" i="2"/>
  <c r="I224" i="2"/>
  <c r="L224" i="2"/>
  <c r="K224" i="2"/>
  <c r="N224" i="2"/>
  <c r="F220" i="2"/>
  <c r="E220" i="2"/>
  <c r="D220" i="2"/>
  <c r="G220" i="2"/>
  <c r="M220" i="2"/>
  <c r="I220" i="2"/>
  <c r="L220" i="2"/>
  <c r="J220" i="2"/>
  <c r="H220" i="2"/>
  <c r="K220" i="2"/>
  <c r="N220" i="2"/>
  <c r="F216" i="2"/>
  <c r="E216" i="2"/>
  <c r="G216" i="2"/>
  <c r="D216" i="2"/>
  <c r="M216" i="2"/>
  <c r="J216" i="2"/>
  <c r="H216" i="2"/>
  <c r="L216" i="2"/>
  <c r="K216" i="2"/>
  <c r="I216" i="2"/>
  <c r="N216" i="2"/>
  <c r="E212" i="2"/>
  <c r="F212" i="2"/>
  <c r="G212" i="2"/>
  <c r="D212" i="2"/>
  <c r="M212" i="2"/>
  <c r="L212" i="2"/>
  <c r="J212" i="2"/>
  <c r="H212" i="2"/>
  <c r="I212" i="2"/>
  <c r="K212" i="2"/>
  <c r="N212" i="2"/>
  <c r="F208" i="2"/>
  <c r="E208" i="2"/>
  <c r="G208" i="2"/>
  <c r="D208" i="2"/>
  <c r="M208" i="2"/>
  <c r="L208" i="2"/>
  <c r="H208" i="2"/>
  <c r="I208" i="2"/>
  <c r="K208" i="2"/>
  <c r="J208" i="2"/>
  <c r="N208" i="2"/>
  <c r="F204" i="2"/>
  <c r="E204" i="2"/>
  <c r="D204" i="2"/>
  <c r="G204" i="2"/>
  <c r="M204" i="2"/>
  <c r="L204" i="2"/>
  <c r="I204" i="2"/>
  <c r="N204" i="2"/>
  <c r="J204" i="2"/>
  <c r="H204" i="2"/>
  <c r="K204" i="2"/>
  <c r="F200" i="2"/>
  <c r="E200" i="2"/>
  <c r="G200" i="2"/>
  <c r="D200" i="2"/>
  <c r="M200" i="2"/>
  <c r="H200" i="2"/>
  <c r="L200" i="2"/>
  <c r="N200" i="2"/>
  <c r="K200" i="2"/>
  <c r="J200" i="2"/>
  <c r="I200" i="2"/>
  <c r="F196" i="2"/>
  <c r="E196" i="2"/>
  <c r="G196" i="2"/>
  <c r="D196" i="2"/>
  <c r="M196" i="2"/>
  <c r="J196" i="2"/>
  <c r="H196" i="2"/>
  <c r="I196" i="2"/>
  <c r="N196" i="2"/>
  <c r="L196" i="2"/>
  <c r="K196" i="2"/>
  <c r="F192" i="2"/>
  <c r="E192" i="2"/>
  <c r="G192" i="2"/>
  <c r="D192" i="2"/>
  <c r="M192" i="2"/>
  <c r="J192" i="2"/>
  <c r="H192" i="2"/>
  <c r="N192" i="2"/>
  <c r="I192" i="2"/>
  <c r="L192" i="2"/>
  <c r="K192" i="2"/>
  <c r="F188" i="2"/>
  <c r="E188" i="2"/>
  <c r="D188" i="2"/>
  <c r="G188" i="2"/>
  <c r="M188" i="2"/>
  <c r="I188" i="2"/>
  <c r="J188" i="2"/>
  <c r="H188" i="2"/>
  <c r="K188" i="2"/>
  <c r="N188" i="2"/>
  <c r="L188" i="2"/>
  <c r="F184" i="2"/>
  <c r="E184" i="2"/>
  <c r="G184" i="2"/>
  <c r="D184" i="2"/>
  <c r="M184" i="2"/>
  <c r="L184" i="2"/>
  <c r="N184" i="2"/>
  <c r="K184" i="2"/>
  <c r="J184" i="2"/>
  <c r="H184" i="2"/>
  <c r="I184" i="2"/>
  <c r="F180" i="2"/>
  <c r="D180" i="2"/>
  <c r="E180" i="2"/>
  <c r="G180" i="2"/>
  <c r="M180" i="2"/>
  <c r="J180" i="2"/>
  <c r="H180" i="2"/>
  <c r="N180" i="2"/>
  <c r="L180" i="2"/>
  <c r="K180" i="2"/>
  <c r="I180" i="2"/>
  <c r="F176" i="2"/>
  <c r="E176" i="2"/>
  <c r="G176" i="2"/>
  <c r="D176" i="2"/>
  <c r="M176" i="2"/>
  <c r="L176" i="2"/>
  <c r="I176" i="2"/>
  <c r="N176" i="2"/>
  <c r="K176" i="2"/>
  <c r="J176" i="2"/>
  <c r="H176" i="2"/>
  <c r="F172" i="2"/>
  <c r="D172" i="2"/>
  <c r="E172" i="2"/>
  <c r="G172" i="2"/>
  <c r="M172" i="2"/>
  <c r="I172" i="2"/>
  <c r="N172" i="2"/>
  <c r="J172" i="2"/>
  <c r="H172" i="2"/>
  <c r="L172" i="2"/>
  <c r="K172" i="2"/>
  <c r="F168" i="2"/>
  <c r="D168" i="2"/>
  <c r="E168" i="2"/>
  <c r="G168" i="2"/>
  <c r="M168" i="2"/>
  <c r="L168" i="2"/>
  <c r="J168" i="2"/>
  <c r="K168" i="2"/>
  <c r="N168" i="2"/>
  <c r="H168" i="2"/>
  <c r="I168" i="2"/>
  <c r="F164" i="2"/>
  <c r="D164" i="2"/>
  <c r="E164" i="2"/>
  <c r="G164" i="2"/>
  <c r="M164" i="2"/>
  <c r="N164" i="2"/>
  <c r="L164" i="2"/>
  <c r="H164" i="2"/>
  <c r="K164" i="2"/>
  <c r="I164" i="2"/>
  <c r="J164" i="2"/>
  <c r="D160" i="2"/>
  <c r="E160" i="2"/>
  <c r="F160" i="2"/>
  <c r="G160" i="2"/>
  <c r="M160" i="2"/>
  <c r="L160" i="2"/>
  <c r="I160" i="2"/>
  <c r="N160" i="2"/>
  <c r="K160" i="2"/>
  <c r="J160" i="2"/>
  <c r="H160" i="2"/>
  <c r="F156" i="2"/>
  <c r="D156" i="2"/>
  <c r="E156" i="2"/>
  <c r="G156" i="2"/>
  <c r="M156" i="2"/>
  <c r="J156" i="2"/>
  <c r="I156" i="2"/>
  <c r="N156" i="2"/>
  <c r="L156" i="2"/>
  <c r="H156" i="2"/>
  <c r="K156" i="2"/>
  <c r="F152" i="2"/>
  <c r="D152" i="2"/>
  <c r="E152" i="2"/>
  <c r="G152" i="2"/>
  <c r="M152" i="2"/>
  <c r="J152" i="2"/>
  <c r="N152" i="2"/>
  <c r="K152" i="2"/>
  <c r="L152" i="2"/>
  <c r="H152" i="2"/>
  <c r="I152" i="2"/>
  <c r="F148" i="2"/>
  <c r="D148" i="2"/>
  <c r="E148" i="2"/>
  <c r="G148" i="2"/>
  <c r="M148" i="2"/>
  <c r="L148" i="2"/>
  <c r="H148" i="2"/>
  <c r="K148" i="2"/>
  <c r="J148" i="2"/>
  <c r="I148" i="2"/>
  <c r="N148" i="2"/>
  <c r="D144" i="2"/>
  <c r="F144" i="2"/>
  <c r="E144" i="2"/>
  <c r="G144" i="2"/>
  <c r="M144" i="2"/>
  <c r="N144" i="2"/>
  <c r="J144" i="2"/>
  <c r="I144" i="2"/>
  <c r="K144" i="2"/>
  <c r="L144" i="2"/>
  <c r="H144" i="2"/>
  <c r="F140" i="2"/>
  <c r="E140" i="2"/>
  <c r="G140" i="2"/>
  <c r="D140" i="2"/>
  <c r="M140" i="2"/>
  <c r="L140" i="2"/>
  <c r="J140" i="2"/>
  <c r="I140" i="2"/>
  <c r="H140" i="2"/>
  <c r="K140" i="2"/>
  <c r="N140" i="2"/>
  <c r="E136" i="2"/>
  <c r="F136" i="2"/>
  <c r="D136" i="2"/>
  <c r="G136" i="2"/>
  <c r="M136" i="2"/>
  <c r="L136" i="2"/>
  <c r="K136" i="2"/>
  <c r="N136" i="2"/>
  <c r="J136" i="2"/>
  <c r="H136" i="2"/>
  <c r="I136" i="2"/>
  <c r="F132" i="2"/>
  <c r="E132" i="2"/>
  <c r="G132" i="2"/>
  <c r="D132" i="2"/>
  <c r="M132" i="2"/>
  <c r="N132" i="2"/>
  <c r="J132" i="2"/>
  <c r="H132" i="2"/>
  <c r="K132" i="2"/>
  <c r="I132" i="2"/>
  <c r="L132" i="2"/>
  <c r="F128" i="2"/>
  <c r="E128" i="2"/>
  <c r="G128" i="2"/>
  <c r="D128" i="2"/>
  <c r="M128" i="2"/>
  <c r="I128" i="2"/>
  <c r="L128" i="2"/>
  <c r="K128" i="2"/>
  <c r="J128" i="2"/>
  <c r="N128" i="2"/>
  <c r="H128" i="2"/>
  <c r="F124" i="2"/>
  <c r="E124" i="2"/>
  <c r="G124" i="2"/>
  <c r="D124" i="2"/>
  <c r="M124" i="2"/>
  <c r="I124" i="2"/>
  <c r="H124" i="2"/>
  <c r="K124" i="2"/>
  <c r="N124" i="2"/>
  <c r="L124" i="2"/>
  <c r="J124" i="2"/>
  <c r="C120" i="2"/>
  <c r="F120" i="2"/>
  <c r="E120" i="2"/>
  <c r="D120" i="2"/>
  <c r="G120" i="2"/>
  <c r="M120" i="2"/>
  <c r="L120" i="2"/>
  <c r="K120" i="2"/>
  <c r="J120" i="2"/>
  <c r="N120" i="2"/>
  <c r="H120" i="2"/>
  <c r="I120" i="2"/>
  <c r="C116" i="2"/>
  <c r="F116" i="2"/>
  <c r="E116" i="2"/>
  <c r="D116" i="2"/>
  <c r="G116" i="2"/>
  <c r="M116" i="2"/>
  <c r="J116" i="2"/>
  <c r="H116" i="2"/>
  <c r="N116" i="2"/>
  <c r="L116" i="2"/>
  <c r="K116" i="2"/>
  <c r="I116" i="2"/>
  <c r="C112" i="2"/>
  <c r="F112" i="2"/>
  <c r="E112" i="2"/>
  <c r="D112" i="2"/>
  <c r="G112" i="2"/>
  <c r="M112" i="2"/>
  <c r="L112" i="2"/>
  <c r="J112" i="2"/>
  <c r="I112" i="2"/>
  <c r="K112" i="2"/>
  <c r="H112" i="2"/>
  <c r="N112" i="2"/>
  <c r="C108" i="2"/>
  <c r="F108" i="2"/>
  <c r="E108" i="2"/>
  <c r="D108" i="2"/>
  <c r="G108" i="2"/>
  <c r="M108" i="2"/>
  <c r="J108" i="2"/>
  <c r="I108" i="2"/>
  <c r="H108" i="2"/>
  <c r="N108" i="2"/>
  <c r="L108" i="2"/>
  <c r="K108" i="2"/>
  <c r="C104" i="2"/>
  <c r="F104" i="2"/>
  <c r="E104" i="2"/>
  <c r="G104" i="2"/>
  <c r="D104" i="2"/>
  <c r="M104" i="2"/>
  <c r="L104" i="2"/>
  <c r="N104" i="2"/>
  <c r="J104" i="2"/>
  <c r="K104" i="2"/>
  <c r="H104" i="2"/>
  <c r="I104" i="2"/>
  <c r="C100" i="2"/>
  <c r="F100" i="2"/>
  <c r="E100" i="2"/>
  <c r="D100" i="2"/>
  <c r="G100" i="2"/>
  <c r="M100" i="2"/>
  <c r="L100" i="2"/>
  <c r="H100" i="2"/>
  <c r="N100" i="2"/>
  <c r="K100" i="2"/>
  <c r="I100" i="2"/>
  <c r="J100" i="2"/>
  <c r="C96" i="2"/>
  <c r="F96" i="2"/>
  <c r="E96" i="2"/>
  <c r="G96" i="2"/>
  <c r="D96" i="2"/>
  <c r="M96" i="2"/>
  <c r="L96" i="2"/>
  <c r="N96" i="2"/>
  <c r="J96" i="2"/>
  <c r="I96" i="2"/>
  <c r="K96" i="2"/>
  <c r="H96" i="2"/>
  <c r="C92" i="2"/>
  <c r="F92" i="2"/>
  <c r="E92" i="2"/>
  <c r="G92" i="2"/>
  <c r="D92" i="2"/>
  <c r="M92" i="2"/>
  <c r="I92" i="2"/>
  <c r="L92" i="2"/>
  <c r="H92" i="2"/>
  <c r="K92" i="2"/>
  <c r="J92" i="2"/>
  <c r="N92" i="2"/>
  <c r="C88" i="2"/>
  <c r="F88" i="2"/>
  <c r="E88" i="2"/>
  <c r="D88" i="2"/>
  <c r="G88" i="2"/>
  <c r="M88" i="2"/>
  <c r="J88" i="2"/>
  <c r="N88" i="2"/>
  <c r="K88" i="2"/>
  <c r="L88" i="2"/>
  <c r="H88" i="2"/>
  <c r="I88" i="2"/>
  <c r="C84" i="2"/>
  <c r="F84" i="2"/>
  <c r="E84" i="2"/>
  <c r="D84" i="2"/>
  <c r="G84" i="2"/>
  <c r="M84" i="2"/>
  <c r="L84" i="2"/>
  <c r="H84" i="2"/>
  <c r="K84" i="2"/>
  <c r="J84" i="2"/>
  <c r="I84" i="2"/>
  <c r="N84" i="2"/>
  <c r="C80" i="2"/>
  <c r="E80" i="2"/>
  <c r="F80" i="2"/>
  <c r="G80" i="2"/>
  <c r="D80" i="2"/>
  <c r="M80" i="2"/>
  <c r="I80" i="2"/>
  <c r="N80" i="2"/>
  <c r="L80" i="2"/>
  <c r="K80" i="2"/>
  <c r="J80" i="2"/>
  <c r="H80" i="2"/>
  <c r="C76" i="2"/>
  <c r="E76" i="2"/>
  <c r="F76" i="2"/>
  <c r="D76" i="2"/>
  <c r="G76" i="2"/>
  <c r="M76" i="2"/>
  <c r="L76" i="2"/>
  <c r="I76" i="2"/>
  <c r="H76" i="2"/>
  <c r="N76" i="2"/>
  <c r="K76" i="2"/>
  <c r="J76" i="2"/>
  <c r="C72" i="2"/>
  <c r="E72" i="2"/>
  <c r="F72" i="2"/>
  <c r="G72" i="2"/>
  <c r="D72" i="2"/>
  <c r="M72" i="2"/>
  <c r="L72" i="2"/>
  <c r="K72" i="2"/>
  <c r="J72" i="2"/>
  <c r="H72" i="2"/>
  <c r="I72" i="2"/>
  <c r="N72" i="2"/>
  <c r="C68" i="2"/>
  <c r="F68" i="2"/>
  <c r="E68" i="2"/>
  <c r="D68" i="2"/>
  <c r="G68" i="2"/>
  <c r="M68" i="2"/>
  <c r="J68" i="2"/>
  <c r="H68" i="2"/>
  <c r="N68" i="2"/>
  <c r="K68" i="2"/>
  <c r="I68" i="2"/>
  <c r="L68" i="2"/>
  <c r="C64" i="2"/>
  <c r="F64" i="2"/>
  <c r="E64" i="2"/>
  <c r="D64" i="2"/>
  <c r="G64" i="2"/>
  <c r="M64" i="2"/>
  <c r="J64" i="2"/>
  <c r="L64" i="2"/>
  <c r="I64" i="2"/>
  <c r="N64" i="2"/>
  <c r="K64" i="2"/>
  <c r="H64" i="2"/>
  <c r="C60" i="2"/>
  <c r="F60" i="2"/>
  <c r="D60" i="2"/>
  <c r="E60" i="2"/>
  <c r="G60" i="2"/>
  <c r="M60" i="2"/>
  <c r="I60" i="2"/>
  <c r="N60" i="2"/>
  <c r="J60" i="2"/>
  <c r="H60" i="2"/>
  <c r="K60" i="2"/>
  <c r="L60" i="2"/>
  <c r="C56" i="2"/>
  <c r="E56" i="2"/>
  <c r="F56" i="2"/>
  <c r="G56" i="2"/>
  <c r="D56" i="2"/>
  <c r="M56" i="2"/>
  <c r="L56" i="2"/>
  <c r="N56" i="2"/>
  <c r="K56" i="2"/>
  <c r="J56" i="2"/>
  <c r="H56" i="2"/>
  <c r="I56" i="2"/>
  <c r="C52" i="2"/>
  <c r="E52" i="2"/>
  <c r="F52" i="2"/>
  <c r="D52" i="2"/>
  <c r="G52" i="2"/>
  <c r="M52" i="2"/>
  <c r="J52" i="2"/>
  <c r="N52" i="2"/>
  <c r="H52" i="2"/>
  <c r="L52" i="2"/>
  <c r="K52" i="2"/>
  <c r="I52" i="2"/>
  <c r="C48" i="2"/>
  <c r="F48" i="2"/>
  <c r="E48" i="2"/>
  <c r="G48" i="2"/>
  <c r="D48" i="2"/>
  <c r="M48" i="2"/>
  <c r="I48" i="2"/>
  <c r="K48" i="2"/>
  <c r="J48" i="2"/>
  <c r="N48" i="2"/>
  <c r="L48" i="2"/>
  <c r="H48" i="2"/>
  <c r="C44" i="2"/>
  <c r="F44" i="2"/>
  <c r="E44" i="2"/>
  <c r="D44" i="2"/>
  <c r="G44" i="2"/>
  <c r="M44" i="2"/>
  <c r="I44" i="2"/>
  <c r="H44" i="2"/>
  <c r="N44" i="2"/>
  <c r="L44" i="2"/>
  <c r="K44" i="2"/>
  <c r="J44" i="2"/>
  <c r="C40" i="2"/>
  <c r="E40" i="2"/>
  <c r="F40" i="2"/>
  <c r="G40" i="2"/>
  <c r="D40" i="2"/>
  <c r="M40" i="2"/>
  <c r="L40" i="2"/>
  <c r="J40" i="2"/>
  <c r="K40" i="2"/>
  <c r="N40" i="2"/>
  <c r="H40" i="2"/>
  <c r="I40" i="2"/>
  <c r="C36" i="2"/>
  <c r="F36" i="2"/>
  <c r="D36" i="2"/>
  <c r="E36" i="2"/>
  <c r="G36" i="2"/>
  <c r="M36" i="2"/>
  <c r="N36" i="2"/>
  <c r="L36" i="2"/>
  <c r="H36" i="2"/>
  <c r="K36" i="2"/>
  <c r="I36" i="2"/>
  <c r="J36" i="2"/>
  <c r="C32" i="2"/>
  <c r="F32" i="2"/>
  <c r="E32" i="2"/>
  <c r="G32" i="2"/>
  <c r="D32" i="2"/>
  <c r="M32" i="2"/>
  <c r="I32" i="2"/>
  <c r="N32" i="2"/>
  <c r="K32" i="2"/>
  <c r="L32" i="2"/>
  <c r="J32" i="2"/>
  <c r="H32" i="2"/>
  <c r="C28" i="2"/>
  <c r="F28" i="2"/>
  <c r="E28" i="2"/>
  <c r="D28" i="2"/>
  <c r="G28" i="2"/>
  <c r="M28" i="2"/>
  <c r="J28" i="2"/>
  <c r="I28" i="2"/>
  <c r="L28" i="2"/>
  <c r="H28" i="2"/>
  <c r="K28" i="2"/>
  <c r="N28" i="2"/>
  <c r="C24" i="2"/>
  <c r="E24" i="2"/>
  <c r="F24" i="2"/>
  <c r="D24" i="2"/>
  <c r="G24" i="2"/>
  <c r="M24" i="2"/>
  <c r="J24" i="2"/>
  <c r="N24" i="2"/>
  <c r="K24" i="2"/>
  <c r="L24" i="2"/>
  <c r="H24" i="2"/>
  <c r="I24" i="2"/>
  <c r="F295" i="2"/>
  <c r="D295" i="2"/>
  <c r="E295" i="2"/>
  <c r="G295" i="2"/>
  <c r="M295" i="2"/>
  <c r="H295" i="2"/>
  <c r="K295" i="2"/>
  <c r="J295" i="2"/>
  <c r="N295" i="2"/>
  <c r="L295" i="2"/>
  <c r="I295" i="2"/>
  <c r="F283" i="2"/>
  <c r="E283" i="2"/>
  <c r="D283" i="2"/>
  <c r="G283" i="2"/>
  <c r="M283" i="2"/>
  <c r="L283" i="2"/>
  <c r="H283" i="2"/>
  <c r="K283" i="2"/>
  <c r="N283" i="2"/>
  <c r="J283" i="2"/>
  <c r="I283" i="2"/>
  <c r="F275" i="2"/>
  <c r="E275" i="2"/>
  <c r="D275" i="2"/>
  <c r="G275" i="2"/>
  <c r="M275" i="2"/>
  <c r="H275" i="2"/>
  <c r="K275" i="2"/>
  <c r="J275" i="2"/>
  <c r="I275" i="2"/>
  <c r="L275" i="2"/>
  <c r="N275" i="2"/>
  <c r="F267" i="2"/>
  <c r="E267" i="2"/>
  <c r="D267" i="2"/>
  <c r="G267" i="2"/>
  <c r="M267" i="2"/>
  <c r="L267" i="2"/>
  <c r="K267" i="2"/>
  <c r="I267" i="2"/>
  <c r="N267" i="2"/>
  <c r="J267" i="2"/>
  <c r="H267" i="2"/>
  <c r="F255" i="2"/>
  <c r="E255" i="2"/>
  <c r="D255" i="2"/>
  <c r="G255" i="2"/>
  <c r="M255" i="2"/>
  <c r="J255" i="2"/>
  <c r="I255" i="2"/>
  <c r="L255" i="2"/>
  <c r="K255" i="2"/>
  <c r="N255" i="2"/>
  <c r="H255" i="2"/>
  <c r="F243" i="2"/>
  <c r="E243" i="2"/>
  <c r="D243" i="2"/>
  <c r="G243" i="2"/>
  <c r="M243" i="2"/>
  <c r="J243" i="2"/>
  <c r="L243" i="2"/>
  <c r="K243" i="2"/>
  <c r="H243" i="2"/>
  <c r="I243" i="2"/>
  <c r="N243" i="2"/>
  <c r="F235" i="2"/>
  <c r="E235" i="2"/>
  <c r="D235" i="2"/>
  <c r="G235" i="2"/>
  <c r="M235" i="2"/>
  <c r="L235" i="2"/>
  <c r="H235" i="2"/>
  <c r="K235" i="2"/>
  <c r="N235" i="2"/>
  <c r="J235" i="2"/>
  <c r="I235" i="2"/>
  <c r="F223" i="2"/>
  <c r="E223" i="2"/>
  <c r="D223" i="2"/>
  <c r="G223" i="2"/>
  <c r="M223" i="2"/>
  <c r="J223" i="2"/>
  <c r="L223" i="2"/>
  <c r="I223" i="2"/>
  <c r="K223" i="2"/>
  <c r="N223" i="2"/>
  <c r="H223" i="2"/>
  <c r="E211" i="2"/>
  <c r="F211" i="2"/>
  <c r="D211" i="2"/>
  <c r="G211" i="2"/>
  <c r="M211" i="2"/>
  <c r="H211" i="2"/>
  <c r="J211" i="2"/>
  <c r="L211" i="2"/>
  <c r="K211" i="2"/>
  <c r="N211" i="2"/>
  <c r="I211" i="2"/>
  <c r="F199" i="2"/>
  <c r="E199" i="2"/>
  <c r="D199" i="2"/>
  <c r="G199" i="2"/>
  <c r="M199" i="2"/>
  <c r="H199" i="2"/>
  <c r="I199" i="2"/>
  <c r="N199" i="2"/>
  <c r="K199" i="2"/>
  <c r="J199" i="2"/>
  <c r="L199" i="2"/>
  <c r="F187" i="2"/>
  <c r="E187" i="2"/>
  <c r="D187" i="2"/>
  <c r="G187" i="2"/>
  <c r="M187" i="2"/>
  <c r="L187" i="2"/>
  <c r="N187" i="2"/>
  <c r="K187" i="2"/>
  <c r="I187" i="2"/>
  <c r="J187" i="2"/>
  <c r="H187" i="2"/>
  <c r="F179" i="2"/>
  <c r="E179" i="2"/>
  <c r="D179" i="2"/>
  <c r="G179" i="2"/>
  <c r="M179" i="2"/>
  <c r="I179" i="2"/>
  <c r="N179" i="2"/>
  <c r="K179" i="2"/>
  <c r="J179" i="2"/>
  <c r="L179" i="2"/>
  <c r="H179" i="2"/>
  <c r="F167" i="2"/>
  <c r="E167" i="2"/>
  <c r="D167" i="2"/>
  <c r="G167" i="2"/>
  <c r="M167" i="2"/>
  <c r="K167" i="2"/>
  <c r="N167" i="2"/>
  <c r="J167" i="2"/>
  <c r="H167" i="2"/>
  <c r="L167" i="2"/>
  <c r="I167" i="2"/>
  <c r="E155" i="2"/>
  <c r="F155" i="2"/>
  <c r="D155" i="2"/>
  <c r="G155" i="2"/>
  <c r="M155" i="2"/>
  <c r="L155" i="2"/>
  <c r="I155" i="2"/>
  <c r="N155" i="2"/>
  <c r="K155" i="2"/>
  <c r="J155" i="2"/>
  <c r="H155" i="2"/>
  <c r="F143" i="2"/>
  <c r="E143" i="2"/>
  <c r="D143" i="2"/>
  <c r="G143" i="2"/>
  <c r="M143" i="2"/>
  <c r="J143" i="2"/>
  <c r="H143" i="2"/>
  <c r="I143" i="2"/>
  <c r="L143" i="2"/>
  <c r="K143" i="2"/>
  <c r="N143" i="2"/>
  <c r="F135" i="2"/>
  <c r="E135" i="2"/>
  <c r="D135" i="2"/>
  <c r="G135" i="2"/>
  <c r="M135" i="2"/>
  <c r="K135" i="2"/>
  <c r="H135" i="2"/>
  <c r="I135" i="2"/>
  <c r="N135" i="2"/>
  <c r="J135" i="2"/>
  <c r="L135" i="2"/>
  <c r="E123" i="2"/>
  <c r="F123" i="2"/>
  <c r="D123" i="2"/>
  <c r="G123" i="2"/>
  <c r="M123" i="2"/>
  <c r="L123" i="2"/>
  <c r="K123" i="2"/>
  <c r="N123" i="2"/>
  <c r="I123" i="2"/>
  <c r="J123" i="2"/>
  <c r="H123" i="2"/>
  <c r="C111" i="2"/>
  <c r="F111" i="2"/>
  <c r="E111" i="2"/>
  <c r="D111" i="2"/>
  <c r="G111" i="2"/>
  <c r="M111" i="2"/>
  <c r="J111" i="2"/>
  <c r="L111" i="2"/>
  <c r="K111" i="2"/>
  <c r="I111" i="2"/>
  <c r="N111" i="2"/>
  <c r="H111" i="2"/>
  <c r="C103" i="2"/>
  <c r="F103" i="2"/>
  <c r="E103" i="2"/>
  <c r="D103" i="2"/>
  <c r="G103" i="2"/>
  <c r="M103" i="2"/>
  <c r="H103" i="2"/>
  <c r="K103" i="2"/>
  <c r="N103" i="2"/>
  <c r="J103" i="2"/>
  <c r="L103" i="2"/>
  <c r="I103" i="2"/>
  <c r="C91" i="2"/>
  <c r="F91" i="2"/>
  <c r="E91" i="2"/>
  <c r="D91" i="2"/>
  <c r="G91" i="2"/>
  <c r="M91" i="2"/>
  <c r="L91" i="2"/>
  <c r="I91" i="2"/>
  <c r="K91" i="2"/>
  <c r="N91" i="2"/>
  <c r="J91" i="2"/>
  <c r="H91" i="2"/>
  <c r="C83" i="2"/>
  <c r="F83" i="2"/>
  <c r="E83" i="2"/>
  <c r="D83" i="2"/>
  <c r="G83" i="2"/>
  <c r="M83" i="2"/>
  <c r="K83" i="2"/>
  <c r="J83" i="2"/>
  <c r="L83" i="2"/>
  <c r="H83" i="2"/>
  <c r="N83" i="2"/>
  <c r="I83" i="2"/>
  <c r="C71" i="2"/>
  <c r="E71" i="2"/>
  <c r="F71" i="2"/>
  <c r="D71" i="2"/>
  <c r="G71" i="2"/>
  <c r="M71" i="2"/>
  <c r="N71" i="2"/>
  <c r="K71" i="2"/>
  <c r="I71" i="2"/>
  <c r="J71" i="2"/>
  <c r="L71" i="2"/>
  <c r="H71" i="2"/>
  <c r="C63" i="2"/>
  <c r="F63" i="2"/>
  <c r="E63" i="2"/>
  <c r="D63" i="2"/>
  <c r="G63" i="2"/>
  <c r="M63" i="2"/>
  <c r="J63" i="2"/>
  <c r="L63" i="2"/>
  <c r="K63" i="2"/>
  <c r="I63" i="2"/>
  <c r="N63" i="2"/>
  <c r="H63" i="2"/>
  <c r="C51" i="2"/>
  <c r="F51" i="2"/>
  <c r="E51" i="2"/>
  <c r="D51" i="2"/>
  <c r="G51" i="2"/>
  <c r="M51" i="2"/>
  <c r="I51" i="2"/>
  <c r="N51" i="2"/>
  <c r="K51" i="2"/>
  <c r="J51" i="2"/>
  <c r="L51" i="2"/>
  <c r="H51" i="2"/>
  <c r="C35" i="2"/>
  <c r="F35" i="2"/>
  <c r="D35" i="2"/>
  <c r="E35" i="2"/>
  <c r="G35" i="2"/>
  <c r="M35" i="2"/>
  <c r="H35" i="2"/>
  <c r="K35" i="2"/>
  <c r="J35" i="2"/>
  <c r="I35" i="2"/>
  <c r="L35" i="2"/>
  <c r="N35" i="2"/>
  <c r="F297" i="2"/>
  <c r="E297" i="2"/>
  <c r="D297" i="2"/>
  <c r="G297" i="2"/>
  <c r="K297" i="2"/>
  <c r="I297" i="2"/>
  <c r="N297" i="2"/>
  <c r="L297" i="2"/>
  <c r="J297" i="2"/>
  <c r="M297" i="2"/>
  <c r="H297" i="2"/>
  <c r="F291" i="2"/>
  <c r="E291" i="2"/>
  <c r="D291" i="2"/>
  <c r="G291" i="2"/>
  <c r="M291" i="2"/>
  <c r="J291" i="2"/>
  <c r="H291" i="2"/>
  <c r="I291" i="2"/>
  <c r="L291" i="2"/>
  <c r="K291" i="2"/>
  <c r="N291" i="2"/>
  <c r="F287" i="2"/>
  <c r="E287" i="2"/>
  <c r="D287" i="2"/>
  <c r="G287" i="2"/>
  <c r="M287" i="2"/>
  <c r="J287" i="2"/>
  <c r="L287" i="2"/>
  <c r="I287" i="2"/>
  <c r="K287" i="2"/>
  <c r="N287" i="2"/>
  <c r="H287" i="2"/>
  <c r="F279" i="2"/>
  <c r="D279" i="2"/>
  <c r="E279" i="2"/>
  <c r="G279" i="2"/>
  <c r="M279" i="2"/>
  <c r="I279" i="2"/>
  <c r="K279" i="2"/>
  <c r="J279" i="2"/>
  <c r="H279" i="2"/>
  <c r="N279" i="2"/>
  <c r="L279" i="2"/>
  <c r="F271" i="2"/>
  <c r="E271" i="2"/>
  <c r="D271" i="2"/>
  <c r="G271" i="2"/>
  <c r="M271" i="2"/>
  <c r="J271" i="2"/>
  <c r="I271" i="2"/>
  <c r="L271" i="2"/>
  <c r="K271" i="2"/>
  <c r="H271" i="2"/>
  <c r="N271" i="2"/>
  <c r="F263" i="2"/>
  <c r="D263" i="2"/>
  <c r="E263" i="2"/>
  <c r="G263" i="2"/>
  <c r="M263" i="2"/>
  <c r="H263" i="2"/>
  <c r="I263" i="2"/>
  <c r="K263" i="2"/>
  <c r="J263" i="2"/>
  <c r="N263" i="2"/>
  <c r="L263" i="2"/>
  <c r="F259" i="2"/>
  <c r="E259" i="2"/>
  <c r="D259" i="2"/>
  <c r="G259" i="2"/>
  <c r="M259" i="2"/>
  <c r="J259" i="2"/>
  <c r="L259" i="2"/>
  <c r="K259" i="2"/>
  <c r="I259" i="2"/>
  <c r="N259" i="2"/>
  <c r="H259" i="2"/>
  <c r="F251" i="2"/>
  <c r="E251" i="2"/>
  <c r="D251" i="2"/>
  <c r="G251" i="2"/>
  <c r="M251" i="2"/>
  <c r="L251" i="2"/>
  <c r="K251" i="2"/>
  <c r="H251" i="2"/>
  <c r="I251" i="2"/>
  <c r="N251" i="2"/>
  <c r="J251" i="2"/>
  <c r="F247" i="2"/>
  <c r="D247" i="2"/>
  <c r="E247" i="2"/>
  <c r="G247" i="2"/>
  <c r="M247" i="2"/>
  <c r="K247" i="2"/>
  <c r="J247" i="2"/>
  <c r="H247" i="2"/>
  <c r="I247" i="2"/>
  <c r="N247" i="2"/>
  <c r="L247" i="2"/>
  <c r="F239" i="2"/>
  <c r="E239" i="2"/>
  <c r="D239" i="2"/>
  <c r="G239" i="2"/>
  <c r="M239" i="2"/>
  <c r="J239" i="2"/>
  <c r="L239" i="2"/>
  <c r="H239" i="2"/>
  <c r="I239" i="2"/>
  <c r="K239" i="2"/>
  <c r="N239" i="2"/>
  <c r="F231" i="2"/>
  <c r="D231" i="2"/>
  <c r="E231" i="2"/>
  <c r="G231" i="2"/>
  <c r="M231" i="2"/>
  <c r="H231" i="2"/>
  <c r="K231" i="2"/>
  <c r="J231" i="2"/>
  <c r="N231" i="2"/>
  <c r="L231" i="2"/>
  <c r="I231" i="2"/>
  <c r="F227" i="2"/>
  <c r="E227" i="2"/>
  <c r="D227" i="2"/>
  <c r="G227" i="2"/>
  <c r="M227" i="2"/>
  <c r="J227" i="2"/>
  <c r="H227" i="2"/>
  <c r="L227" i="2"/>
  <c r="K227" i="2"/>
  <c r="N227" i="2"/>
  <c r="I227" i="2"/>
  <c r="F219" i="2"/>
  <c r="E219" i="2"/>
  <c r="D219" i="2"/>
  <c r="G219" i="2"/>
  <c r="M219" i="2"/>
  <c r="L219" i="2"/>
  <c r="H219" i="2"/>
  <c r="I219" i="2"/>
  <c r="K219" i="2"/>
  <c r="N219" i="2"/>
  <c r="J219" i="2"/>
  <c r="F215" i="2"/>
  <c r="E215" i="2"/>
  <c r="D215" i="2"/>
  <c r="G215" i="2"/>
  <c r="M215" i="2"/>
  <c r="I215" i="2"/>
  <c r="K215" i="2"/>
  <c r="J215" i="2"/>
  <c r="H215" i="2"/>
  <c r="N215" i="2"/>
  <c r="L215" i="2"/>
  <c r="F207" i="2"/>
  <c r="E207" i="2"/>
  <c r="D207" i="2"/>
  <c r="G207" i="2"/>
  <c r="M207" i="2"/>
  <c r="J207" i="2"/>
  <c r="L207" i="2"/>
  <c r="H207" i="2"/>
  <c r="K207" i="2"/>
  <c r="I207" i="2"/>
  <c r="N207" i="2"/>
  <c r="F203" i="2"/>
  <c r="E203" i="2"/>
  <c r="D203" i="2"/>
  <c r="G203" i="2"/>
  <c r="M203" i="2"/>
  <c r="L203" i="2"/>
  <c r="N203" i="2"/>
  <c r="I203" i="2"/>
  <c r="K203" i="2"/>
  <c r="J203" i="2"/>
  <c r="H203" i="2"/>
  <c r="F195" i="2"/>
  <c r="E195" i="2"/>
  <c r="D195" i="2"/>
  <c r="G195" i="2"/>
  <c r="M195" i="2"/>
  <c r="I195" i="2"/>
  <c r="J195" i="2"/>
  <c r="L195" i="2"/>
  <c r="K195" i="2"/>
  <c r="H195" i="2"/>
  <c r="N195" i="2"/>
  <c r="F191" i="2"/>
  <c r="E191" i="2"/>
  <c r="D191" i="2"/>
  <c r="G191" i="2"/>
  <c r="M191" i="2"/>
  <c r="J191" i="2"/>
  <c r="L191" i="2"/>
  <c r="K191" i="2"/>
  <c r="I191" i="2"/>
  <c r="H191" i="2"/>
  <c r="N191" i="2"/>
  <c r="F183" i="2"/>
  <c r="D183" i="2"/>
  <c r="E183" i="2"/>
  <c r="G183" i="2"/>
  <c r="M183" i="2"/>
  <c r="K183" i="2"/>
  <c r="N183" i="2"/>
  <c r="J183" i="2"/>
  <c r="H183" i="2"/>
  <c r="I183" i="2"/>
  <c r="L183" i="2"/>
  <c r="F175" i="2"/>
  <c r="E175" i="2"/>
  <c r="D175" i="2"/>
  <c r="G175" i="2"/>
  <c r="M175" i="2"/>
  <c r="J175" i="2"/>
  <c r="L175" i="2"/>
  <c r="K175" i="2"/>
  <c r="H175" i="2"/>
  <c r="I175" i="2"/>
  <c r="N175" i="2"/>
  <c r="F171" i="2"/>
  <c r="E171" i="2"/>
  <c r="D171" i="2"/>
  <c r="G171" i="2"/>
  <c r="M171" i="2"/>
  <c r="L171" i="2"/>
  <c r="K171" i="2"/>
  <c r="H171" i="2"/>
  <c r="J171" i="2"/>
  <c r="I171" i="2"/>
  <c r="N171" i="2"/>
  <c r="F163" i="2"/>
  <c r="E163" i="2"/>
  <c r="D163" i="2"/>
  <c r="G163" i="2"/>
  <c r="M163" i="2"/>
  <c r="H163" i="2"/>
  <c r="K163" i="2"/>
  <c r="J163" i="2"/>
  <c r="I163" i="2"/>
  <c r="L163" i="2"/>
  <c r="N163" i="2"/>
  <c r="F159" i="2"/>
  <c r="E159" i="2"/>
  <c r="D159" i="2"/>
  <c r="G159" i="2"/>
  <c r="M159" i="2"/>
  <c r="J159" i="2"/>
  <c r="L159" i="2"/>
  <c r="K159" i="2"/>
  <c r="H159" i="2"/>
  <c r="N159" i="2"/>
  <c r="I159" i="2"/>
  <c r="F151" i="2"/>
  <c r="E151" i="2"/>
  <c r="D151" i="2"/>
  <c r="G151" i="2"/>
  <c r="M151" i="2"/>
  <c r="I151" i="2"/>
  <c r="N151" i="2"/>
  <c r="K151" i="2"/>
  <c r="H151" i="2"/>
  <c r="J151" i="2"/>
  <c r="L151" i="2"/>
  <c r="F147" i="2"/>
  <c r="E147" i="2"/>
  <c r="D147" i="2"/>
  <c r="G147" i="2"/>
  <c r="M147" i="2"/>
  <c r="K147" i="2"/>
  <c r="J147" i="2"/>
  <c r="I147" i="2"/>
  <c r="L147" i="2"/>
  <c r="H147" i="2"/>
  <c r="N147" i="2"/>
  <c r="F139" i="2"/>
  <c r="E139" i="2"/>
  <c r="D139" i="2"/>
  <c r="G139" i="2"/>
  <c r="M139" i="2"/>
  <c r="L139" i="2"/>
  <c r="K139" i="2"/>
  <c r="H139" i="2"/>
  <c r="I139" i="2"/>
  <c r="N139" i="2"/>
  <c r="J139" i="2"/>
  <c r="F131" i="2"/>
  <c r="E131" i="2"/>
  <c r="D131" i="2"/>
  <c r="G131" i="2"/>
  <c r="M131" i="2"/>
  <c r="H131" i="2"/>
  <c r="K131" i="2"/>
  <c r="J131" i="2"/>
  <c r="L131" i="2"/>
  <c r="I131" i="2"/>
  <c r="N131" i="2"/>
  <c r="F127" i="2"/>
  <c r="E127" i="2"/>
  <c r="D127" i="2"/>
  <c r="G127" i="2"/>
  <c r="M127" i="2"/>
  <c r="J127" i="2"/>
  <c r="I127" i="2"/>
  <c r="L127" i="2"/>
  <c r="K127" i="2"/>
  <c r="N127" i="2"/>
  <c r="H127" i="2"/>
  <c r="C119" i="2"/>
  <c r="F119" i="2"/>
  <c r="E119" i="2"/>
  <c r="D119" i="2"/>
  <c r="G119" i="2"/>
  <c r="M119" i="2"/>
  <c r="H119" i="2"/>
  <c r="K119" i="2"/>
  <c r="N119" i="2"/>
  <c r="J119" i="2"/>
  <c r="I119" i="2"/>
  <c r="L119" i="2"/>
  <c r="C115" i="2"/>
  <c r="F115" i="2"/>
  <c r="E115" i="2"/>
  <c r="D115" i="2"/>
  <c r="G115" i="2"/>
  <c r="M115" i="2"/>
  <c r="K115" i="2"/>
  <c r="J115" i="2"/>
  <c r="L115" i="2"/>
  <c r="H115" i="2"/>
  <c r="I115" i="2"/>
  <c r="N115" i="2"/>
  <c r="C107" i="2"/>
  <c r="F107" i="2"/>
  <c r="E107" i="2"/>
  <c r="D107" i="2"/>
  <c r="G107" i="2"/>
  <c r="M107" i="2"/>
  <c r="L107" i="2"/>
  <c r="K107" i="2"/>
  <c r="H107" i="2"/>
  <c r="N107" i="2"/>
  <c r="J107" i="2"/>
  <c r="I107" i="2"/>
  <c r="C99" i="2"/>
  <c r="F99" i="2"/>
  <c r="E99" i="2"/>
  <c r="D99" i="2"/>
  <c r="G99" i="2"/>
  <c r="M99" i="2"/>
  <c r="H99" i="2"/>
  <c r="K99" i="2"/>
  <c r="J99" i="2"/>
  <c r="L99" i="2"/>
  <c r="N99" i="2"/>
  <c r="I99" i="2"/>
  <c r="C95" i="2"/>
  <c r="F95" i="2"/>
  <c r="E95" i="2"/>
  <c r="D95" i="2"/>
  <c r="G95" i="2"/>
  <c r="M95" i="2"/>
  <c r="J95" i="2"/>
  <c r="L95" i="2"/>
  <c r="K95" i="2"/>
  <c r="H95" i="2"/>
  <c r="I95" i="2"/>
  <c r="N95" i="2"/>
  <c r="C87" i="2"/>
  <c r="F87" i="2"/>
  <c r="E87" i="2"/>
  <c r="D87" i="2"/>
  <c r="G87" i="2"/>
  <c r="M87" i="2"/>
  <c r="I87" i="2"/>
  <c r="N87" i="2"/>
  <c r="K87" i="2"/>
  <c r="J87" i="2"/>
  <c r="L87" i="2"/>
  <c r="H87" i="2"/>
  <c r="C79" i="2"/>
  <c r="F79" i="2"/>
  <c r="D79" i="2"/>
  <c r="E79" i="2"/>
  <c r="G79" i="2"/>
  <c r="M79" i="2"/>
  <c r="J79" i="2"/>
  <c r="H79" i="2"/>
  <c r="L79" i="2"/>
  <c r="K79" i="2"/>
  <c r="N79" i="2"/>
  <c r="I79" i="2"/>
  <c r="C75" i="2"/>
  <c r="F75" i="2"/>
  <c r="E75" i="2"/>
  <c r="D75" i="2"/>
  <c r="G75" i="2"/>
  <c r="M75" i="2"/>
  <c r="L75" i="2"/>
  <c r="K75" i="2"/>
  <c r="H75" i="2"/>
  <c r="I75" i="2"/>
  <c r="N75" i="2"/>
  <c r="J75" i="2"/>
  <c r="C67" i="2"/>
  <c r="F67" i="2"/>
  <c r="E67" i="2"/>
  <c r="D67" i="2"/>
  <c r="G67" i="2"/>
  <c r="M67" i="2"/>
  <c r="H67" i="2"/>
  <c r="I67" i="2"/>
  <c r="K67" i="2"/>
  <c r="J67" i="2"/>
  <c r="L67" i="2"/>
  <c r="N67" i="2"/>
  <c r="C59" i="2"/>
  <c r="F59" i="2"/>
  <c r="E59" i="2"/>
  <c r="D59" i="2"/>
  <c r="G59" i="2"/>
  <c r="M59" i="2"/>
  <c r="L59" i="2"/>
  <c r="K59" i="2"/>
  <c r="I59" i="2"/>
  <c r="J59" i="2"/>
  <c r="H59" i="2"/>
  <c r="N59" i="2"/>
  <c r="C55" i="2"/>
  <c r="F55" i="2"/>
  <c r="E55" i="2"/>
  <c r="D55" i="2"/>
  <c r="G55" i="2"/>
  <c r="M55" i="2"/>
  <c r="K55" i="2"/>
  <c r="J55" i="2"/>
  <c r="H55" i="2"/>
  <c r="I55" i="2"/>
  <c r="N55" i="2"/>
  <c r="L55" i="2"/>
  <c r="C47" i="2"/>
  <c r="F47" i="2"/>
  <c r="D47" i="2"/>
  <c r="E47" i="2"/>
  <c r="G47" i="2"/>
  <c r="M47" i="2"/>
  <c r="J47" i="2"/>
  <c r="L47" i="2"/>
  <c r="K47" i="2"/>
  <c r="H47" i="2"/>
  <c r="N47" i="2"/>
  <c r="I47" i="2"/>
  <c r="C43" i="2"/>
  <c r="F43" i="2"/>
  <c r="D43" i="2"/>
  <c r="E43" i="2"/>
  <c r="G43" i="2"/>
  <c r="M43" i="2"/>
  <c r="L43" i="2"/>
  <c r="N43" i="2"/>
  <c r="K43" i="2"/>
  <c r="H43" i="2"/>
  <c r="J43" i="2"/>
  <c r="I43" i="2"/>
  <c r="C39" i="2"/>
  <c r="F39" i="2"/>
  <c r="E39" i="2"/>
  <c r="D39" i="2"/>
  <c r="G39" i="2"/>
  <c r="M39" i="2"/>
  <c r="K39" i="2"/>
  <c r="J39" i="2"/>
  <c r="H39" i="2"/>
  <c r="N39" i="2"/>
  <c r="L39" i="2"/>
  <c r="I39" i="2"/>
  <c r="C31" i="2"/>
  <c r="F31" i="2"/>
  <c r="D31" i="2"/>
  <c r="E31" i="2"/>
  <c r="G31" i="2"/>
  <c r="M31" i="2"/>
  <c r="J31" i="2"/>
  <c r="L31" i="2"/>
  <c r="K31" i="2"/>
  <c r="H31" i="2"/>
  <c r="I31" i="2"/>
  <c r="N31" i="2"/>
  <c r="C27" i="2"/>
  <c r="F27" i="2"/>
  <c r="D27" i="2"/>
  <c r="E27" i="2"/>
  <c r="G27" i="2"/>
  <c r="M27" i="2"/>
  <c r="L27" i="2"/>
  <c r="I27" i="2"/>
  <c r="K27" i="2"/>
  <c r="N27" i="2"/>
  <c r="J27" i="2"/>
  <c r="H27" i="2"/>
  <c r="C23" i="2"/>
  <c r="F23" i="2"/>
  <c r="D23" i="2"/>
  <c r="E23" i="2"/>
  <c r="G23" i="2"/>
  <c r="M23" i="2"/>
  <c r="I23" i="2"/>
  <c r="N23" i="2"/>
  <c r="K23" i="2"/>
  <c r="H23" i="2"/>
  <c r="J23" i="2"/>
  <c r="L23" i="2"/>
  <c r="C21" i="2"/>
  <c r="F21" i="2"/>
  <c r="E21" i="2"/>
  <c r="D21" i="2"/>
  <c r="G21" i="2"/>
  <c r="M21" i="2"/>
  <c r="H21" i="2"/>
  <c r="J21" i="2"/>
  <c r="K21" i="2"/>
  <c r="N21" i="2"/>
  <c r="L21" i="2"/>
  <c r="I21" i="2"/>
  <c r="F294" i="2"/>
  <c r="E294" i="2"/>
  <c r="D294" i="2"/>
  <c r="G294" i="2"/>
  <c r="M294" i="2"/>
  <c r="L294" i="2"/>
  <c r="I294" i="2"/>
  <c r="K294" i="2"/>
  <c r="J294" i="2"/>
  <c r="N294" i="2"/>
  <c r="H294" i="2"/>
  <c r="F290" i="2"/>
  <c r="E290" i="2"/>
  <c r="D290" i="2"/>
  <c r="G290" i="2"/>
  <c r="M290" i="2"/>
  <c r="J290" i="2"/>
  <c r="K290" i="2"/>
  <c r="H290" i="2"/>
  <c r="N290" i="2"/>
  <c r="I290" i="2"/>
  <c r="L290" i="2"/>
  <c r="F286" i="2"/>
  <c r="E286" i="2"/>
  <c r="D286" i="2"/>
  <c r="G286" i="2"/>
  <c r="M286" i="2"/>
  <c r="I286" i="2"/>
  <c r="K286" i="2"/>
  <c r="N286" i="2"/>
  <c r="L286" i="2"/>
  <c r="J286" i="2"/>
  <c r="H286" i="2"/>
  <c r="F282" i="2"/>
  <c r="E282" i="2"/>
  <c r="D282" i="2"/>
  <c r="G282" i="2"/>
  <c r="M282" i="2"/>
  <c r="L282" i="2"/>
  <c r="K282" i="2"/>
  <c r="H282" i="2"/>
  <c r="I282" i="2"/>
  <c r="N282" i="2"/>
  <c r="J282" i="2"/>
  <c r="F278" i="2"/>
  <c r="E278" i="2"/>
  <c r="D278" i="2"/>
  <c r="G278" i="2"/>
  <c r="M278" i="2"/>
  <c r="L278" i="2"/>
  <c r="K278" i="2"/>
  <c r="J278" i="2"/>
  <c r="N278" i="2"/>
  <c r="I278" i="2"/>
  <c r="H278" i="2"/>
  <c r="F274" i="2"/>
  <c r="E274" i="2"/>
  <c r="D274" i="2"/>
  <c r="G274" i="2"/>
  <c r="M274" i="2"/>
  <c r="K274" i="2"/>
  <c r="J274" i="2"/>
  <c r="I274" i="2"/>
  <c r="H274" i="2"/>
  <c r="N274" i="2"/>
  <c r="L274" i="2"/>
  <c r="F270" i="2"/>
  <c r="E270" i="2"/>
  <c r="D270" i="2"/>
  <c r="G270" i="2"/>
  <c r="M270" i="2"/>
  <c r="K270" i="2"/>
  <c r="N270" i="2"/>
  <c r="L270" i="2"/>
  <c r="I270" i="2"/>
  <c r="J270" i="2"/>
  <c r="H270" i="2"/>
  <c r="F266" i="2"/>
  <c r="E266" i="2"/>
  <c r="D266" i="2"/>
  <c r="G266" i="2"/>
  <c r="M266" i="2"/>
  <c r="L266" i="2"/>
  <c r="K266" i="2"/>
  <c r="H266" i="2"/>
  <c r="N266" i="2"/>
  <c r="J266" i="2"/>
  <c r="I266" i="2"/>
  <c r="F262" i="2"/>
  <c r="E262" i="2"/>
  <c r="D262" i="2"/>
  <c r="G262" i="2"/>
  <c r="M262" i="2"/>
  <c r="L262" i="2"/>
  <c r="K262" i="2"/>
  <c r="J262" i="2"/>
  <c r="N262" i="2"/>
  <c r="H262" i="2"/>
  <c r="I262" i="2"/>
  <c r="F258" i="2"/>
  <c r="E258" i="2"/>
  <c r="D258" i="2"/>
  <c r="G258" i="2"/>
  <c r="M258" i="2"/>
  <c r="J258" i="2"/>
  <c r="K258" i="2"/>
  <c r="H258" i="2"/>
  <c r="I258" i="2"/>
  <c r="N258" i="2"/>
  <c r="L258" i="2"/>
  <c r="F254" i="2"/>
  <c r="E254" i="2"/>
  <c r="D254" i="2"/>
  <c r="G254" i="2"/>
  <c r="M254" i="2"/>
  <c r="K254" i="2"/>
  <c r="N254" i="2"/>
  <c r="L254" i="2"/>
  <c r="J254" i="2"/>
  <c r="H254" i="2"/>
  <c r="I254" i="2"/>
  <c r="F250" i="2"/>
  <c r="E250" i="2"/>
  <c r="D250" i="2"/>
  <c r="G250" i="2"/>
  <c r="M250" i="2"/>
  <c r="L250" i="2"/>
  <c r="K250" i="2"/>
  <c r="H250" i="2"/>
  <c r="N250" i="2"/>
  <c r="J250" i="2"/>
  <c r="I250" i="2"/>
  <c r="F246" i="2"/>
  <c r="E246" i="2"/>
  <c r="D246" i="2"/>
  <c r="G246" i="2"/>
  <c r="M246" i="2"/>
  <c r="L246" i="2"/>
  <c r="K246" i="2"/>
  <c r="J246" i="2"/>
  <c r="N246" i="2"/>
  <c r="H246" i="2"/>
  <c r="I246" i="2"/>
  <c r="F242" i="2"/>
  <c r="E242" i="2"/>
  <c r="G242" i="2"/>
  <c r="D242" i="2"/>
  <c r="M242" i="2"/>
  <c r="J242" i="2"/>
  <c r="K242" i="2"/>
  <c r="H242" i="2"/>
  <c r="I242" i="2"/>
  <c r="N242" i="2"/>
  <c r="L242" i="2"/>
  <c r="F238" i="2"/>
  <c r="E238" i="2"/>
  <c r="G238" i="2"/>
  <c r="D238" i="2"/>
  <c r="M238" i="2"/>
  <c r="I238" i="2"/>
  <c r="K238" i="2"/>
  <c r="N238" i="2"/>
  <c r="L238" i="2"/>
  <c r="J238" i="2"/>
  <c r="H238" i="2"/>
  <c r="F234" i="2"/>
  <c r="E234" i="2"/>
  <c r="D234" i="2"/>
  <c r="G234" i="2"/>
  <c r="M234" i="2"/>
  <c r="I234" i="2"/>
  <c r="L234" i="2"/>
  <c r="K234" i="2"/>
  <c r="H234" i="2"/>
  <c r="N234" i="2"/>
  <c r="J234" i="2"/>
  <c r="E230" i="2"/>
  <c r="F230" i="2"/>
  <c r="D230" i="2"/>
  <c r="G230" i="2"/>
  <c r="M230" i="2"/>
  <c r="L230" i="2"/>
  <c r="I230" i="2"/>
  <c r="K230" i="2"/>
  <c r="J230" i="2"/>
  <c r="N230" i="2"/>
  <c r="H230" i="2"/>
  <c r="E226" i="2"/>
  <c r="D226" i="2"/>
  <c r="F226" i="2"/>
  <c r="G226" i="2"/>
  <c r="M226" i="2"/>
  <c r="J226" i="2"/>
  <c r="K226" i="2"/>
  <c r="H226" i="2"/>
  <c r="N226" i="2"/>
  <c r="I226" i="2"/>
  <c r="L226" i="2"/>
  <c r="F222" i="2"/>
  <c r="E222" i="2"/>
  <c r="D222" i="2"/>
  <c r="G222" i="2"/>
  <c r="M222" i="2"/>
  <c r="K222" i="2"/>
  <c r="I222" i="2"/>
  <c r="N222" i="2"/>
  <c r="L222" i="2"/>
  <c r="J222" i="2"/>
  <c r="H222" i="2"/>
  <c r="F218" i="2"/>
  <c r="E218" i="2"/>
  <c r="D218" i="2"/>
  <c r="G218" i="2"/>
  <c r="M218" i="2"/>
  <c r="L218" i="2"/>
  <c r="K218" i="2"/>
  <c r="H218" i="2"/>
  <c r="I218" i="2"/>
  <c r="N218" i="2"/>
  <c r="J218" i="2"/>
  <c r="F214" i="2"/>
  <c r="E214" i="2"/>
  <c r="D214" i="2"/>
  <c r="G214" i="2"/>
  <c r="M214" i="2"/>
  <c r="L214" i="2"/>
  <c r="I214" i="2"/>
  <c r="K214" i="2"/>
  <c r="J214" i="2"/>
  <c r="N214" i="2"/>
  <c r="H214" i="2"/>
  <c r="E210" i="2"/>
  <c r="D210" i="2"/>
  <c r="F210" i="2"/>
  <c r="G210" i="2"/>
  <c r="M210" i="2"/>
  <c r="J210" i="2"/>
  <c r="K210" i="2"/>
  <c r="H210" i="2"/>
  <c r="N210" i="2"/>
  <c r="I210" i="2"/>
  <c r="L210" i="2"/>
  <c r="F206" i="2"/>
  <c r="E206" i="2"/>
  <c r="D206" i="2"/>
  <c r="G206" i="2"/>
  <c r="M206" i="2"/>
  <c r="K206" i="2"/>
  <c r="N206" i="2"/>
  <c r="L206" i="2"/>
  <c r="I206" i="2"/>
  <c r="J206" i="2"/>
  <c r="H206" i="2"/>
  <c r="F202" i="2"/>
  <c r="E202" i="2"/>
  <c r="D202" i="2"/>
  <c r="G202" i="2"/>
  <c r="M202" i="2"/>
  <c r="L202" i="2"/>
  <c r="K202" i="2"/>
  <c r="H202" i="2"/>
  <c r="J202" i="2"/>
  <c r="I202" i="2"/>
  <c r="N202" i="2"/>
  <c r="F198" i="2"/>
  <c r="E198" i="2"/>
  <c r="D198" i="2"/>
  <c r="G198" i="2"/>
  <c r="M198" i="2"/>
  <c r="L198" i="2"/>
  <c r="N198" i="2"/>
  <c r="K198" i="2"/>
  <c r="J198" i="2"/>
  <c r="I198" i="2"/>
  <c r="H198" i="2"/>
  <c r="E194" i="2"/>
  <c r="D194" i="2"/>
  <c r="F194" i="2"/>
  <c r="G194" i="2"/>
  <c r="M194" i="2"/>
  <c r="J194" i="2"/>
  <c r="K194" i="2"/>
  <c r="H194" i="2"/>
  <c r="N194" i="2"/>
  <c r="L194" i="2"/>
  <c r="I194" i="2"/>
  <c r="F190" i="2"/>
  <c r="E190" i="2"/>
  <c r="D190" i="2"/>
  <c r="G190" i="2"/>
  <c r="M190" i="2"/>
  <c r="K190" i="2"/>
  <c r="N190" i="2"/>
  <c r="L190" i="2"/>
  <c r="H190" i="2"/>
  <c r="J190" i="2"/>
  <c r="I190" i="2"/>
  <c r="F186" i="2"/>
  <c r="E186" i="2"/>
  <c r="D186" i="2"/>
  <c r="G186" i="2"/>
  <c r="M186" i="2"/>
  <c r="K186" i="2"/>
  <c r="H186" i="2"/>
  <c r="L186" i="2"/>
  <c r="J186" i="2"/>
  <c r="I186" i="2"/>
  <c r="N186" i="2"/>
  <c r="F182" i="2"/>
  <c r="E182" i="2"/>
  <c r="D182" i="2"/>
  <c r="G182" i="2"/>
  <c r="M182" i="2"/>
  <c r="L182" i="2"/>
  <c r="K182" i="2"/>
  <c r="N182" i="2"/>
  <c r="J182" i="2"/>
  <c r="I182" i="2"/>
  <c r="H182" i="2"/>
  <c r="F178" i="2"/>
  <c r="E178" i="2"/>
  <c r="G178" i="2"/>
  <c r="D178" i="2"/>
  <c r="M178" i="2"/>
  <c r="K178" i="2"/>
  <c r="J178" i="2"/>
  <c r="H178" i="2"/>
  <c r="I178" i="2"/>
  <c r="N178" i="2"/>
  <c r="L178" i="2"/>
  <c r="E174" i="2"/>
  <c r="F174" i="2"/>
  <c r="D174" i="2"/>
  <c r="G174" i="2"/>
  <c r="M174" i="2"/>
  <c r="K174" i="2"/>
  <c r="I174" i="2"/>
  <c r="L174" i="2"/>
  <c r="H174" i="2"/>
  <c r="J174" i="2"/>
  <c r="N174" i="2"/>
  <c r="F170" i="2"/>
  <c r="E170" i="2"/>
  <c r="D170" i="2"/>
  <c r="G170" i="2"/>
  <c r="M170" i="2"/>
  <c r="K170" i="2"/>
  <c r="H170" i="2"/>
  <c r="I170" i="2"/>
  <c r="L170" i="2"/>
  <c r="J170" i="2"/>
  <c r="N170" i="2"/>
  <c r="F166" i="2"/>
  <c r="E166" i="2"/>
  <c r="D166" i="2"/>
  <c r="G166" i="2"/>
  <c r="M166" i="2"/>
  <c r="L166" i="2"/>
  <c r="K166" i="2"/>
  <c r="J166" i="2"/>
  <c r="N166" i="2"/>
  <c r="H166" i="2"/>
  <c r="I166" i="2"/>
  <c r="F162" i="2"/>
  <c r="E162" i="2"/>
  <c r="D162" i="2"/>
  <c r="G162" i="2"/>
  <c r="M162" i="2"/>
  <c r="K162" i="2"/>
  <c r="J162" i="2"/>
  <c r="H162" i="2"/>
  <c r="I162" i="2"/>
  <c r="L162" i="2"/>
  <c r="N162" i="2"/>
  <c r="E158" i="2"/>
  <c r="F158" i="2"/>
  <c r="G158" i="2"/>
  <c r="D158" i="2"/>
  <c r="M158" i="2"/>
  <c r="K158" i="2"/>
  <c r="I158" i="2"/>
  <c r="N158" i="2"/>
  <c r="L158" i="2"/>
  <c r="H158" i="2"/>
  <c r="J158" i="2"/>
  <c r="F154" i="2"/>
  <c r="E154" i="2"/>
  <c r="D154" i="2"/>
  <c r="G154" i="2"/>
  <c r="M154" i="2"/>
  <c r="K154" i="2"/>
  <c r="H154" i="2"/>
  <c r="L154" i="2"/>
  <c r="I154" i="2"/>
  <c r="J154" i="2"/>
  <c r="N154" i="2"/>
  <c r="F150" i="2"/>
  <c r="E150" i="2"/>
  <c r="D150" i="2"/>
  <c r="G150" i="2"/>
  <c r="M150" i="2"/>
  <c r="L150" i="2"/>
  <c r="K150" i="2"/>
  <c r="J150" i="2"/>
  <c r="H150" i="2"/>
  <c r="I150" i="2"/>
  <c r="N150" i="2"/>
  <c r="F146" i="2"/>
  <c r="E146" i="2"/>
  <c r="D146" i="2"/>
  <c r="G146" i="2"/>
  <c r="M146" i="2"/>
  <c r="K146" i="2"/>
  <c r="J146" i="2"/>
  <c r="H146" i="2"/>
  <c r="I146" i="2"/>
  <c r="N146" i="2"/>
  <c r="L146" i="2"/>
  <c r="E142" i="2"/>
  <c r="F142" i="2"/>
  <c r="G142" i="2"/>
  <c r="D142" i="2"/>
  <c r="M142" i="2"/>
  <c r="K142" i="2"/>
  <c r="L142" i="2"/>
  <c r="H142" i="2"/>
  <c r="I142" i="2"/>
  <c r="J142" i="2"/>
  <c r="N142" i="2"/>
  <c r="D138" i="2"/>
  <c r="F138" i="2"/>
  <c r="E138" i="2"/>
  <c r="G138" i="2"/>
  <c r="M138" i="2"/>
  <c r="K138" i="2"/>
  <c r="H138" i="2"/>
  <c r="N138" i="2"/>
  <c r="L138" i="2"/>
  <c r="J138" i="2"/>
  <c r="I138" i="2"/>
  <c r="F134" i="2"/>
  <c r="D134" i="2"/>
  <c r="E134" i="2"/>
  <c r="G134" i="2"/>
  <c r="M134" i="2"/>
  <c r="L134" i="2"/>
  <c r="K134" i="2"/>
  <c r="J134" i="2"/>
  <c r="N134" i="2"/>
  <c r="H134" i="2"/>
  <c r="I134" i="2"/>
  <c r="F130" i="2"/>
  <c r="D130" i="2"/>
  <c r="E130" i="2"/>
  <c r="G130" i="2"/>
  <c r="M130" i="2"/>
  <c r="K130" i="2"/>
  <c r="J130" i="2"/>
  <c r="H130" i="2"/>
  <c r="I130" i="2"/>
  <c r="L130" i="2"/>
  <c r="N130" i="2"/>
  <c r="F126" i="2"/>
  <c r="D126" i="2"/>
  <c r="E126" i="2"/>
  <c r="G126" i="2"/>
  <c r="M126" i="2"/>
  <c r="K126" i="2"/>
  <c r="N126" i="2"/>
  <c r="L126" i="2"/>
  <c r="H126" i="2"/>
  <c r="J126" i="2"/>
  <c r="I126" i="2"/>
  <c r="D122" i="2"/>
  <c r="F122" i="2"/>
  <c r="E122" i="2"/>
  <c r="G122" i="2"/>
  <c r="M122" i="2"/>
  <c r="K122" i="2"/>
  <c r="H122" i="2"/>
  <c r="L122" i="2"/>
  <c r="J122" i="2"/>
  <c r="I122" i="2"/>
  <c r="N122" i="2"/>
  <c r="C118" i="2"/>
  <c r="F118" i="2"/>
  <c r="D118" i="2"/>
  <c r="E118" i="2"/>
  <c r="G118" i="2"/>
  <c r="M118" i="2"/>
  <c r="L118" i="2"/>
  <c r="K118" i="2"/>
  <c r="J118" i="2"/>
  <c r="H118" i="2"/>
  <c r="N118" i="2"/>
  <c r="I118" i="2"/>
  <c r="C114" i="2"/>
  <c r="F114" i="2"/>
  <c r="D114" i="2"/>
  <c r="E114" i="2"/>
  <c r="G114" i="2"/>
  <c r="M114" i="2"/>
  <c r="K114" i="2"/>
  <c r="J114" i="2"/>
  <c r="H114" i="2"/>
  <c r="I114" i="2"/>
  <c r="N114" i="2"/>
  <c r="L114" i="2"/>
  <c r="C110" i="2"/>
  <c r="F110" i="2"/>
  <c r="D110" i="2"/>
  <c r="E110" i="2"/>
  <c r="G110" i="2"/>
  <c r="M110" i="2"/>
  <c r="K110" i="2"/>
  <c r="I110" i="2"/>
  <c r="L110" i="2"/>
  <c r="H110" i="2"/>
  <c r="J110" i="2"/>
  <c r="N110" i="2"/>
  <c r="C106" i="2"/>
  <c r="F106" i="2"/>
  <c r="D106" i="2"/>
  <c r="E106" i="2"/>
  <c r="G106" i="2"/>
  <c r="M106" i="2"/>
  <c r="K106" i="2"/>
  <c r="H106" i="2"/>
  <c r="I106" i="2"/>
  <c r="N106" i="2"/>
  <c r="L106" i="2"/>
  <c r="J106" i="2"/>
  <c r="C102" i="2"/>
  <c r="F102" i="2"/>
  <c r="D102" i="2"/>
  <c r="E102" i="2"/>
  <c r="G102" i="2"/>
  <c r="M102" i="2"/>
  <c r="L102" i="2"/>
  <c r="K102" i="2"/>
  <c r="I102" i="2"/>
  <c r="J102" i="2"/>
  <c r="H102" i="2"/>
  <c r="N102" i="2"/>
  <c r="C98" i="2"/>
  <c r="F98" i="2"/>
  <c r="D98" i="2"/>
  <c r="E98" i="2"/>
  <c r="G98" i="2"/>
  <c r="M98" i="2"/>
  <c r="K98" i="2"/>
  <c r="J98" i="2"/>
  <c r="H98" i="2"/>
  <c r="N98" i="2"/>
  <c r="I98" i="2"/>
  <c r="L98" i="2"/>
  <c r="C94" i="2"/>
  <c r="F94" i="2"/>
  <c r="D94" i="2"/>
  <c r="E94" i="2"/>
  <c r="G94" i="2"/>
  <c r="M94" i="2"/>
  <c r="K94" i="2"/>
  <c r="N94" i="2"/>
  <c r="I94" i="2"/>
  <c r="L94" i="2"/>
  <c r="H94" i="2"/>
  <c r="J94" i="2"/>
  <c r="C90" i="2"/>
  <c r="F90" i="2"/>
  <c r="D90" i="2"/>
  <c r="E90" i="2"/>
  <c r="G90" i="2"/>
  <c r="M90" i="2"/>
  <c r="K90" i="2"/>
  <c r="H90" i="2"/>
  <c r="L90" i="2"/>
  <c r="I90" i="2"/>
  <c r="J90" i="2"/>
  <c r="N90" i="2"/>
  <c r="C86" i="2"/>
  <c r="D86" i="2"/>
  <c r="F86" i="2"/>
  <c r="E86" i="2"/>
  <c r="G86" i="2"/>
  <c r="M86" i="2"/>
  <c r="L86" i="2"/>
  <c r="K86" i="2"/>
  <c r="I86" i="2"/>
  <c r="N86" i="2"/>
  <c r="J86" i="2"/>
  <c r="H86" i="2"/>
  <c r="C82" i="2"/>
  <c r="F82" i="2"/>
  <c r="D82" i="2"/>
  <c r="E82" i="2"/>
  <c r="G82" i="2"/>
  <c r="M82" i="2"/>
  <c r="K82" i="2"/>
  <c r="J82" i="2"/>
  <c r="H82" i="2"/>
  <c r="N82" i="2"/>
  <c r="L82" i="2"/>
  <c r="I82" i="2"/>
  <c r="C78" i="2"/>
  <c r="F78" i="2"/>
  <c r="D78" i="2"/>
  <c r="E78" i="2"/>
  <c r="G78" i="2"/>
  <c r="M78" i="2"/>
  <c r="K78" i="2"/>
  <c r="N78" i="2"/>
  <c r="L78" i="2"/>
  <c r="H78" i="2"/>
  <c r="I78" i="2"/>
  <c r="J78" i="2"/>
  <c r="C74" i="2"/>
  <c r="F74" i="2"/>
  <c r="D74" i="2"/>
  <c r="E74" i="2"/>
  <c r="G74" i="2"/>
  <c r="M74" i="2"/>
  <c r="K74" i="2"/>
  <c r="H74" i="2"/>
  <c r="N74" i="2"/>
  <c r="L74" i="2"/>
  <c r="J74" i="2"/>
  <c r="I74" i="2"/>
  <c r="C70" i="2"/>
  <c r="F70" i="2"/>
  <c r="D70" i="2"/>
  <c r="E70" i="2"/>
  <c r="G70" i="2"/>
  <c r="M70" i="2"/>
  <c r="L70" i="2"/>
  <c r="K70" i="2"/>
  <c r="J70" i="2"/>
  <c r="I70" i="2"/>
  <c r="H70" i="2"/>
  <c r="N70" i="2"/>
  <c r="C66" i="2"/>
  <c r="F66" i="2"/>
  <c r="E66" i="2"/>
  <c r="G66" i="2"/>
  <c r="D66" i="2"/>
  <c r="M66" i="2"/>
  <c r="K66" i="2"/>
  <c r="J66" i="2"/>
  <c r="H66" i="2"/>
  <c r="N66" i="2"/>
  <c r="L66" i="2"/>
  <c r="I66" i="2"/>
  <c r="C62" i="2"/>
  <c r="F62" i="2"/>
  <c r="E62" i="2"/>
  <c r="G62" i="2"/>
  <c r="D62" i="2"/>
  <c r="M62" i="2"/>
  <c r="K62" i="2"/>
  <c r="N62" i="2"/>
  <c r="L62" i="2"/>
  <c r="H62" i="2"/>
  <c r="J62" i="2"/>
  <c r="I62" i="2"/>
  <c r="C58" i="2"/>
  <c r="F58" i="2"/>
  <c r="E58" i="2"/>
  <c r="D58" i="2"/>
  <c r="G58" i="2"/>
  <c r="M58" i="2"/>
  <c r="K58" i="2"/>
  <c r="H58" i="2"/>
  <c r="L58" i="2"/>
  <c r="J58" i="2"/>
  <c r="I58" i="2"/>
  <c r="N58" i="2"/>
  <c r="C54" i="2"/>
  <c r="F54" i="2"/>
  <c r="D54" i="2"/>
  <c r="E54" i="2"/>
  <c r="G54" i="2"/>
  <c r="M54" i="2"/>
  <c r="L54" i="2"/>
  <c r="K54" i="2"/>
  <c r="J54" i="2"/>
  <c r="I54" i="2"/>
  <c r="N54" i="2"/>
  <c r="H54" i="2"/>
  <c r="C50" i="2"/>
  <c r="F50" i="2"/>
  <c r="E50" i="2"/>
  <c r="D50" i="2"/>
  <c r="G50" i="2"/>
  <c r="M50" i="2"/>
  <c r="K50" i="2"/>
  <c r="J50" i="2"/>
  <c r="H50" i="2"/>
  <c r="L50" i="2"/>
  <c r="I50" i="2"/>
  <c r="N50" i="2"/>
  <c r="C46" i="2"/>
  <c r="F46" i="2"/>
  <c r="E46" i="2"/>
  <c r="D46" i="2"/>
  <c r="G46" i="2"/>
  <c r="M46" i="2"/>
  <c r="K46" i="2"/>
  <c r="I46" i="2"/>
  <c r="N46" i="2"/>
  <c r="L46" i="2"/>
  <c r="H46" i="2"/>
  <c r="J46" i="2"/>
  <c r="C42" i="2"/>
  <c r="F42" i="2"/>
  <c r="E42" i="2"/>
  <c r="G42" i="2"/>
  <c r="D42" i="2"/>
  <c r="M42" i="2"/>
  <c r="K42" i="2"/>
  <c r="H42" i="2"/>
  <c r="I42" i="2"/>
  <c r="L42" i="2"/>
  <c r="J42" i="2"/>
  <c r="N42" i="2"/>
  <c r="C38" i="2"/>
  <c r="F38" i="2"/>
  <c r="E38" i="2"/>
  <c r="D38" i="2"/>
  <c r="G38" i="2"/>
  <c r="M38" i="2"/>
  <c r="L38" i="2"/>
  <c r="K38" i="2"/>
  <c r="J38" i="2"/>
  <c r="N38" i="2"/>
  <c r="H38" i="2"/>
  <c r="I38" i="2"/>
  <c r="C34" i="2"/>
  <c r="F34" i="2"/>
  <c r="E34" i="2"/>
  <c r="D34" i="2"/>
  <c r="G34" i="2"/>
  <c r="M34" i="2"/>
  <c r="K34" i="2"/>
  <c r="J34" i="2"/>
  <c r="H34" i="2"/>
  <c r="I34" i="2"/>
  <c r="N34" i="2"/>
  <c r="L34" i="2"/>
  <c r="C30" i="2"/>
  <c r="F30" i="2"/>
  <c r="E30" i="2"/>
  <c r="D30" i="2"/>
  <c r="G30" i="2"/>
  <c r="M30" i="2"/>
  <c r="K30" i="2"/>
  <c r="N30" i="2"/>
  <c r="I30" i="2"/>
  <c r="L30" i="2"/>
  <c r="H30" i="2"/>
  <c r="J30" i="2"/>
  <c r="C26" i="2"/>
  <c r="F26" i="2"/>
  <c r="E26" i="2"/>
  <c r="D26" i="2"/>
  <c r="G26" i="2"/>
  <c r="M26" i="2"/>
  <c r="K26" i="2"/>
  <c r="H26" i="2"/>
  <c r="L26" i="2"/>
  <c r="I26" i="2"/>
  <c r="J26" i="2"/>
  <c r="N26" i="2"/>
  <c r="C22" i="2"/>
  <c r="F22" i="2"/>
  <c r="E22" i="2"/>
  <c r="D22" i="2"/>
  <c r="G22" i="2"/>
  <c r="M22" i="2"/>
  <c r="L22" i="2"/>
  <c r="K22" i="2"/>
  <c r="J22" i="2"/>
  <c r="H22" i="2"/>
  <c r="I22" i="2"/>
  <c r="N22" i="2"/>
  <c r="N14" i="2" l="1"/>
  <c r="V14" i="2"/>
  <c r="AA14" i="2"/>
  <c r="X14" i="2"/>
  <c r="Z14" i="2"/>
  <c r="Y14" i="2"/>
  <c r="W14" i="2"/>
  <c r="U14" i="2"/>
  <c r="T14" i="2"/>
  <c r="S14" i="2"/>
  <c r="R14" i="2"/>
  <c r="Q14" i="2"/>
  <c r="P14" i="2"/>
  <c r="M14" i="2"/>
  <c r="L14" i="2"/>
  <c r="K14" i="2"/>
  <c r="J14" i="2"/>
  <c r="I14" i="2"/>
  <c r="H14" i="2"/>
  <c r="G14" i="2"/>
  <c r="F14" i="2"/>
  <c r="E14" i="2"/>
  <c r="D14" i="2"/>
  <c r="C14" i="2"/>
  <c r="C16" i="2"/>
  <c r="U16" i="2"/>
  <c r="U17" i="2" s="1"/>
  <c r="X16" i="2"/>
  <c r="R16" i="2"/>
  <c r="R17" i="2" s="1"/>
  <c r="V16" i="2"/>
  <c r="P16" i="2"/>
  <c r="S16" i="2"/>
  <c r="W16" i="2"/>
  <c r="W17" i="2" s="1"/>
  <c r="T16" i="2"/>
  <c r="AA16" i="2"/>
  <c r="Q16" i="2"/>
  <c r="Q17" i="2" s="1"/>
  <c r="Y16" i="2"/>
  <c r="Y17" i="2" s="1"/>
  <c r="Z16" i="2"/>
  <c r="I16" i="2"/>
  <c r="I17" i="2" s="1"/>
  <c r="J16" i="2"/>
  <c r="J17" i="2" s="1"/>
  <c r="D16" i="2"/>
  <c r="D17" i="2" s="1"/>
  <c r="E16" i="2"/>
  <c r="N16" i="2"/>
  <c r="N17" i="2" s="1"/>
  <c r="M16" i="2"/>
  <c r="M17" i="2" s="1"/>
  <c r="F16" i="2"/>
  <c r="F17" i="2" s="1"/>
  <c r="L16" i="2"/>
  <c r="H16" i="2"/>
  <c r="H17" i="2" s="1"/>
  <c r="K16" i="2"/>
  <c r="K17" i="2" s="1"/>
  <c r="G16" i="2"/>
  <c r="G17" i="2" s="1"/>
  <c r="T17" i="2"/>
  <c r="V17" i="2"/>
  <c r="X17" i="2"/>
  <c r="S17" i="2"/>
  <c r="P17" i="2"/>
  <c r="Z17" i="2"/>
  <c r="I11" i="2"/>
  <c r="I12" i="2" s="1"/>
  <c r="J11" i="2"/>
  <c r="J12" i="2" s="1"/>
  <c r="X11" i="2"/>
  <c r="X12" i="2" s="1"/>
  <c r="G11" i="2"/>
  <c r="G12" i="2" s="1"/>
  <c r="Q11" i="2"/>
  <c r="Q12" i="2" s="1"/>
  <c r="Y11" i="2"/>
  <c r="Y12" i="2" s="1"/>
  <c r="L11" i="2"/>
  <c r="L12" i="2" s="1"/>
  <c r="H11" i="2"/>
  <c r="H12" i="2" s="1"/>
  <c r="S11" i="2"/>
  <c r="S12" i="2" s="1"/>
  <c r="P11" i="2"/>
  <c r="P12" i="2" s="1"/>
  <c r="E11" i="2"/>
  <c r="E12" i="2" s="1"/>
  <c r="W11" i="2"/>
  <c r="W12" i="2" s="1"/>
  <c r="N11" i="2"/>
  <c r="N12" i="2" s="1"/>
  <c r="M11" i="2"/>
  <c r="M12" i="2" s="1"/>
  <c r="U11" i="2"/>
  <c r="U12" i="2" s="1"/>
  <c r="D11" i="2"/>
  <c r="D12" i="2" s="1"/>
  <c r="R11" i="2"/>
  <c r="R12" i="2" s="1"/>
  <c r="F11" i="2"/>
  <c r="F12" i="2" s="1"/>
  <c r="K11" i="2"/>
  <c r="K12" i="2" s="1"/>
  <c r="AA11" i="2"/>
  <c r="AA12" i="2" s="1"/>
  <c r="V11" i="2"/>
  <c r="V12" i="2" s="1"/>
  <c r="T11" i="2"/>
  <c r="T12" i="2" s="1"/>
  <c r="Z11" i="2"/>
  <c r="Z12" i="2" s="1"/>
  <c r="C11" i="2"/>
  <c r="C12" i="2" s="1"/>
  <c r="AA17" i="2"/>
  <c r="I10" i="2"/>
  <c r="J10" i="2"/>
  <c r="X10" i="2"/>
  <c r="G10" i="2"/>
  <c r="Q10" i="2"/>
  <c r="Y10" i="2"/>
  <c r="L10" i="2"/>
  <c r="L17" i="2"/>
  <c r="H10" i="2"/>
  <c r="S10" i="2"/>
  <c r="P10" i="2"/>
  <c r="E17" i="2"/>
  <c r="E10" i="2"/>
  <c r="W10" i="2"/>
  <c r="N10" i="2"/>
  <c r="M10" i="2"/>
  <c r="U10" i="2"/>
  <c r="D10" i="2"/>
  <c r="R10" i="2"/>
  <c r="F10" i="2"/>
  <c r="K10" i="2"/>
  <c r="AA10" i="2"/>
  <c r="V10" i="2"/>
  <c r="T10" i="2"/>
  <c r="Z10" i="2"/>
  <c r="C17" i="2"/>
  <c r="C10" i="2"/>
</calcChain>
</file>

<file path=xl/sharedStrings.xml><?xml version="1.0" encoding="utf-8"?>
<sst xmlns="http://schemas.openxmlformats.org/spreadsheetml/2006/main" count="83" uniqueCount="35">
  <si>
    <t>AcAcCoA</t>
  </si>
  <si>
    <t>absorbance blank</t>
  </si>
  <si>
    <t>Extinction coeff NAD(P)H</t>
  </si>
  <si>
    <t>Extinction coeff AcAcCoA</t>
  </si>
  <si>
    <t>pathlength (cm)</t>
  </si>
  <si>
    <t>Time</t>
  </si>
  <si>
    <t>time (s)</t>
  </si>
  <si>
    <t>NADH</t>
  </si>
  <si>
    <t>[Enzyme] (uM)</t>
  </si>
  <si>
    <t>slopes</t>
  </si>
  <si>
    <t>Minimal absorbance during stabilization phase</t>
  </si>
  <si>
    <t>expected absorbance of the initial mix</t>
  </si>
  <si>
    <t>Minimal absorbance in last two minutes</t>
  </si>
  <si>
    <t>specific slopes</t>
  </si>
  <si>
    <t>C1</t>
  </si>
  <si>
    <t>C2</t>
  </si>
  <si>
    <t>C3</t>
  </si>
  <si>
    <t>NADPH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</si>
  <si>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</si>
  <si>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</si>
  <si>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</si>
  <si>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</si>
  <si>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</si>
  <si>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</si>
  <si>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</si>
  <si>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</si>
  <si>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</si>
  <si>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kdeg NADH (s-1)</t>
  </si>
  <si>
    <t>kdeg NADPH (s-1)</t>
  </si>
  <si>
    <t>calculated Product concentration at t=0 (uM)</t>
  </si>
  <si>
    <t>calculated AcAcCoA concentration at t=0 (uM)</t>
  </si>
  <si>
    <t>percent of substrate at t=0</t>
  </si>
  <si>
    <t>maximum [product] in 1 hour</t>
  </si>
  <si>
    <t>Vo (umolP/umolE/s)</t>
  </si>
  <si>
    <t>AcAcCoA t=0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</si>
</sst>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0" borderId="0" xfId="0" applyFont="1" applyFill="1"/>
    <xf numFmtId="1" fontId="8" fillId="0" borderId="1" xfId="0" applyNumberFormat="1" applyFont="1" applyFill="1" applyBorder="1" applyAlignment="1">
      <alignment horizontal="center" vertical="center" wrapText="1"/>
    </xf>
    <xf numFmtId="21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164" fontId="0" fillId="0" borderId="0" xfId="0" applyNumberFormat="1" applyFont="1" applyAlignment="1">
      <alignment horizontal="center"/>
    </xf>
    <xf numFmtId="165" fontId="0" fillId="0" borderId="0" xfId="0" applyNumberFormat="1" applyFill="1" applyAlignment="1">
      <alignment horizontal="center"/>
    </xf>
    <xf numFmtId="21" fontId="6" fillId="0" borderId="3" xfId="0" applyNumberFormat="1" applyFont="1" applyBorder="1" applyAlignment="1">
      <alignment horizontal="center" vertical="center" wrapText="1"/>
    </xf>
    <xf numFmtId="2" fontId="4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2" fontId="0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Fill="1"/>
    <xf numFmtId="1" fontId="0" fillId="0" borderId="0" xfId="0" applyNumberFormat="1" applyFill="1" applyAlignment="1">
      <alignment horizontal="center"/>
    </xf>
    <xf numFmtId="2" fontId="0" fillId="0" borderId="0" xfId="0" applyNumberFormat="1" applyFill="1"/>
    <xf numFmtId="21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</cellXfs>
  <cellStyles count="7">
    <cellStyle name="Hiperlink" xfId="1" builtinId="8" hidden="1"/>
    <cellStyle name="Hiperlink" xfId="3" builtinId="8" hidden="1"/>
    <cellStyle name="Hiperlink" xfId="5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Normal" xfId="0" builtinId="0"/>
  </cellStyles>
  <dxfs count="5">
    <dxf>
      <font>
        <color rgb="FFFF0000"/>
      </font>
      <fill>
        <patternFill>
          <fgColor rgb="FFFF0000"/>
          <bgColor rgb="FFFFC000"/>
        </patternFill>
      </fill>
    </dxf>
    <dxf>
      <font>
        <color rgb="FFFF0000"/>
      </font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experimental values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 vs S'!$A$2:$A$13</c:f>
              <c:numCache>
                <c:formatCode>0</c:formatCode>
                <c:ptCount val="12"/>
                <c:pt idx="0">
                  <c:v>23.493167398731117</c:v>
                </c:pt>
                <c:pt idx="1">
                  <c:v>25.122010736944798</c:v>
                </c:pt>
                <c:pt idx="2">
                  <c:v>30.941922889214169</c:v>
                </c:pt>
                <c:pt idx="3">
                  <c:v>28.757930697901436</c:v>
                </c:pt>
                <c:pt idx="4">
                  <c:v>32.625671059053353</c:v>
                </c:pt>
                <c:pt idx="5">
                  <c:v>36.981454367984192</c:v>
                </c:pt>
                <c:pt idx="6">
                  <c:v>59.608345534406929</c:v>
                </c:pt>
                <c:pt idx="7">
                  <c:v>70.284285017081615</c:v>
                </c:pt>
                <c:pt idx="8">
                  <c:v>81.10663738408978</c:v>
                </c:pt>
                <c:pt idx="9">
                  <c:v>86.408003904343659</c:v>
                </c:pt>
                <c:pt idx="10">
                  <c:v>99.932894094680492</c:v>
                </c:pt>
                <c:pt idx="11">
                  <c:v>199.39604685212311</c:v>
                </c:pt>
              </c:numCache>
            </c:numRef>
          </c:xVal>
          <c:yVal>
            <c:numRef>
              <c:f>'Vo vs S'!$B$2:$B$13</c:f>
              <c:numCache>
                <c:formatCode>0.00</c:formatCode>
                <c:ptCount val="12"/>
                <c:pt idx="0">
                  <c:v>24.329521950312323</c:v>
                </c:pt>
                <c:pt idx="1">
                  <c:v>50.983057937669493</c:v>
                </c:pt>
                <c:pt idx="2">
                  <c:v>100.94935973413263</c:v>
                </c:pt>
                <c:pt idx="3">
                  <c:v>71.027679007181106</c:v>
                </c:pt>
                <c:pt idx="4">
                  <c:v>88.96616235562098</c:v>
                </c:pt>
                <c:pt idx="5">
                  <c:v>72.698064096306069</c:v>
                </c:pt>
                <c:pt idx="6">
                  <c:v>54.033326361291714</c:v>
                </c:pt>
                <c:pt idx="7">
                  <c:v>37.692602663318674</c:v>
                </c:pt>
                <c:pt idx="8">
                  <c:v>40.742871086938962</c:v>
                </c:pt>
                <c:pt idx="9">
                  <c:v>32.463571079969121</c:v>
                </c:pt>
                <c:pt idx="10">
                  <c:v>38.927235120500349</c:v>
                </c:pt>
                <c:pt idx="11">
                  <c:v>18.01110878709606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1-47BD-8FAD-CF85B4D34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515424"/>
        <c:axId val="502068992"/>
      </c:scatterChart>
      <c:valAx>
        <c:axId val="436515424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AcAcCoA (µM)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68992"/>
        <c:crosses val="autoZero"/>
        <c:crossBetween val="midCat"/>
      </c:valAx>
      <c:valAx>
        <c:axId val="502068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 (µmolP/µmolE/s)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1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511627</xdr:colOff>
      <xdr:row>0</xdr:row>
      <xdr:rowOff>81643</xdr:rowOff>
    </xdr:from>
    <xdr:to>
      <xdr:col>9</xdr:col>
      <xdr:colOff>293913</xdr:colOff>
      <xdr:row>19</xdr:row>
      <xdr:rowOff>76201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71"/>
  <sheetViews>
    <sheetView zoomScale="70" zoomScaleNormal="70" workbookViewId="0">
      <selection activeCell="A34" sqref="A34"/>
    </sheetView>
  </sheetViews>
  <sheetFormatPr defaultRowHeight="14.4" x14ac:dyDescent="0.3"/>
  <cols>
    <col min="1" max="1" width="39.6640625" bestFit="1" customWidth="1"/>
    <col min="2" max="2" width="43.88671875" bestFit="1" customWidth="1"/>
    <col min="3" max="9" width="9.33203125" style="3" bestFit="1" customWidth="1"/>
    <col min="10" max="10" width="7.77734375" style="3" bestFit="1" customWidth="1"/>
    <col min="11" max="14" width="7.77734375" bestFit="1" customWidth="1"/>
    <col min="15" max="15" width="43.88671875" bestFit="1" customWidth="1"/>
    <col min="16" max="16" width="7.77734375" bestFit="1" customWidth="1"/>
    <col min="17" max="17" width="7.77734375" style="17" bestFit="1" customWidth="1"/>
    <col min="18" max="27" width="7.77734375" bestFit="1" customWidth="1"/>
    <col min="28" max="28" width="13.77734375" style="3" customWidth="1"/>
  </cols>
  <sheetData>
    <row r="1" spans="1:28" x14ac:dyDescent="0.3">
      <c r="B1" s="21" t="s">
        <v>8</v>
      </c>
      <c r="C1" s="19">
        <v>1E-3</v>
      </c>
      <c r="D1" s="19">
        <v>1E-3</v>
      </c>
      <c r="E1" s="19">
        <v>1E-3</v>
      </c>
      <c r="F1" s="19">
        <v>1E-3</v>
      </c>
      <c r="G1" s="19">
        <v>1E-3</v>
      </c>
      <c r="H1" s="19">
        <v>1E-3</v>
      </c>
      <c r="I1" s="19">
        <v>1E-3</v>
      </c>
      <c r="J1" s="19">
        <v>1E-3</v>
      </c>
      <c r="K1" s="19">
        <v>1E-3</v>
      </c>
      <c r="L1" s="19">
        <v>1E-3</v>
      </c>
      <c r="M1" s="19">
        <v>1E-3</v>
      </c>
      <c r="N1" s="19">
        <v>1E-3</v>
      </c>
      <c r="O1" s="34" t="s">
        <v>8</v>
      </c>
      <c r="P1" s="19">
        <v>1E-3</v>
      </c>
      <c r="Q1" s="19">
        <v>1E-3</v>
      </c>
      <c r="R1" s="19">
        <v>1E-3</v>
      </c>
      <c r="S1" s="19">
        <v>1E-3</v>
      </c>
      <c r="T1" s="19">
        <v>1E-3</v>
      </c>
      <c r="U1" s="19">
        <v>1E-3</v>
      </c>
      <c r="V1" s="19">
        <v>1E-3</v>
      </c>
      <c r="W1" s="19">
        <v>1E-3</v>
      </c>
      <c r="X1" s="19">
        <v>1E-3</v>
      </c>
      <c r="Y1" s="19">
        <v>1E-3</v>
      </c>
      <c r="Z1" s="19">
        <v>1E-3</v>
      </c>
      <c r="AA1" s="19">
        <v>1E-3</v>
      </c>
      <c r="AB1" s="19"/>
    </row>
    <row r="2" spans="1:28" x14ac:dyDescent="0.3">
      <c r="B2" s="1" t="s">
        <v>0</v>
      </c>
      <c r="C2" s="6">
        <v>24</v>
      </c>
      <c r="D2" s="6">
        <v>26</v>
      </c>
      <c r="E2" s="6">
        <v>32</v>
      </c>
      <c r="F2" s="6">
        <v>32</v>
      </c>
      <c r="G2" s="6">
        <v>35</v>
      </c>
      <c r="H2" s="6">
        <v>38</v>
      </c>
      <c r="I2" s="6">
        <v>62</v>
      </c>
      <c r="J2" s="6">
        <v>72</v>
      </c>
      <c r="K2" s="6">
        <v>83</v>
      </c>
      <c r="L2" s="6">
        <v>89</v>
      </c>
      <c r="M2" s="6">
        <v>100</v>
      </c>
      <c r="N2" s="6">
        <v>200</v>
      </c>
      <c r="O2" s="34" t="s">
        <v>0</v>
      </c>
      <c r="P2" s="6">
        <v>58</v>
      </c>
      <c r="Q2" s="6">
        <v>53</v>
      </c>
      <c r="R2" s="6">
        <v>55</v>
      </c>
      <c r="S2" s="6">
        <v>53</v>
      </c>
      <c r="T2" s="6">
        <v>57</v>
      </c>
      <c r="U2" s="6">
        <v>47</v>
      </c>
      <c r="V2" s="6">
        <v>62</v>
      </c>
      <c r="W2" s="6">
        <v>72</v>
      </c>
      <c r="X2" s="6">
        <v>83</v>
      </c>
      <c r="Y2" s="6">
        <v>89</v>
      </c>
      <c r="Z2" s="6">
        <v>100</v>
      </c>
      <c r="AA2" s="6">
        <v>200</v>
      </c>
      <c r="AB2" s="6"/>
    </row>
    <row r="3" spans="1:28" x14ac:dyDescent="0.3">
      <c r="B3" s="51" t="s">
        <v>7</v>
      </c>
      <c r="C3" s="54">
        <v>1015</v>
      </c>
      <c r="D3" s="54">
        <v>1008</v>
      </c>
      <c r="E3" s="54">
        <v>1016</v>
      </c>
      <c r="F3" s="54">
        <v>1010</v>
      </c>
      <c r="G3" s="54">
        <v>1015</v>
      </c>
      <c r="H3" s="54">
        <v>1012</v>
      </c>
      <c r="I3" s="54">
        <v>1005</v>
      </c>
      <c r="J3" s="54">
        <v>1005</v>
      </c>
      <c r="K3" s="54">
        <v>998</v>
      </c>
      <c r="L3" s="54">
        <v>1005</v>
      </c>
      <c r="M3" s="54">
        <v>1005</v>
      </c>
      <c r="N3" s="54">
        <v>985</v>
      </c>
      <c r="O3" s="52" t="s">
        <v>17</v>
      </c>
      <c r="P3" s="53">
        <v>1017</v>
      </c>
      <c r="Q3" s="53">
        <v>1015</v>
      </c>
      <c r="R3" s="53">
        <v>1022</v>
      </c>
      <c r="S3" s="53">
        <v>1018</v>
      </c>
      <c r="T3" s="53">
        <v>1020</v>
      </c>
      <c r="U3" s="53">
        <v>1005</v>
      </c>
      <c r="V3" s="53">
        <v>1015</v>
      </c>
      <c r="W3" s="53">
        <v>1015</v>
      </c>
      <c r="X3" s="53">
        <v>1010</v>
      </c>
      <c r="Y3" s="53">
        <v>1015</v>
      </c>
      <c r="Z3" s="53">
        <v>1015</v>
      </c>
      <c r="AA3" s="53">
        <v>1000</v>
      </c>
      <c r="AB3" s="6"/>
    </row>
    <row r="4" spans="1:28" x14ac:dyDescent="0.3">
      <c r="A4" s="1" t="s">
        <v>2</v>
      </c>
      <c r="B4" s="1" t="s">
        <v>1</v>
      </c>
      <c r="C4" s="32">
        <v>3.5999999999999997E-2</v>
      </c>
      <c r="D4" s="34">
        <v>3.5000000000000003E-2</v>
      </c>
      <c r="E4" s="34">
        <v>3.5999999999999997E-2</v>
      </c>
      <c r="F4" s="34">
        <v>3.5999999999999997E-2</v>
      </c>
      <c r="G4" s="34">
        <v>3.5999999999999997E-2</v>
      </c>
      <c r="H4" s="34">
        <v>3.5999999999999997E-2</v>
      </c>
      <c r="I4" s="34">
        <v>3.5999999999999997E-2</v>
      </c>
      <c r="J4" s="34">
        <v>3.5999999999999997E-2</v>
      </c>
      <c r="K4" s="34">
        <v>3.5999999999999997E-2</v>
      </c>
      <c r="L4" s="34">
        <v>3.5999999999999997E-2</v>
      </c>
      <c r="M4" s="34">
        <v>3.5999999999999997E-2</v>
      </c>
      <c r="N4" s="34">
        <v>3.5999999999999997E-2</v>
      </c>
      <c r="O4" s="34" t="s">
        <v>1</v>
      </c>
      <c r="P4" s="2">
        <v>3.5999999999999997E-2</v>
      </c>
      <c r="Q4" s="2">
        <v>3.5999999999999997E-2</v>
      </c>
      <c r="R4" s="2">
        <v>3.5999999999999997E-2</v>
      </c>
      <c r="S4" s="2">
        <v>3.5999999999999997E-2</v>
      </c>
      <c r="T4" s="2">
        <v>3.5999999999999997E-2</v>
      </c>
      <c r="U4" s="2">
        <v>3.5999999999999997E-2</v>
      </c>
      <c r="V4" s="2">
        <v>3.5999999999999997E-2</v>
      </c>
      <c r="W4" s="2">
        <v>3.5999999999999997E-2</v>
      </c>
      <c r="X4" s="2">
        <v>3.5999999999999997E-2</v>
      </c>
      <c r="Y4" s="2">
        <v>3.5999999999999997E-2</v>
      </c>
      <c r="Z4" s="2">
        <v>3.5999999999999997E-2</v>
      </c>
      <c r="AA4" s="2">
        <v>3.5999999999999997E-2</v>
      </c>
      <c r="AB4" s="2"/>
    </row>
    <row r="5" spans="1:28" x14ac:dyDescent="0.3">
      <c r="A5" s="1">
        <v>4075</v>
      </c>
      <c r="P5" s="3"/>
      <c r="Q5" s="42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8" x14ac:dyDescent="0.3">
      <c r="A6" s="1" t="s">
        <v>3</v>
      </c>
      <c r="B6" s="6" t="s">
        <v>10</v>
      </c>
      <c r="C6" s="2">
        <f t="shared" ref="C6:N6" si="0">MIN(AG21:AG28)</f>
        <v>2.0994999999999999</v>
      </c>
      <c r="D6" s="2">
        <f t="shared" si="0"/>
        <v>2.0800999999999998</v>
      </c>
      <c r="E6" s="2">
        <f t="shared" si="0"/>
        <v>2.0903</v>
      </c>
      <c r="F6" s="2">
        <f t="shared" si="0"/>
        <v>2.0792000000000002</v>
      </c>
      <c r="G6" s="2">
        <f t="shared" si="0"/>
        <v>2.0884</v>
      </c>
      <c r="H6" s="2">
        <f t="shared" si="0"/>
        <v>2.0880000000000001</v>
      </c>
      <c r="I6" s="2">
        <f t="shared" si="0"/>
        <v>2.0737000000000001</v>
      </c>
      <c r="J6" s="2">
        <f t="shared" si="0"/>
        <v>2.0764</v>
      </c>
      <c r="K6" s="2">
        <f t="shared" si="0"/>
        <v>2.0607000000000002</v>
      </c>
      <c r="L6" s="2">
        <f t="shared" si="0"/>
        <v>2.0745</v>
      </c>
      <c r="M6" s="2">
        <f t="shared" si="0"/>
        <v>2.0792999999999999</v>
      </c>
      <c r="N6" s="2">
        <f t="shared" si="0"/>
        <v>2.0415000000000001</v>
      </c>
      <c r="O6" s="6" t="s">
        <v>10</v>
      </c>
      <c r="P6" s="2">
        <f t="shared" ref="P6:AA6" si="1">MIN(AS21:AS28)</f>
        <v>2.0992999999999999</v>
      </c>
      <c r="Q6" s="2">
        <f t="shared" si="1"/>
        <v>2.0958000000000001</v>
      </c>
      <c r="R6" s="2">
        <f t="shared" si="1"/>
        <v>2.1132</v>
      </c>
      <c r="S6" s="2">
        <f t="shared" si="1"/>
        <v>2.1048</v>
      </c>
      <c r="T6" s="2">
        <f t="shared" si="1"/>
        <v>2.1082999999999998</v>
      </c>
      <c r="U6" s="2">
        <f t="shared" si="1"/>
        <v>2.0771000000000002</v>
      </c>
      <c r="V6" s="2">
        <f t="shared" si="1"/>
        <v>2.0985999999999998</v>
      </c>
      <c r="W6" s="2">
        <f t="shared" si="1"/>
        <v>2.0960999999999999</v>
      </c>
      <c r="X6" s="2">
        <f t="shared" si="1"/>
        <v>2.0895999999999999</v>
      </c>
      <c r="Y6" s="2">
        <f t="shared" si="1"/>
        <v>2.0960000000000001</v>
      </c>
      <c r="Z6" s="2">
        <f t="shared" si="1"/>
        <v>2.1008</v>
      </c>
      <c r="AA6" s="2">
        <f t="shared" si="1"/>
        <v>2.0697000000000001</v>
      </c>
      <c r="AB6" s="2"/>
    </row>
    <row r="7" spans="1:28" x14ac:dyDescent="0.3">
      <c r="A7" s="1">
        <v>23</v>
      </c>
      <c r="B7" s="25" t="s">
        <v>12</v>
      </c>
      <c r="C7" s="2">
        <f t="shared" ref="C7:N7" si="2">MIN(AG456:AG471)</f>
        <v>2.0556999999999999</v>
      </c>
      <c r="D7" s="2">
        <f t="shared" si="2"/>
        <v>2.0396999999999998</v>
      </c>
      <c r="E7" s="2">
        <f t="shared" si="2"/>
        <v>2.0461999999999998</v>
      </c>
      <c r="F7" s="2">
        <f t="shared" si="2"/>
        <v>2.0308000000000002</v>
      </c>
      <c r="G7" s="2">
        <f t="shared" si="2"/>
        <v>2.0381</v>
      </c>
      <c r="H7" s="2">
        <f t="shared" si="2"/>
        <v>2.0213999999999999</v>
      </c>
      <c r="I7" s="2">
        <f t="shared" si="2"/>
        <v>1.9582999999999999</v>
      </c>
      <c r="J7" s="2">
        <f t="shared" si="2"/>
        <v>1.9414</v>
      </c>
      <c r="K7" s="2">
        <f t="shared" si="2"/>
        <v>1.9004000000000001</v>
      </c>
      <c r="L7" s="2">
        <f t="shared" si="2"/>
        <v>1.905</v>
      </c>
      <c r="M7" s="2">
        <f t="shared" si="2"/>
        <v>1.9589000000000001</v>
      </c>
      <c r="N7" s="2">
        <f t="shared" si="2"/>
        <v>1.9467000000000001</v>
      </c>
      <c r="O7" s="25" t="s">
        <v>12</v>
      </c>
      <c r="P7" s="2">
        <f t="shared" ref="P7:AA7" si="3">MIN(AS456:AS471)</f>
        <v>1.9887999999999999</v>
      </c>
      <c r="Q7" s="2">
        <f t="shared" si="3"/>
        <v>1.9946999999999999</v>
      </c>
      <c r="R7" s="2">
        <f t="shared" si="3"/>
        <v>2.0053999999999998</v>
      </c>
      <c r="S7" s="2">
        <f t="shared" si="3"/>
        <v>2.0019999999999998</v>
      </c>
      <c r="T7" s="2">
        <f t="shared" si="3"/>
        <v>1.9973000000000001</v>
      </c>
      <c r="U7" s="2">
        <f t="shared" si="3"/>
        <v>1.9879</v>
      </c>
      <c r="V7" s="2">
        <f t="shared" si="3"/>
        <v>1.9831000000000001</v>
      </c>
      <c r="W7" s="2">
        <f t="shared" si="3"/>
        <v>1.9773000000000001</v>
      </c>
      <c r="X7" s="2">
        <f t="shared" si="3"/>
        <v>1.9754</v>
      </c>
      <c r="Y7" s="2">
        <f t="shared" si="3"/>
        <v>1.9722</v>
      </c>
      <c r="Z7" s="2">
        <f t="shared" si="3"/>
        <v>1.9689000000000001</v>
      </c>
      <c r="AA7" s="2">
        <f t="shared" si="3"/>
        <v>1.9379999999999999</v>
      </c>
      <c r="AB7" s="2"/>
    </row>
    <row r="8" spans="1:28" x14ac:dyDescent="0.3">
      <c r="A8" s="1" t="s">
        <v>4</v>
      </c>
      <c r="P8" s="3"/>
      <c r="Q8" s="42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8" x14ac:dyDescent="0.3">
      <c r="A9" s="1">
        <v>0.5</v>
      </c>
      <c r="B9" s="9" t="s">
        <v>11</v>
      </c>
      <c r="C9" s="20">
        <f t="shared" ref="C9:AA9" si="4">C$4+(C$3/10^6)*$A$5*$A$9+(C$2/10^6)*$A$7*$A$9</f>
        <v>2.1043384999999999</v>
      </c>
      <c r="D9" s="20">
        <f t="shared" si="4"/>
        <v>2.089099</v>
      </c>
      <c r="E9" s="20">
        <f t="shared" si="4"/>
        <v>2.106468</v>
      </c>
      <c r="F9" s="20">
        <f t="shared" si="4"/>
        <v>2.0942430000000001</v>
      </c>
      <c r="G9" s="20">
        <f t="shared" si="4"/>
        <v>2.1044649999999998</v>
      </c>
      <c r="H9" s="20">
        <f t="shared" si="4"/>
        <v>2.0983870000000002</v>
      </c>
      <c r="I9" s="20">
        <f t="shared" si="4"/>
        <v>2.0844005000000001</v>
      </c>
      <c r="J9" s="20">
        <f t="shared" si="4"/>
        <v>2.0845154999999997</v>
      </c>
      <c r="K9" s="20">
        <f t="shared" si="4"/>
        <v>2.0703795</v>
      </c>
      <c r="L9" s="20">
        <f t="shared" si="4"/>
        <v>2.084711</v>
      </c>
      <c r="M9" s="20">
        <f t="shared" si="4"/>
        <v>2.0848374999999999</v>
      </c>
      <c r="N9" s="20">
        <f t="shared" si="4"/>
        <v>2.0452374999999998</v>
      </c>
      <c r="O9" s="34" t="s">
        <v>11</v>
      </c>
      <c r="P9" s="20">
        <f t="shared" si="4"/>
        <v>2.1088044999999997</v>
      </c>
      <c r="Q9" s="20">
        <f t="shared" si="4"/>
        <v>2.1046719999999999</v>
      </c>
      <c r="R9" s="20">
        <f t="shared" si="4"/>
        <v>2.1189575</v>
      </c>
      <c r="S9" s="20">
        <f t="shared" si="4"/>
        <v>2.1107844999999998</v>
      </c>
      <c r="T9" s="20">
        <f t="shared" si="4"/>
        <v>2.1149055000000003</v>
      </c>
      <c r="U9" s="20">
        <f t="shared" si="4"/>
        <v>2.084228</v>
      </c>
      <c r="V9" s="20">
        <f t="shared" si="4"/>
        <v>2.1047755000000001</v>
      </c>
      <c r="W9" s="20">
        <f t="shared" si="4"/>
        <v>2.1048904999999998</v>
      </c>
      <c r="X9" s="20">
        <f t="shared" si="4"/>
        <v>2.0948295000000003</v>
      </c>
      <c r="Y9" s="20">
        <f t="shared" si="4"/>
        <v>2.105086</v>
      </c>
      <c r="Z9" s="20">
        <f t="shared" si="4"/>
        <v>2.1052124999999999</v>
      </c>
      <c r="AA9" s="20">
        <f t="shared" si="4"/>
        <v>2.0758000000000001</v>
      </c>
      <c r="AB9" s="20"/>
    </row>
    <row r="10" spans="1:28" s="50" customFormat="1" x14ac:dyDescent="0.3">
      <c r="A10" s="4" t="s">
        <v>27</v>
      </c>
      <c r="B10" s="4" t="s">
        <v>29</v>
      </c>
      <c r="C10" s="40">
        <f t="shared" ref="C10:AA10" si="5">MIN(C21:C28)</f>
        <v>0.50683260126888352</v>
      </c>
      <c r="D10" s="40">
        <f t="shared" si="5"/>
        <v>0.87798926305520064</v>
      </c>
      <c r="E10" s="40">
        <f t="shared" si="5"/>
        <v>1.058077110785832</v>
      </c>
      <c r="F10" s="40">
        <f t="shared" si="5"/>
        <v>3.2420693020985625</v>
      </c>
      <c r="G10" s="40">
        <f t="shared" si="5"/>
        <v>2.3743289409466448</v>
      </c>
      <c r="H10" s="40">
        <f t="shared" si="5"/>
        <v>1.0185456320158097</v>
      </c>
      <c r="I10" s="40">
        <f t="shared" si="5"/>
        <v>2.391654465593068</v>
      </c>
      <c r="J10" s="40">
        <f t="shared" si="5"/>
        <v>1.7157149829183906</v>
      </c>
      <c r="K10" s="40">
        <f t="shared" si="5"/>
        <v>1.8933626159102175</v>
      </c>
      <c r="L10" s="40">
        <f t="shared" si="5"/>
        <v>2.5919960956563415</v>
      </c>
      <c r="M10" s="40">
        <f t="shared" si="5"/>
        <v>6.7105905319511744E-2</v>
      </c>
      <c r="N10" s="40">
        <f t="shared" si="5"/>
        <v>0.60395314787690602</v>
      </c>
      <c r="O10" s="4" t="s">
        <v>29</v>
      </c>
      <c r="P10" s="40">
        <f t="shared" si="5"/>
        <v>1.027086383601626</v>
      </c>
      <c r="Q10" s="40">
        <f t="shared" si="5"/>
        <v>1.4504636408002698</v>
      </c>
      <c r="R10" s="40">
        <f t="shared" si="5"/>
        <v>0.955344070278212</v>
      </c>
      <c r="S10" s="40">
        <f t="shared" si="5"/>
        <v>0.91971693509010377</v>
      </c>
      <c r="T10" s="40">
        <f t="shared" si="5"/>
        <v>1.418008784773171</v>
      </c>
      <c r="U10" s="40">
        <f t="shared" si="5"/>
        <v>0.98975109809670114</v>
      </c>
      <c r="V10" s="40">
        <f t="shared" si="5"/>
        <v>0.47608589555881797</v>
      </c>
      <c r="W10" s="40">
        <f t="shared" si="5"/>
        <v>2.093948267447415</v>
      </c>
      <c r="X10" s="40">
        <f t="shared" si="5"/>
        <v>0.74646168862868878</v>
      </c>
      <c r="Y10" s="40">
        <f t="shared" si="5"/>
        <v>2.6774036115177551</v>
      </c>
      <c r="Z10" s="40">
        <f t="shared" si="5"/>
        <v>0.64055636896049273</v>
      </c>
      <c r="AA10" s="40">
        <f t="shared" si="5"/>
        <v>1.512933138116096</v>
      </c>
      <c r="AB10" s="40"/>
    </row>
    <row r="11" spans="1:28" s="50" customFormat="1" x14ac:dyDescent="0.3">
      <c r="A11" s="4">
        <v>0</v>
      </c>
      <c r="B11" s="4" t="s">
        <v>30</v>
      </c>
      <c r="C11" s="40">
        <f t="shared" ref="C11:AA11" si="6">C2-MIN(C21:C28)</f>
        <v>23.493167398731117</v>
      </c>
      <c r="D11" s="40">
        <f t="shared" si="6"/>
        <v>25.122010736944798</v>
      </c>
      <c r="E11" s="40">
        <f t="shared" si="6"/>
        <v>30.941922889214169</v>
      </c>
      <c r="F11" s="40">
        <f t="shared" si="6"/>
        <v>28.757930697901436</v>
      </c>
      <c r="G11" s="40">
        <f t="shared" si="6"/>
        <v>32.625671059053353</v>
      </c>
      <c r="H11" s="40">
        <f t="shared" si="6"/>
        <v>36.981454367984192</v>
      </c>
      <c r="I11" s="40">
        <f t="shared" si="6"/>
        <v>59.608345534406929</v>
      </c>
      <c r="J11" s="40">
        <f t="shared" si="6"/>
        <v>70.284285017081615</v>
      </c>
      <c r="K11" s="40">
        <f t="shared" si="6"/>
        <v>81.10663738408978</v>
      </c>
      <c r="L11" s="40">
        <f t="shared" si="6"/>
        <v>86.408003904343659</v>
      </c>
      <c r="M11" s="40">
        <f t="shared" si="6"/>
        <v>99.932894094680492</v>
      </c>
      <c r="N11" s="40">
        <f t="shared" si="6"/>
        <v>199.39604685212311</v>
      </c>
      <c r="O11" s="4" t="s">
        <v>30</v>
      </c>
      <c r="P11" s="40">
        <f t="shared" si="6"/>
        <v>56.972913616398372</v>
      </c>
      <c r="Q11" s="40">
        <f t="shared" si="6"/>
        <v>51.549536359199728</v>
      </c>
      <c r="R11" s="40">
        <f t="shared" si="6"/>
        <v>54.044655929721785</v>
      </c>
      <c r="S11" s="40">
        <f t="shared" si="6"/>
        <v>52.080283064909899</v>
      </c>
      <c r="T11" s="40">
        <f t="shared" si="6"/>
        <v>55.581991215226829</v>
      </c>
      <c r="U11" s="40">
        <f t="shared" si="6"/>
        <v>46.010248901903296</v>
      </c>
      <c r="V11" s="40">
        <f t="shared" si="6"/>
        <v>61.523914104441182</v>
      </c>
      <c r="W11" s="40">
        <f t="shared" si="6"/>
        <v>69.906051732552584</v>
      </c>
      <c r="X11" s="40">
        <f t="shared" si="6"/>
        <v>82.253538311371315</v>
      </c>
      <c r="Y11" s="40">
        <f t="shared" si="6"/>
        <v>86.322596388482239</v>
      </c>
      <c r="Z11" s="40">
        <f t="shared" si="6"/>
        <v>99.359443631039511</v>
      </c>
      <c r="AA11" s="40">
        <f t="shared" si="6"/>
        <v>198.4870668618839</v>
      </c>
      <c r="AB11" s="22"/>
    </row>
    <row r="12" spans="1:28" x14ac:dyDescent="0.3">
      <c r="A12" s="34" t="s">
        <v>28</v>
      </c>
      <c r="B12" s="34" t="s">
        <v>31</v>
      </c>
      <c r="C12" s="5">
        <f>(C11/C2)*100</f>
        <v>97.888197494712998</v>
      </c>
      <c r="D12" s="5">
        <f t="shared" ref="D12:AA12" si="7">(D11/D2)*100</f>
        <v>96.623118219018451</v>
      </c>
      <c r="E12" s="5">
        <f t="shared" si="7"/>
        <v>96.693509028794281</v>
      </c>
      <c r="F12" s="5">
        <f t="shared" si="7"/>
        <v>89.868533430941994</v>
      </c>
      <c r="G12" s="5">
        <f t="shared" si="7"/>
        <v>93.216203025866719</v>
      </c>
      <c r="H12" s="5">
        <f t="shared" si="7"/>
        <v>97.31961675785314</v>
      </c>
      <c r="I12" s="5">
        <f t="shared" si="7"/>
        <v>96.142492797430535</v>
      </c>
      <c r="J12" s="5">
        <f t="shared" si="7"/>
        <v>97.617062523724456</v>
      </c>
      <c r="K12" s="5">
        <f t="shared" si="7"/>
        <v>97.718840221794906</v>
      </c>
      <c r="L12" s="5">
        <f t="shared" si="7"/>
        <v>97.087644836341198</v>
      </c>
      <c r="M12" s="5">
        <f t="shared" si="7"/>
        <v>99.932894094680492</v>
      </c>
      <c r="N12" s="5">
        <f t="shared" si="7"/>
        <v>99.698023426061553</v>
      </c>
      <c r="O12" s="34" t="s">
        <v>31</v>
      </c>
      <c r="P12" s="43">
        <f t="shared" si="7"/>
        <v>98.229161407583405</v>
      </c>
      <c r="Q12" s="43">
        <f t="shared" si="7"/>
        <v>97.263276149433452</v>
      </c>
      <c r="R12" s="43">
        <f t="shared" si="7"/>
        <v>98.263010781312332</v>
      </c>
      <c r="S12" s="43">
        <f t="shared" si="7"/>
        <v>98.264685028131879</v>
      </c>
      <c r="T12" s="43">
        <f t="shared" si="7"/>
        <v>97.512265289871621</v>
      </c>
      <c r="U12" s="43">
        <f t="shared" si="7"/>
        <v>97.894146599794254</v>
      </c>
      <c r="V12" s="43">
        <f t="shared" si="7"/>
        <v>99.232119523292226</v>
      </c>
      <c r="W12" s="43">
        <f t="shared" si="7"/>
        <v>97.091738517434152</v>
      </c>
      <c r="X12" s="43">
        <f t="shared" si="7"/>
        <v>99.100648567917247</v>
      </c>
      <c r="Y12" s="43">
        <f t="shared" si="7"/>
        <v>96.9916813353733</v>
      </c>
      <c r="Z12" s="43">
        <f t="shared" si="7"/>
        <v>99.359443631039511</v>
      </c>
      <c r="AA12" s="43">
        <f t="shared" si="7"/>
        <v>99.243533430941952</v>
      </c>
      <c r="AB12" s="37"/>
    </row>
    <row r="13" spans="1:28" x14ac:dyDescent="0.3">
      <c r="A13" s="34">
        <v>0</v>
      </c>
      <c r="P13" s="3"/>
      <c r="Q13" s="42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8" x14ac:dyDescent="0.3">
      <c r="A14" s="18"/>
      <c r="B14" s="34" t="s">
        <v>32</v>
      </c>
      <c r="C14" s="44">
        <f>MAX(C21:C471)</f>
        <v>24.323328452903805</v>
      </c>
      <c r="D14" s="44">
        <f t="shared" ref="D14:AA14" si="8">MAX(D21:D471)</f>
        <v>25.524158125915129</v>
      </c>
      <c r="E14" s="44">
        <f t="shared" si="8"/>
        <v>31.609565641776449</v>
      </c>
      <c r="F14" s="44">
        <f t="shared" si="8"/>
        <v>32.475841874085035</v>
      </c>
      <c r="G14" s="44">
        <f t="shared" si="8"/>
        <v>34.829184968277055</v>
      </c>
      <c r="H14" s="44">
        <f t="shared" si="8"/>
        <v>37.572962420693194</v>
      </c>
      <c r="I14" s="44">
        <f t="shared" si="8"/>
        <v>61.542459736456884</v>
      </c>
      <c r="J14" s="44">
        <f t="shared" si="8"/>
        <v>71.847486578818803</v>
      </c>
      <c r="K14" s="44">
        <f t="shared" si="8"/>
        <v>82.957296242069276</v>
      </c>
      <c r="L14" s="44">
        <f t="shared" si="8"/>
        <v>88.633967789165439</v>
      </c>
      <c r="M14" s="44">
        <f t="shared" si="8"/>
        <v>62.29258174719368</v>
      </c>
      <c r="N14" s="44">
        <f t="shared" si="8"/>
        <v>48.090531966812939</v>
      </c>
      <c r="O14" s="34" t="s">
        <v>32</v>
      </c>
      <c r="P14" s="44">
        <f t="shared" si="8"/>
        <v>58.567349926793483</v>
      </c>
      <c r="Q14" s="44">
        <f t="shared" si="8"/>
        <v>53.671059053196657</v>
      </c>
      <c r="R14" s="44">
        <f t="shared" si="8"/>
        <v>55.420937042459833</v>
      </c>
      <c r="S14" s="44">
        <f t="shared" si="8"/>
        <v>53.091508052708669</v>
      </c>
      <c r="T14" s="44">
        <f t="shared" si="8"/>
        <v>57.396534895070886</v>
      </c>
      <c r="U14" s="44">
        <f t="shared" si="8"/>
        <v>47.01220107369447</v>
      </c>
      <c r="V14" s="44">
        <f t="shared" si="8"/>
        <v>59.382869692532964</v>
      </c>
      <c r="W14" s="44">
        <f t="shared" si="8"/>
        <v>62.269643728647978</v>
      </c>
      <c r="X14" s="44">
        <f t="shared" si="8"/>
        <v>58.286725231820547</v>
      </c>
      <c r="Y14" s="44">
        <f t="shared" si="8"/>
        <v>64.854075158613995</v>
      </c>
      <c r="Z14" s="44">
        <f t="shared" si="8"/>
        <v>66.526354319180015</v>
      </c>
      <c r="AA14" s="44">
        <f t="shared" si="8"/>
        <v>67.252318204002023</v>
      </c>
    </row>
    <row r="15" spans="1:28" x14ac:dyDescent="0.3">
      <c r="B15" s="24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3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x14ac:dyDescent="0.3">
      <c r="B16" s="25" t="s">
        <v>9</v>
      </c>
      <c r="C16" s="27">
        <f>SLOPE(C21:C28,$B21:$B28)</f>
        <v>2.4329521950312322E-2</v>
      </c>
      <c r="D16" s="27">
        <f t="shared" ref="D16:N16" si="9">SLOPE(D21:D28,$B21:$B28)</f>
        <v>5.0983057937669496E-2</v>
      </c>
      <c r="E16" s="27">
        <f t="shared" si="9"/>
        <v>0.10094935973413263</v>
      </c>
      <c r="F16" s="27">
        <f t="shared" si="9"/>
        <v>7.1027679007181113E-2</v>
      </c>
      <c r="G16" s="27">
        <f t="shared" si="9"/>
        <v>8.8966162355620979E-2</v>
      </c>
      <c r="H16" s="27">
        <f t="shared" si="9"/>
        <v>7.2698064096306067E-2</v>
      </c>
      <c r="I16" s="27">
        <f t="shared" si="9"/>
        <v>5.4033326361291711E-2</v>
      </c>
      <c r="J16" s="27">
        <f t="shared" si="9"/>
        <v>3.7692602663318676E-2</v>
      </c>
      <c r="K16" s="27">
        <f t="shared" si="9"/>
        <v>4.0742871086938963E-2</v>
      </c>
      <c r="L16" s="27">
        <f t="shared" si="9"/>
        <v>3.2463571079969125E-2</v>
      </c>
      <c r="M16" s="27">
        <f t="shared" si="9"/>
        <v>3.892723512050035E-2</v>
      </c>
      <c r="N16" s="27">
        <f t="shared" si="9"/>
        <v>1.801110878709606E-2</v>
      </c>
      <c r="O16" s="25" t="s">
        <v>9</v>
      </c>
      <c r="P16" s="27">
        <f>SLOPE(P29:P51,$B29:$B51)</f>
        <v>4.0437155307611591E-2</v>
      </c>
      <c r="Q16" s="27">
        <f t="shared" ref="Q16:AA16" si="10">SLOPE(Q29:Q51,$B29:$B51)</f>
        <v>3.6753926045096856E-2</v>
      </c>
      <c r="R16" s="27">
        <f t="shared" si="10"/>
        <v>4.2046684297941783E-2</v>
      </c>
      <c r="S16" s="27">
        <f t="shared" si="10"/>
        <v>3.8676921355640874E-2</v>
      </c>
      <c r="T16" s="27">
        <f t="shared" si="10"/>
        <v>4.4500161073463274E-2</v>
      </c>
      <c r="U16" s="27">
        <f t="shared" si="10"/>
        <v>3.4210026292591095E-2</v>
      </c>
      <c r="V16" s="27">
        <f t="shared" si="10"/>
        <v>4.5416447240242665E-2</v>
      </c>
      <c r="W16" s="27">
        <f t="shared" si="10"/>
        <v>4.8816351174872007E-2</v>
      </c>
      <c r="X16" s="27">
        <f t="shared" si="10"/>
        <v>4.0413042513749164E-2</v>
      </c>
      <c r="Y16" s="27">
        <f t="shared" si="10"/>
        <v>4.5452616431036333E-2</v>
      </c>
      <c r="Z16" s="27">
        <f t="shared" si="10"/>
        <v>4.8979112533444315E-2</v>
      </c>
      <c r="AA16" s="27">
        <f t="shared" si="10"/>
        <v>4.9533706792284617E-2</v>
      </c>
      <c r="AB16" s="36"/>
    </row>
    <row r="17" spans="2:56" s="23" customFormat="1" x14ac:dyDescent="0.3">
      <c r="B17" s="23" t="s">
        <v>13</v>
      </c>
      <c r="C17" s="28">
        <f t="shared" ref="C17:AA17" si="11">C16/C1</f>
        <v>24.329521950312323</v>
      </c>
      <c r="D17" s="28">
        <f t="shared" si="11"/>
        <v>50.983057937669493</v>
      </c>
      <c r="E17" s="28">
        <f t="shared" si="11"/>
        <v>100.94935973413263</v>
      </c>
      <c r="F17" s="28">
        <f t="shared" si="11"/>
        <v>71.027679007181106</v>
      </c>
      <c r="G17" s="28">
        <f t="shared" si="11"/>
        <v>88.96616235562098</v>
      </c>
      <c r="H17" s="28">
        <f t="shared" si="11"/>
        <v>72.698064096306069</v>
      </c>
      <c r="I17" s="28">
        <f t="shared" si="11"/>
        <v>54.033326361291714</v>
      </c>
      <c r="J17" s="28">
        <f t="shared" si="11"/>
        <v>37.692602663318674</v>
      </c>
      <c r="K17" s="28">
        <f t="shared" si="11"/>
        <v>40.742871086938962</v>
      </c>
      <c r="L17" s="28">
        <f t="shared" si="11"/>
        <v>32.463571079969121</v>
      </c>
      <c r="M17" s="28">
        <f t="shared" si="11"/>
        <v>38.927235120500349</v>
      </c>
      <c r="N17" s="28">
        <f t="shared" si="11"/>
        <v>18.01110878709606</v>
      </c>
      <c r="O17" s="34" t="s">
        <v>13</v>
      </c>
      <c r="P17" s="28">
        <f t="shared" si="11"/>
        <v>40.43715530761159</v>
      </c>
      <c r="Q17" s="28">
        <f t="shared" si="11"/>
        <v>36.753926045096854</v>
      </c>
      <c r="R17" s="28">
        <f t="shared" si="11"/>
        <v>42.046684297941781</v>
      </c>
      <c r="S17" s="28">
        <f t="shared" si="11"/>
        <v>38.676921355640872</v>
      </c>
      <c r="T17" s="28">
        <f t="shared" si="11"/>
        <v>44.500161073463275</v>
      </c>
      <c r="U17" s="28">
        <f t="shared" si="11"/>
        <v>34.210026292591095</v>
      </c>
      <c r="V17" s="28">
        <f t="shared" si="11"/>
        <v>45.416447240242661</v>
      </c>
      <c r="W17" s="28">
        <f t="shared" si="11"/>
        <v>48.816351174872004</v>
      </c>
      <c r="X17" s="28">
        <f t="shared" si="11"/>
        <v>40.413042513749161</v>
      </c>
      <c r="Y17" s="28">
        <f t="shared" si="11"/>
        <v>45.452616431036333</v>
      </c>
      <c r="Z17" s="28">
        <f t="shared" si="11"/>
        <v>48.979112533444315</v>
      </c>
      <c r="AA17" s="28">
        <f t="shared" si="11"/>
        <v>49.533706792284619</v>
      </c>
      <c r="AB17" s="28"/>
    </row>
    <row r="19" spans="2:56" x14ac:dyDescent="0.3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4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"/>
    </row>
    <row r="20" spans="2:56" s="3" customFormat="1" x14ac:dyDescent="0.3">
      <c r="B20" s="2" t="str">
        <f t="shared" ref="B20:B83" si="12">AF20</f>
        <v>time (s)</v>
      </c>
      <c r="C20" s="7" t="s">
        <v>14</v>
      </c>
      <c r="D20" s="7" t="s">
        <v>15</v>
      </c>
      <c r="E20" s="7" t="s">
        <v>16</v>
      </c>
      <c r="F20" s="7" t="s">
        <v>18</v>
      </c>
      <c r="G20" s="7" t="s">
        <v>19</v>
      </c>
      <c r="H20" s="7" t="s">
        <v>20</v>
      </c>
      <c r="I20" s="7" t="s">
        <v>21</v>
      </c>
      <c r="J20" s="7" t="s">
        <v>22</v>
      </c>
      <c r="K20" s="7" t="s">
        <v>23</v>
      </c>
      <c r="L20" s="7" t="s">
        <v>24</v>
      </c>
      <c r="M20" s="7" t="s">
        <v>25</v>
      </c>
      <c r="N20" s="7" t="s">
        <v>26</v>
      </c>
      <c r="O20" s="34"/>
      <c r="P20" s="7" t="s">
        <v>14</v>
      </c>
      <c r="Q20" s="7" t="s">
        <v>15</v>
      </c>
      <c r="R20" s="7" t="s">
        <v>16</v>
      </c>
      <c r="S20" s="7" t="s">
        <v>18</v>
      </c>
      <c r="T20" s="7" t="s">
        <v>19</v>
      </c>
      <c r="U20" s="7" t="s">
        <v>20</v>
      </c>
      <c r="V20" s="7" t="s">
        <v>21</v>
      </c>
      <c r="W20" s="7" t="s">
        <v>22</v>
      </c>
      <c r="X20" s="7" t="s">
        <v>23</v>
      </c>
      <c r="Y20" s="7" t="s">
        <v>24</v>
      </c>
      <c r="Z20" s="7" t="s">
        <v>25</v>
      </c>
      <c r="AA20" s="7" t="s">
        <v>26</v>
      </c>
      <c r="AB20" s="16"/>
      <c r="AE20" s="26" t="s">
        <v>5</v>
      </c>
      <c r="AF20" s="10" t="s">
        <v>6</v>
      </c>
      <c r="AG20" s="7" t="s">
        <v>14</v>
      </c>
      <c r="AH20" s="7" t="s">
        <v>15</v>
      </c>
      <c r="AI20" s="7" t="s">
        <v>16</v>
      </c>
      <c r="AJ20" s="7" t="s">
        <v>18</v>
      </c>
      <c r="AK20" s="7" t="s">
        <v>19</v>
      </c>
      <c r="AL20" s="7" t="s">
        <v>20</v>
      </c>
      <c r="AM20" s="7" t="s">
        <v>21</v>
      </c>
      <c r="AN20" s="7" t="s">
        <v>22</v>
      </c>
      <c r="AO20" s="7" t="s">
        <v>23</v>
      </c>
      <c r="AP20" s="7" t="s">
        <v>24</v>
      </c>
      <c r="AQ20" s="7" t="s">
        <v>25</v>
      </c>
      <c r="AR20" s="7" t="s">
        <v>26</v>
      </c>
      <c r="AS20" s="7" t="s">
        <v>14</v>
      </c>
      <c r="AT20" s="7" t="s">
        <v>15</v>
      </c>
      <c r="AU20" s="7" t="s">
        <v>16</v>
      </c>
      <c r="AV20" s="7" t="s">
        <v>18</v>
      </c>
      <c r="AW20" s="7" t="s">
        <v>19</v>
      </c>
      <c r="AX20" s="7" t="s">
        <v>20</v>
      </c>
      <c r="AY20" s="7" t="s">
        <v>21</v>
      </c>
      <c r="AZ20" s="7" t="s">
        <v>22</v>
      </c>
      <c r="BA20" s="7" t="s">
        <v>23</v>
      </c>
      <c r="BB20" s="7" t="s">
        <v>24</v>
      </c>
      <c r="BC20" s="7" t="s">
        <v>25</v>
      </c>
      <c r="BD20" s="7" t="s">
        <v>26</v>
      </c>
    </row>
    <row r="21" spans="2:56" s="13" customFormat="1" x14ac:dyDescent="0.3">
      <c r="B21" s="22">
        <f t="shared" si="12"/>
        <v>0</v>
      </c>
      <c r="C21" s="40">
        <f t="shared" ref="C21:C84" si="13">((C$9-AG21-($A$5*$A$9*((C$3/10^6)-((C$3/10^6)*EXP(-1*$A$11*$B21)))))/(($A$5+$A$7)*$A$9))*10^6</f>
        <v>0.50683260126888352</v>
      </c>
      <c r="D21" s="40">
        <f t="shared" ref="D21:D84" si="14">((D$9-AH21-($A$5*$A$9*((D$3/10^6)-((D$3/10^6)*EXP(-1*$A$11*$B21)))))/(($A$5+$A$7)*$A$9))*10^6</f>
        <v>0.87798926305520064</v>
      </c>
      <c r="E21" s="40">
        <f t="shared" ref="E21:E84" si="15">((E$9-AI21-($A$5*$A$9*((E$3/10^6)-((E$3/10^6)*EXP(-1*$A$11*$B21)))))/(($A$5+$A$7)*$A$9))*10^6</f>
        <v>1.058077110785832</v>
      </c>
      <c r="F21" s="40">
        <f t="shared" ref="F21:F84" si="16">((F$9-AJ21-($A$5*$A$9*((F$3/10^6)-((F$3/10^6)*EXP(-1*$A$11*$B21)))))/(($A$5+$A$7)*$A$9))*10^6</f>
        <v>3.2420693020985625</v>
      </c>
      <c r="G21" s="40">
        <f t="shared" ref="G21:G84" si="17">((G$9-AK21-($A$5*$A$9*((G$3/10^6)-((G$3/10^6)*EXP(-1*$A$11*$B21)))))/(($A$5+$A$7)*$A$9))*10^6</f>
        <v>2.3743289409466448</v>
      </c>
      <c r="H21" s="40">
        <f t="shared" ref="H21:H84" si="18">((H$9-AL21-($A$5*$A$9*((H$3/10^6)-((H$3/10^6)*EXP(-1*$A$11*$B21)))))/(($A$5+$A$7)*$A$9))*10^6</f>
        <v>1.5065885797951606</v>
      </c>
      <c r="I21" s="40">
        <f t="shared" ref="I21:I84" si="19">((I$9-AM21-($A$5*$A$9*((I$3/10^6)-((I$3/10^6)*EXP(-1*$A$11*$B21)))))/(($A$5+$A$7)*$A$9))*10^6</f>
        <v>2.391654465593068</v>
      </c>
      <c r="J21" s="40">
        <f t="shared" ref="J21:J84" si="20">((J$9-AN21-($A$5*$A$9*((J$3/10^6)-((J$3/10^6)*EXP(-1*$A$11*$B21)))))/(($A$5+$A$7)*$A$9))*10^6</f>
        <v>1.7157149829183906</v>
      </c>
      <c r="K21" s="40">
        <f t="shared" ref="K21:K84" si="21">((K$9-AO21-($A$5*$A$9*((K$3/10^6)-((K$3/10^6)*EXP(-1*$A$11*$B21)))))/(($A$5+$A$7)*$A$9))*10^6</f>
        <v>2.5278184480234822</v>
      </c>
      <c r="L21" s="40">
        <f t="shared" ref="L21:L84" si="22">((L$9-AP21-($A$5*$A$9*((L$3/10^6)-((L$3/10^6)*EXP(-1*$A$11*$B21)))))/(($A$5+$A$7)*$A$9))*10^6</f>
        <v>2.7384089799902553</v>
      </c>
      <c r="M21" s="40">
        <f t="shared" ref="M21:M84" si="23">((M$9-AQ21-($A$5*$A$9*((M$3/10^6)-((M$3/10^6)*EXP(-1*$A$11*$B21)))))/(($A$5+$A$7)*$A$9))*10^6</f>
        <v>6.7105905319511744E-2</v>
      </c>
      <c r="N21" s="40">
        <f t="shared" ref="N21:N84" si="24">((N$9-AR21-($A$5*$A$9*((N$3/10^6)-((N$3/10^6)*EXP(-1*$A$11*$B21)))))/(($A$5+$A$7)*$A$9))*10^6</f>
        <v>0.60395314787690602</v>
      </c>
      <c r="O21" s="40"/>
      <c r="P21" s="39">
        <f t="shared" ref="P21:P84" si="25">((P$9-AS21-($A$5*$A$9*((P$3/10^6)-((P$3/10^6)*EXP(-1*$A$13*$B21)))))/(($A$5+$A$7)*$A$9))*10^6</f>
        <v>2.1007808687164147</v>
      </c>
      <c r="Q21" s="39">
        <f t="shared" ref="Q21:Q84" si="26">((Q$9-AT21-($A$5*$A$9*((Q$3/10^6)-((Q$3/10^6)*EXP(-1*$A$13*$B21)))))/(($A$5+$A$7)*$A$9))*10^6</f>
        <v>4.3299170326987646</v>
      </c>
      <c r="R21" s="39">
        <f t="shared" ref="R21:R84" si="27">((R$9-AU21-($A$5*$A$9*((R$3/10^6)-((R$3/10^6)*EXP(-1*$A$13*$B21)))))/(($A$5+$A$7)*$A$9))*10^6</f>
        <v>1.4921913128356064</v>
      </c>
      <c r="S21" s="39">
        <f t="shared" ref="S21:S84" si="28">((S$9-AV21-($A$5*$A$9*((S$3/10^6)-((S$3/10^6)*EXP(-1*$A$13*$B21)))))/(($A$5+$A$7)*$A$9))*10^6</f>
        <v>2.1886285993166323</v>
      </c>
      <c r="T21" s="39">
        <f t="shared" ref="T21:T84" si="29">((T$9-AW21-($A$5*$A$9*((T$3/10^6)-((T$3/10^6)*EXP(-1*$A$13*$B21)))))/(($A$5+$A$7)*$A$9))*10^6</f>
        <v>1.9548560273305651</v>
      </c>
      <c r="U21" s="39">
        <f t="shared" ref="U21:U84" si="30">((U$9-AX21-($A$5*$A$9*((U$3/10^6)-((U$3/10^6)*EXP(-1*$A$13*$B21)))))/(($A$5+$A$7)*$A$9))*10^6</f>
        <v>1.4289897510980087</v>
      </c>
      <c r="V21" s="39">
        <f t="shared" ref="V21:V84" si="31">((V$9-AY21-($A$5*$A$9*((V$3/10^6)-((V$3/10^6)*EXP(-1*$A$13*$B21)))))/(($A$5+$A$7)*$A$9))*10^6</f>
        <v>3.0139092240118761</v>
      </c>
      <c r="W21" s="39">
        <f t="shared" ref="W21:W84" si="32">((W$9-AZ21-($A$5*$A$9*((W$3/10^6)-((W$3/10^6)*EXP(-1*$A$13*$B21)))))/(($A$5+$A$7)*$A$9))*10^6</f>
        <v>4.2901415324548191</v>
      </c>
      <c r="X21" s="39">
        <f t="shared" ref="X21:X84" si="33">((X$9-BA21-($A$5*$A$9*((X$3/10^6)-((X$3/10^6)*EXP(-1*$A$13*$B21)))))/(($A$5+$A$7)*$A$9))*10^6</f>
        <v>1.5273304050758669</v>
      </c>
      <c r="Y21" s="39">
        <f t="shared" ref="Y21:Y84" si="34">((Y$9-BB21-($A$5*$A$9*((Y$3/10^6)-((Y$3/10^6)*EXP(-1*$A$13*$B21)))))/(($A$5+$A$7)*$A$9))*10^6</f>
        <v>3.0678379697412357</v>
      </c>
      <c r="Z21" s="39">
        <f t="shared" ref="Z21:Z84" si="35">((Z$9-BC21-($A$5*$A$9*((Z$3/10^6)-((Z$3/10^6)*EXP(-1*$A$13*$B21)))))/(($A$5+$A$7)*$A$9))*10^6</f>
        <v>1.6166422645191945</v>
      </c>
      <c r="AA21" s="39">
        <f t="shared" ref="AA21:AA84" si="36">((AA$9-BD21-($A$5*$A$9*((AA$3/10^6)-((AA$3/10^6)*EXP(-1*$A$13*$B21)))))/(($A$5+$A$7)*$A$9))*10^6</f>
        <v>2.9770619814543653</v>
      </c>
      <c r="AB21" s="38"/>
      <c r="AE21" s="29">
        <v>0</v>
      </c>
      <c r="AF21" s="14">
        <f>AE21*24*60*60</f>
        <v>0</v>
      </c>
      <c r="AG21" s="8">
        <v>2.1032999999999999</v>
      </c>
      <c r="AH21" s="8">
        <v>2.0872999999999999</v>
      </c>
      <c r="AI21" s="8">
        <v>2.1042999999999998</v>
      </c>
      <c r="AJ21" s="8">
        <v>2.0876000000000001</v>
      </c>
      <c r="AK21" s="8">
        <v>2.0996000000000001</v>
      </c>
      <c r="AL21" s="8">
        <v>2.0952999999999999</v>
      </c>
      <c r="AM21" s="8">
        <v>2.0794999999999999</v>
      </c>
      <c r="AN21" s="8">
        <v>2.081</v>
      </c>
      <c r="AO21" s="8">
        <v>2.0651999999999999</v>
      </c>
      <c r="AP21" s="8">
        <v>2.0790999999999999</v>
      </c>
      <c r="AQ21" s="8">
        <v>2.0847000000000002</v>
      </c>
      <c r="AR21" s="8">
        <v>2.044</v>
      </c>
      <c r="AS21" s="8">
        <v>2.1044999999999998</v>
      </c>
      <c r="AT21" s="8">
        <v>2.0958000000000001</v>
      </c>
      <c r="AU21" s="8">
        <v>2.1158999999999999</v>
      </c>
      <c r="AV21" s="8">
        <v>2.1063000000000001</v>
      </c>
      <c r="AW21" s="8">
        <v>2.1109</v>
      </c>
      <c r="AX21" s="8">
        <v>2.0813000000000001</v>
      </c>
      <c r="AY21" s="8">
        <v>2.0985999999999998</v>
      </c>
      <c r="AZ21" s="8">
        <v>2.0960999999999999</v>
      </c>
      <c r="BA21" s="8">
        <v>2.0916999999999999</v>
      </c>
      <c r="BB21" s="8">
        <v>2.0988000000000002</v>
      </c>
      <c r="BC21" s="8">
        <v>2.1019000000000001</v>
      </c>
      <c r="BD21" s="8">
        <v>2.0697000000000001</v>
      </c>
    </row>
    <row r="22" spans="2:56" s="13" customFormat="1" x14ac:dyDescent="0.3">
      <c r="B22" s="22">
        <f t="shared" si="12"/>
        <v>8</v>
      </c>
      <c r="C22" s="40">
        <f t="shared" si="13"/>
        <v>1.1900927281599747</v>
      </c>
      <c r="D22" s="40">
        <f t="shared" si="14"/>
        <v>1.5124450951684649</v>
      </c>
      <c r="E22" s="40">
        <f t="shared" si="15"/>
        <v>3.3518789653488894</v>
      </c>
      <c r="F22" s="40">
        <f t="shared" si="16"/>
        <v>3.339677891654433</v>
      </c>
      <c r="G22" s="40">
        <f t="shared" si="17"/>
        <v>3.692044899951</v>
      </c>
      <c r="H22" s="40">
        <f t="shared" si="18"/>
        <v>1.0185456320158097</v>
      </c>
      <c r="I22" s="40">
        <f t="shared" si="19"/>
        <v>2.6356759394826352</v>
      </c>
      <c r="J22" s="40">
        <f t="shared" si="20"/>
        <v>2.008540751586001</v>
      </c>
      <c r="K22" s="40">
        <f t="shared" si="21"/>
        <v>1.8933626159102175</v>
      </c>
      <c r="L22" s="40">
        <f t="shared" si="22"/>
        <v>2.5919960956563415</v>
      </c>
      <c r="M22" s="40">
        <f t="shared" si="23"/>
        <v>0.359931673987339</v>
      </c>
      <c r="N22" s="40">
        <f t="shared" si="24"/>
        <v>0.79917032698864632</v>
      </c>
      <c r="O22" s="40"/>
      <c r="P22" s="39">
        <f t="shared" si="25"/>
        <v>1.5151293313809768</v>
      </c>
      <c r="Q22" s="39">
        <f t="shared" si="26"/>
        <v>2.9145924841385389</v>
      </c>
      <c r="R22" s="39">
        <f t="shared" si="27"/>
        <v>1.7850170815032169</v>
      </c>
      <c r="S22" s="39">
        <f t="shared" si="28"/>
        <v>2.9206930209857673</v>
      </c>
      <c r="T22" s="39">
        <f t="shared" si="29"/>
        <v>3.2237676915570943</v>
      </c>
      <c r="U22" s="39">
        <f t="shared" si="30"/>
        <v>0.98975109809670114</v>
      </c>
      <c r="V22" s="39">
        <f t="shared" si="31"/>
        <v>0.81771595900447192</v>
      </c>
      <c r="W22" s="39">
        <f t="shared" si="32"/>
        <v>2.7284040995606791</v>
      </c>
      <c r="X22" s="39">
        <f t="shared" si="33"/>
        <v>0.74646168862868878</v>
      </c>
      <c r="Y22" s="39">
        <f t="shared" si="34"/>
        <v>2.7750122010736251</v>
      </c>
      <c r="Z22" s="39">
        <f t="shared" si="35"/>
        <v>1.4702293801854978</v>
      </c>
      <c r="AA22" s="39">
        <f t="shared" si="36"/>
        <v>1.8057589067839233</v>
      </c>
      <c r="AB22" s="38"/>
      <c r="AE22" s="29">
        <v>9.2592592592592588E-5</v>
      </c>
      <c r="AF22" s="14">
        <f t="shared" ref="AF22:AF85" si="37">AE22*24*60*60</f>
        <v>8</v>
      </c>
      <c r="AG22" s="8">
        <v>2.1019000000000001</v>
      </c>
      <c r="AH22" s="8">
        <v>2.0859999999999999</v>
      </c>
      <c r="AI22" s="8">
        <v>2.0996000000000001</v>
      </c>
      <c r="AJ22" s="8">
        <v>2.0874000000000001</v>
      </c>
      <c r="AK22" s="8">
        <v>2.0969000000000002</v>
      </c>
      <c r="AL22" s="8">
        <v>2.0962999999999998</v>
      </c>
      <c r="AM22" s="8">
        <v>2.0790000000000002</v>
      </c>
      <c r="AN22" s="8">
        <v>2.0804</v>
      </c>
      <c r="AO22" s="8">
        <v>2.0665</v>
      </c>
      <c r="AP22" s="8">
        <v>2.0794000000000001</v>
      </c>
      <c r="AQ22" s="8">
        <v>2.0840999999999998</v>
      </c>
      <c r="AR22" s="8">
        <v>2.0436000000000001</v>
      </c>
      <c r="AS22" s="8">
        <v>2.1057000000000001</v>
      </c>
      <c r="AT22" s="8">
        <v>2.0987</v>
      </c>
      <c r="AU22" s="8">
        <v>2.1153</v>
      </c>
      <c r="AV22" s="8">
        <v>2.1048</v>
      </c>
      <c r="AW22" s="8">
        <v>2.1082999999999998</v>
      </c>
      <c r="AX22" s="8">
        <v>2.0821999999999998</v>
      </c>
      <c r="AY22" s="8">
        <v>2.1031</v>
      </c>
      <c r="AZ22" s="8">
        <v>2.0992999999999999</v>
      </c>
      <c r="BA22" s="8">
        <v>2.0933000000000002</v>
      </c>
      <c r="BB22" s="8">
        <v>2.0994000000000002</v>
      </c>
      <c r="BC22" s="8">
        <v>2.1021999999999998</v>
      </c>
      <c r="BD22" s="8">
        <v>2.0720999999999998</v>
      </c>
    </row>
    <row r="23" spans="2:56" s="13" customFormat="1" x14ac:dyDescent="0.3">
      <c r="B23" s="22">
        <f t="shared" si="12"/>
        <v>16</v>
      </c>
      <c r="C23" s="40">
        <f t="shared" si="13"/>
        <v>2.1661786237188929</v>
      </c>
      <c r="D23" s="40">
        <f t="shared" si="14"/>
        <v>3.3182040019521715</v>
      </c>
      <c r="E23" s="40">
        <f t="shared" si="15"/>
        <v>4.5719863347973746</v>
      </c>
      <c r="F23" s="40">
        <f t="shared" si="16"/>
        <v>5.1942410932161822</v>
      </c>
      <c r="G23" s="40">
        <f t="shared" si="17"/>
        <v>5.4001952171790535</v>
      </c>
      <c r="H23" s="40">
        <f t="shared" si="18"/>
        <v>2.8731088335775596</v>
      </c>
      <c r="I23" s="40">
        <f t="shared" si="19"/>
        <v>3.6117618350415532</v>
      </c>
      <c r="J23" s="40">
        <f t="shared" si="20"/>
        <v>3.2286481210344866</v>
      </c>
      <c r="K23" s="40">
        <f t="shared" si="21"/>
        <v>3.6503172279160974</v>
      </c>
      <c r="L23" s="40">
        <f t="shared" si="22"/>
        <v>4.3001464128843949</v>
      </c>
      <c r="M23" s="40">
        <f t="shared" si="23"/>
        <v>1.6288433382136511</v>
      </c>
      <c r="N23" s="40">
        <f t="shared" si="24"/>
        <v>1.5800390434358245</v>
      </c>
      <c r="O23" s="40"/>
      <c r="P23" s="39">
        <f t="shared" si="25"/>
        <v>1.027086383601626</v>
      </c>
      <c r="Q23" s="39">
        <f t="shared" si="26"/>
        <v>1.9385065885798372</v>
      </c>
      <c r="R23" s="39">
        <f t="shared" si="27"/>
        <v>0.955344070278212</v>
      </c>
      <c r="S23" s="39">
        <f t="shared" si="28"/>
        <v>1.7493899463151086</v>
      </c>
      <c r="T23" s="39">
        <f t="shared" si="29"/>
        <v>1.418008784773171</v>
      </c>
      <c r="U23" s="39">
        <f t="shared" si="30"/>
        <v>2.3562713518788838</v>
      </c>
      <c r="V23" s="39">
        <f t="shared" si="31"/>
        <v>0.47608589555881797</v>
      </c>
      <c r="W23" s="39">
        <f t="shared" si="32"/>
        <v>2.533186920448939</v>
      </c>
      <c r="X23" s="39">
        <f t="shared" si="33"/>
        <v>1.0880917520743427</v>
      </c>
      <c r="Y23" s="39">
        <f t="shared" si="34"/>
        <v>2.6774036115177551</v>
      </c>
      <c r="Z23" s="39">
        <f t="shared" si="35"/>
        <v>0.64055636896049273</v>
      </c>
      <c r="AA23" s="39">
        <f t="shared" si="36"/>
        <v>1.7081503172280532</v>
      </c>
      <c r="AB23" s="38"/>
      <c r="AE23" s="29">
        <v>1.8518518518518518E-4</v>
      </c>
      <c r="AF23" s="14">
        <f t="shared" si="37"/>
        <v>16</v>
      </c>
      <c r="AG23" s="8">
        <v>2.0998999999999999</v>
      </c>
      <c r="AH23" s="8">
        <v>2.0823</v>
      </c>
      <c r="AI23" s="8">
        <v>2.0971000000000002</v>
      </c>
      <c r="AJ23" s="8">
        <v>2.0836000000000001</v>
      </c>
      <c r="AK23" s="8">
        <v>2.0933999999999999</v>
      </c>
      <c r="AL23" s="8">
        <v>2.0924999999999998</v>
      </c>
      <c r="AM23" s="8">
        <v>2.077</v>
      </c>
      <c r="AN23" s="8">
        <v>2.0779000000000001</v>
      </c>
      <c r="AO23" s="8">
        <v>2.0629</v>
      </c>
      <c r="AP23" s="8">
        <v>2.0758999999999999</v>
      </c>
      <c r="AQ23" s="8">
        <v>2.0815000000000001</v>
      </c>
      <c r="AR23" s="8">
        <v>2.0419999999999998</v>
      </c>
      <c r="AS23" s="8">
        <v>2.1067</v>
      </c>
      <c r="AT23" s="8">
        <v>2.1006999999999998</v>
      </c>
      <c r="AU23" s="8">
        <v>2.117</v>
      </c>
      <c r="AV23" s="8">
        <v>2.1072000000000002</v>
      </c>
      <c r="AW23" s="8">
        <v>2.1120000000000001</v>
      </c>
      <c r="AX23" s="8">
        <v>2.0794000000000001</v>
      </c>
      <c r="AY23" s="8">
        <v>2.1038000000000001</v>
      </c>
      <c r="AZ23" s="8">
        <v>2.0996999999999999</v>
      </c>
      <c r="BA23" s="8">
        <v>2.0926</v>
      </c>
      <c r="BB23" s="8">
        <v>2.0996000000000001</v>
      </c>
      <c r="BC23" s="8">
        <v>2.1038999999999999</v>
      </c>
      <c r="BD23" s="8">
        <v>2.0722999999999998</v>
      </c>
    </row>
    <row r="24" spans="2:56" s="13" customFormat="1" x14ac:dyDescent="0.3">
      <c r="B24" s="22">
        <f t="shared" si="12"/>
        <v>23.999999999999996</v>
      </c>
      <c r="C24" s="40">
        <f t="shared" si="13"/>
        <v>1.3365056124938883</v>
      </c>
      <c r="D24" s="40">
        <f t="shared" si="14"/>
        <v>2.976573938506518</v>
      </c>
      <c r="E24" s="40">
        <f t="shared" si="15"/>
        <v>4.5719863347973746</v>
      </c>
      <c r="F24" s="40">
        <f t="shared" si="16"/>
        <v>4.6573938506587886</v>
      </c>
      <c r="G24" s="40">
        <f t="shared" si="17"/>
        <v>5.2537823328451401</v>
      </c>
      <c r="H24" s="40">
        <f t="shared" si="18"/>
        <v>3.0195217179112568</v>
      </c>
      <c r="I24" s="40">
        <f t="shared" si="19"/>
        <v>4.1974133723767739</v>
      </c>
      <c r="J24" s="40">
        <f t="shared" si="20"/>
        <v>3.0334309419227461</v>
      </c>
      <c r="K24" s="40">
        <f t="shared" si="21"/>
        <v>3.4551000488043568</v>
      </c>
      <c r="L24" s="40">
        <f t="shared" si="22"/>
        <v>4.2513421181063507</v>
      </c>
      <c r="M24" s="40">
        <f t="shared" si="23"/>
        <v>1.3848218643240842</v>
      </c>
      <c r="N24" s="40">
        <f t="shared" si="24"/>
        <v>0.84797462176668981</v>
      </c>
      <c r="O24" s="40"/>
      <c r="P24" s="39">
        <f t="shared" si="25"/>
        <v>2.3936066373840248</v>
      </c>
      <c r="Q24" s="39">
        <f t="shared" si="26"/>
        <v>2.2801366520252744</v>
      </c>
      <c r="R24" s="39">
        <f t="shared" si="27"/>
        <v>0.955344070278212</v>
      </c>
      <c r="S24" s="39">
        <f t="shared" si="28"/>
        <v>1.4077598828696711</v>
      </c>
      <c r="T24" s="39">
        <f t="shared" si="29"/>
        <v>2.0036603221086091</v>
      </c>
      <c r="U24" s="39">
        <f t="shared" si="30"/>
        <v>1.5754026354319222</v>
      </c>
      <c r="V24" s="39">
        <f t="shared" si="31"/>
        <v>0.52489019033686146</v>
      </c>
      <c r="W24" s="39">
        <f t="shared" si="32"/>
        <v>2.1915568570032846</v>
      </c>
      <c r="X24" s="39">
        <f t="shared" si="33"/>
        <v>0.94167886774042919</v>
      </c>
      <c r="Y24" s="39">
        <f t="shared" si="34"/>
        <v>3.0190336749634086</v>
      </c>
      <c r="Z24" s="39">
        <f t="shared" si="35"/>
        <v>1.3238164958515839</v>
      </c>
      <c r="AA24" s="39">
        <f t="shared" si="36"/>
        <v>1.6105417276721827</v>
      </c>
      <c r="AB24" s="38"/>
      <c r="AE24" s="29">
        <v>2.7777777777777778E-4</v>
      </c>
      <c r="AF24" s="14">
        <f t="shared" si="37"/>
        <v>23.999999999999996</v>
      </c>
      <c r="AG24" s="8">
        <v>2.1015999999999999</v>
      </c>
      <c r="AH24" s="8">
        <v>2.0830000000000002</v>
      </c>
      <c r="AI24" s="8">
        <v>2.0971000000000002</v>
      </c>
      <c r="AJ24" s="8">
        <v>2.0847000000000002</v>
      </c>
      <c r="AK24" s="8">
        <v>2.0937000000000001</v>
      </c>
      <c r="AL24" s="8">
        <v>2.0922000000000001</v>
      </c>
      <c r="AM24" s="8">
        <v>2.0758000000000001</v>
      </c>
      <c r="AN24" s="8">
        <v>2.0783</v>
      </c>
      <c r="AO24" s="8">
        <v>2.0632999999999999</v>
      </c>
      <c r="AP24" s="8">
        <v>2.0760000000000001</v>
      </c>
      <c r="AQ24" s="8">
        <v>2.0819999999999999</v>
      </c>
      <c r="AR24" s="8">
        <v>2.0434999999999999</v>
      </c>
      <c r="AS24" s="8">
        <v>2.1038999999999999</v>
      </c>
      <c r="AT24" s="8">
        <v>2.1</v>
      </c>
      <c r="AU24" s="8">
        <v>2.117</v>
      </c>
      <c r="AV24" s="8">
        <v>2.1078999999999999</v>
      </c>
      <c r="AW24" s="8">
        <v>2.1107999999999998</v>
      </c>
      <c r="AX24" s="8">
        <v>2.081</v>
      </c>
      <c r="AY24" s="8">
        <v>2.1036999999999999</v>
      </c>
      <c r="AZ24" s="8">
        <v>2.1004</v>
      </c>
      <c r="BA24" s="8">
        <v>2.0929000000000002</v>
      </c>
      <c r="BB24" s="8">
        <v>2.0989</v>
      </c>
      <c r="BC24" s="8">
        <v>2.1025</v>
      </c>
      <c r="BD24" s="8">
        <v>2.0724999999999998</v>
      </c>
    </row>
    <row r="25" spans="2:56" s="13" customFormat="1" x14ac:dyDescent="0.3">
      <c r="B25" s="22">
        <f t="shared" si="12"/>
        <v>32</v>
      </c>
      <c r="C25" s="40">
        <f t="shared" si="13"/>
        <v>2.3613958028306334</v>
      </c>
      <c r="D25" s="40">
        <f t="shared" si="14"/>
        <v>3.7086383601756525</v>
      </c>
      <c r="E25" s="40">
        <f t="shared" si="15"/>
        <v>5.889702293801947</v>
      </c>
      <c r="F25" s="40">
        <f t="shared" si="16"/>
        <v>5.6334797462177066</v>
      </c>
      <c r="G25" s="40">
        <f t="shared" si="17"/>
        <v>5.9858467545142746</v>
      </c>
      <c r="H25" s="40">
        <f t="shared" si="18"/>
        <v>3.2147388970229969</v>
      </c>
      <c r="I25" s="40">
        <f t="shared" si="19"/>
        <v>4.1486090775989473</v>
      </c>
      <c r="J25" s="40">
        <f t="shared" si="20"/>
        <v>3.0334309419227461</v>
      </c>
      <c r="K25" s="40">
        <f t="shared" si="21"/>
        <v>3.0158613958028329</v>
      </c>
      <c r="L25" s="40">
        <f t="shared" si="22"/>
        <v>3.0800390434359088</v>
      </c>
      <c r="M25" s="40">
        <f t="shared" si="23"/>
        <v>1.6776476329916945</v>
      </c>
      <c r="N25" s="40">
        <f t="shared" si="24"/>
        <v>1.04319180087843</v>
      </c>
      <c r="O25" s="40"/>
      <c r="P25" s="39">
        <f t="shared" si="25"/>
        <v>1.7591508052707607</v>
      </c>
      <c r="Q25" s="39">
        <f t="shared" si="26"/>
        <v>1.4504636408002698</v>
      </c>
      <c r="R25" s="39">
        <f t="shared" si="27"/>
        <v>1.6386041971693033</v>
      </c>
      <c r="S25" s="39">
        <f t="shared" si="28"/>
        <v>0.91971693509010377</v>
      </c>
      <c r="T25" s="39">
        <f t="shared" si="29"/>
        <v>2.3940946803320893</v>
      </c>
      <c r="U25" s="39">
        <f t="shared" si="30"/>
        <v>1.6242069302097488</v>
      </c>
      <c r="V25" s="39">
        <f t="shared" si="31"/>
        <v>1.7449975597853469</v>
      </c>
      <c r="W25" s="39">
        <f t="shared" si="32"/>
        <v>3.1676427525622035</v>
      </c>
      <c r="X25" s="39">
        <f t="shared" si="33"/>
        <v>1.4785261102978235</v>
      </c>
      <c r="Y25" s="39">
        <f t="shared" si="34"/>
        <v>2.8726207906294956</v>
      </c>
      <c r="Z25" s="39">
        <f t="shared" si="35"/>
        <v>2.1046852122985453</v>
      </c>
      <c r="AA25" s="39">
        <f t="shared" si="36"/>
        <v>1.512933138116096</v>
      </c>
      <c r="AB25" s="38"/>
      <c r="AE25" s="29">
        <v>3.7037037037037035E-4</v>
      </c>
      <c r="AF25" s="14">
        <f t="shared" si="37"/>
        <v>32</v>
      </c>
      <c r="AG25" s="8">
        <v>2.0994999999999999</v>
      </c>
      <c r="AH25" s="8">
        <v>2.0815000000000001</v>
      </c>
      <c r="AI25" s="8">
        <v>2.0943999999999998</v>
      </c>
      <c r="AJ25" s="8">
        <v>2.0827</v>
      </c>
      <c r="AK25" s="8">
        <v>2.0922000000000001</v>
      </c>
      <c r="AL25" s="8">
        <v>2.0918000000000001</v>
      </c>
      <c r="AM25" s="8">
        <v>2.0758999999999999</v>
      </c>
      <c r="AN25" s="8">
        <v>2.0783</v>
      </c>
      <c r="AO25" s="8">
        <v>2.0642</v>
      </c>
      <c r="AP25" s="8">
        <v>2.0783999999999998</v>
      </c>
      <c r="AQ25" s="8">
        <v>2.0813999999999999</v>
      </c>
      <c r="AR25" s="8">
        <v>2.0430999999999999</v>
      </c>
      <c r="AS25" s="8">
        <v>2.1052</v>
      </c>
      <c r="AT25" s="8">
        <v>2.1017000000000001</v>
      </c>
      <c r="AU25" s="8">
        <v>2.1156000000000001</v>
      </c>
      <c r="AV25" s="8">
        <v>2.1089000000000002</v>
      </c>
      <c r="AW25" s="8">
        <v>2.11</v>
      </c>
      <c r="AX25" s="8">
        <v>2.0809000000000002</v>
      </c>
      <c r="AY25" s="8">
        <v>2.1012</v>
      </c>
      <c r="AZ25" s="8">
        <v>2.0983999999999998</v>
      </c>
      <c r="BA25" s="8">
        <v>2.0918000000000001</v>
      </c>
      <c r="BB25" s="8">
        <v>2.0992000000000002</v>
      </c>
      <c r="BC25" s="8">
        <v>2.1009000000000002</v>
      </c>
      <c r="BD25" s="8">
        <v>2.0727000000000002</v>
      </c>
    </row>
    <row r="26" spans="2:56" s="13" customFormat="1" x14ac:dyDescent="0.3">
      <c r="B26" s="22">
        <f t="shared" si="12"/>
        <v>40</v>
      </c>
      <c r="C26" s="40">
        <f t="shared" si="13"/>
        <v>2.2149829184967196</v>
      </c>
      <c r="D26" s="40">
        <f t="shared" si="14"/>
        <v>3.8550512445095659</v>
      </c>
      <c r="E26" s="40">
        <f t="shared" si="15"/>
        <v>5.5968765251341202</v>
      </c>
      <c r="F26" s="40">
        <f t="shared" si="16"/>
        <v>5.9263055148853168</v>
      </c>
      <c r="G26" s="40">
        <f t="shared" si="17"/>
        <v>6.4738897022936248</v>
      </c>
      <c r="H26" s="40">
        <f t="shared" si="18"/>
        <v>4.1420204978038724</v>
      </c>
      <c r="I26" s="40">
        <f t="shared" si="19"/>
        <v>4.9294777940459085</v>
      </c>
      <c r="J26" s="40">
        <f t="shared" si="20"/>
        <v>3.5214738897020972</v>
      </c>
      <c r="K26" s="40">
        <f t="shared" si="21"/>
        <v>3.308687164470443</v>
      </c>
      <c r="L26" s="40">
        <f t="shared" si="22"/>
        <v>3.4704734016593899</v>
      </c>
      <c r="M26" s="40">
        <f t="shared" si="23"/>
        <v>1.8240605173253917</v>
      </c>
      <c r="N26" s="40">
        <f t="shared" si="24"/>
        <v>0.99438750610038673</v>
      </c>
      <c r="O26" s="40"/>
      <c r="P26" s="39">
        <f t="shared" si="25"/>
        <v>2.0519765739383713</v>
      </c>
      <c r="Q26" s="39">
        <f t="shared" si="26"/>
        <v>2.6217667154709283</v>
      </c>
      <c r="R26" s="39">
        <f t="shared" si="27"/>
        <v>1.540995607613433</v>
      </c>
      <c r="S26" s="39">
        <f t="shared" si="28"/>
        <v>1.7005856515372819</v>
      </c>
      <c r="T26" s="39">
        <f t="shared" si="29"/>
        <v>2.540507564665786</v>
      </c>
      <c r="U26" s="39">
        <f t="shared" si="30"/>
        <v>1.7218155197656191</v>
      </c>
      <c r="V26" s="39">
        <f t="shared" si="31"/>
        <v>1.5497803806736066</v>
      </c>
      <c r="W26" s="39">
        <f t="shared" si="32"/>
        <v>3.1188384577841601</v>
      </c>
      <c r="X26" s="39">
        <f t="shared" si="33"/>
        <v>1.7225475841876072</v>
      </c>
      <c r="Y26" s="39">
        <f t="shared" si="34"/>
        <v>4.4343582235236347</v>
      </c>
      <c r="Z26" s="39">
        <f t="shared" si="35"/>
        <v>1.3726207906296273</v>
      </c>
      <c r="AA26" s="39">
        <f t="shared" si="36"/>
        <v>2.2938018545632741</v>
      </c>
      <c r="AB26" s="38"/>
      <c r="AE26" s="29">
        <v>4.6296296296296293E-4</v>
      </c>
      <c r="AF26" s="14">
        <f t="shared" si="37"/>
        <v>40</v>
      </c>
      <c r="AG26" s="8">
        <v>2.0998000000000001</v>
      </c>
      <c r="AH26" s="8">
        <v>2.0811999999999999</v>
      </c>
      <c r="AI26" s="8">
        <v>2.0950000000000002</v>
      </c>
      <c r="AJ26" s="8">
        <v>2.0821000000000001</v>
      </c>
      <c r="AK26" s="8">
        <v>2.0912000000000002</v>
      </c>
      <c r="AL26" s="8">
        <v>2.0899000000000001</v>
      </c>
      <c r="AM26" s="8">
        <v>2.0743</v>
      </c>
      <c r="AN26" s="8">
        <v>2.0773000000000001</v>
      </c>
      <c r="AO26" s="8">
        <v>2.0636000000000001</v>
      </c>
      <c r="AP26" s="8">
        <v>2.0775999999999999</v>
      </c>
      <c r="AQ26" s="8">
        <v>2.0811000000000002</v>
      </c>
      <c r="AR26" s="8">
        <v>2.0432000000000001</v>
      </c>
      <c r="AS26" s="8">
        <v>2.1046</v>
      </c>
      <c r="AT26" s="8">
        <v>2.0992999999999999</v>
      </c>
      <c r="AU26" s="8">
        <v>2.1158000000000001</v>
      </c>
      <c r="AV26" s="8">
        <v>2.1073</v>
      </c>
      <c r="AW26" s="8">
        <v>2.1097000000000001</v>
      </c>
      <c r="AX26" s="8">
        <v>2.0807000000000002</v>
      </c>
      <c r="AY26" s="8">
        <v>2.1015999999999999</v>
      </c>
      <c r="AZ26" s="8">
        <v>2.0985</v>
      </c>
      <c r="BA26" s="8">
        <v>2.0912999999999999</v>
      </c>
      <c r="BB26" s="8">
        <v>2.0960000000000001</v>
      </c>
      <c r="BC26" s="8">
        <v>2.1023999999999998</v>
      </c>
      <c r="BD26" s="8">
        <v>2.0710999999999999</v>
      </c>
    </row>
    <row r="27" spans="2:56" s="13" customFormat="1" x14ac:dyDescent="0.3">
      <c r="B27" s="22">
        <f t="shared" si="12"/>
        <v>47.999999999999993</v>
      </c>
      <c r="C27" s="40">
        <f t="shared" si="13"/>
        <v>1.9709614446071526</v>
      </c>
      <c r="D27" s="40">
        <f t="shared" si="14"/>
        <v>2.976573938506518</v>
      </c>
      <c r="E27" s="40">
        <f t="shared" si="15"/>
        <v>6.4753538311371681</v>
      </c>
      <c r="F27" s="40">
        <f t="shared" si="16"/>
        <v>6.5119570522205379</v>
      </c>
      <c r="G27" s="40">
        <f t="shared" si="17"/>
        <v>7.2059541239627594</v>
      </c>
      <c r="H27" s="40">
        <f t="shared" si="18"/>
        <v>5.069302098584747</v>
      </c>
      <c r="I27" s="40">
        <f t="shared" si="19"/>
        <v>5.2223035627135195</v>
      </c>
      <c r="J27" s="40">
        <f t="shared" si="20"/>
        <v>3.9607125427036212</v>
      </c>
      <c r="K27" s="40">
        <f t="shared" si="21"/>
        <v>4.7240117130306691</v>
      </c>
      <c r="L27" s="40">
        <f t="shared" si="22"/>
        <v>4.5441678867739617</v>
      </c>
      <c r="M27" s="40">
        <f t="shared" si="23"/>
        <v>1.7264519277695214</v>
      </c>
      <c r="N27" s="40">
        <f t="shared" si="24"/>
        <v>1.8240605173253917</v>
      </c>
      <c r="O27" s="40"/>
      <c r="P27" s="39">
        <f t="shared" si="25"/>
        <v>4.638604197169256</v>
      </c>
      <c r="Q27" s="39">
        <f t="shared" si="26"/>
        <v>2.9633967789165823</v>
      </c>
      <c r="R27" s="39">
        <f t="shared" si="27"/>
        <v>2.809907271839962</v>
      </c>
      <c r="S27" s="39">
        <f t="shared" si="28"/>
        <v>2.7254758418740268</v>
      </c>
      <c r="T27" s="39">
        <f t="shared" si="29"/>
        <v>2.4917032698879598</v>
      </c>
      <c r="U27" s="39">
        <f t="shared" si="30"/>
        <v>1.965836993655403</v>
      </c>
      <c r="V27" s="39">
        <f t="shared" si="31"/>
        <v>1.354563201561866</v>
      </c>
      <c r="W27" s="39">
        <f t="shared" si="32"/>
        <v>2.7772083943385057</v>
      </c>
      <c r="X27" s="39">
        <f t="shared" si="33"/>
        <v>2.5522205954126118</v>
      </c>
      <c r="Y27" s="39">
        <f t="shared" si="34"/>
        <v>3.6046852122986301</v>
      </c>
      <c r="Z27" s="39">
        <f t="shared" si="35"/>
        <v>1.5678379697413678</v>
      </c>
      <c r="AA27" s="39">
        <f t="shared" si="36"/>
        <v>2.5378233284528413</v>
      </c>
      <c r="AB27" s="38"/>
      <c r="AE27" s="29">
        <v>5.5555555555555556E-4</v>
      </c>
      <c r="AF27" s="14">
        <f t="shared" si="37"/>
        <v>47.999999999999993</v>
      </c>
      <c r="AG27" s="8">
        <v>2.1002999999999998</v>
      </c>
      <c r="AH27" s="8">
        <v>2.0830000000000002</v>
      </c>
      <c r="AI27" s="8">
        <v>2.0931999999999999</v>
      </c>
      <c r="AJ27" s="8">
        <v>2.0809000000000002</v>
      </c>
      <c r="AK27" s="8">
        <v>2.0897000000000001</v>
      </c>
      <c r="AL27" s="8">
        <v>2.0880000000000001</v>
      </c>
      <c r="AM27" s="8">
        <v>2.0737000000000001</v>
      </c>
      <c r="AN27" s="8">
        <v>2.0764</v>
      </c>
      <c r="AO27" s="8">
        <v>2.0607000000000002</v>
      </c>
      <c r="AP27" s="8">
        <v>2.0754000000000001</v>
      </c>
      <c r="AQ27" s="8">
        <v>2.0813000000000001</v>
      </c>
      <c r="AR27" s="8">
        <v>2.0415000000000001</v>
      </c>
      <c r="AS27" s="8">
        <v>2.0992999999999999</v>
      </c>
      <c r="AT27" s="8">
        <v>2.0985999999999998</v>
      </c>
      <c r="AU27" s="8">
        <v>2.1132</v>
      </c>
      <c r="AV27" s="8">
        <v>2.1052</v>
      </c>
      <c r="AW27" s="8">
        <v>2.1097999999999999</v>
      </c>
      <c r="AX27" s="8">
        <v>2.0802</v>
      </c>
      <c r="AY27" s="8">
        <v>2.1019999999999999</v>
      </c>
      <c r="AZ27" s="8">
        <v>2.0992000000000002</v>
      </c>
      <c r="BA27" s="8">
        <v>2.0895999999999999</v>
      </c>
      <c r="BB27" s="8">
        <v>2.0977000000000001</v>
      </c>
      <c r="BC27" s="8">
        <v>2.1019999999999999</v>
      </c>
      <c r="BD27" s="8">
        <v>2.0706000000000002</v>
      </c>
    </row>
    <row r="28" spans="2:56" s="13" customFormat="1" x14ac:dyDescent="0.3">
      <c r="B28" s="22">
        <f t="shared" si="12"/>
        <v>56</v>
      </c>
      <c r="C28" s="40">
        <f t="shared" si="13"/>
        <v>2.11737432894085</v>
      </c>
      <c r="D28" s="40">
        <f t="shared" si="14"/>
        <v>4.3918984870669604</v>
      </c>
      <c r="E28" s="40">
        <f t="shared" si="15"/>
        <v>7.8906783796973947</v>
      </c>
      <c r="F28" s="40">
        <f t="shared" si="16"/>
        <v>7.3416300634455434</v>
      </c>
      <c r="G28" s="40">
        <f t="shared" si="17"/>
        <v>7.8404099560760248</v>
      </c>
      <c r="H28" s="40">
        <f t="shared" si="18"/>
        <v>5.0204978038069203</v>
      </c>
      <c r="I28" s="40">
        <f t="shared" si="19"/>
        <v>5.1734992679356928</v>
      </c>
      <c r="J28" s="40">
        <f t="shared" si="20"/>
        <v>3.8142996583697077</v>
      </c>
      <c r="K28" s="40">
        <f t="shared" si="21"/>
        <v>4.6264031234747991</v>
      </c>
      <c r="L28" s="40">
        <f t="shared" si="22"/>
        <v>4.9834065397754852</v>
      </c>
      <c r="M28" s="40">
        <f t="shared" si="23"/>
        <v>2.7025378233284396</v>
      </c>
      <c r="N28" s="40">
        <f t="shared" si="24"/>
        <v>1.8240605173253917</v>
      </c>
      <c r="O28" s="40"/>
      <c r="P28" s="39">
        <f t="shared" si="25"/>
        <v>3.1744753538309864</v>
      </c>
      <c r="Q28" s="39">
        <f t="shared" si="26"/>
        <v>2.2801366520252744</v>
      </c>
      <c r="R28" s="39">
        <f t="shared" si="27"/>
        <v>2.2242557345047409</v>
      </c>
      <c r="S28" s="39">
        <f t="shared" si="28"/>
        <v>2.2862371888725028</v>
      </c>
      <c r="T28" s="39">
        <f t="shared" si="29"/>
        <v>2.7357247437775265</v>
      </c>
      <c r="U28" s="39">
        <f t="shared" si="30"/>
        <v>3.478770131771499</v>
      </c>
      <c r="V28" s="39">
        <f t="shared" si="31"/>
        <v>1.6473889702294768</v>
      </c>
      <c r="W28" s="39">
        <f t="shared" si="32"/>
        <v>2.093948267447415</v>
      </c>
      <c r="X28" s="39">
        <f t="shared" si="33"/>
        <v>2.2593948267450013</v>
      </c>
      <c r="Y28" s="39">
        <f t="shared" si="34"/>
        <v>4.287945339189938</v>
      </c>
      <c r="Z28" s="39">
        <f t="shared" si="35"/>
        <v>2.1534895070765887</v>
      </c>
      <c r="AA28" s="39">
        <f t="shared" si="36"/>
        <v>2.6354319180089281</v>
      </c>
      <c r="AB28" s="38"/>
      <c r="AE28" s="29">
        <v>6.4814814814814813E-4</v>
      </c>
      <c r="AF28" s="14">
        <f t="shared" si="37"/>
        <v>56</v>
      </c>
      <c r="AG28" s="8">
        <v>2.1</v>
      </c>
      <c r="AH28" s="8">
        <v>2.0800999999999998</v>
      </c>
      <c r="AI28" s="8">
        <v>2.0903</v>
      </c>
      <c r="AJ28" s="8">
        <v>2.0792000000000002</v>
      </c>
      <c r="AK28" s="8">
        <v>2.0884</v>
      </c>
      <c r="AL28" s="8">
        <v>2.0880999999999998</v>
      </c>
      <c r="AM28" s="8">
        <v>2.0737999999999999</v>
      </c>
      <c r="AN28" s="8">
        <v>2.0767000000000002</v>
      </c>
      <c r="AO28" s="8">
        <v>2.0609000000000002</v>
      </c>
      <c r="AP28" s="8">
        <v>2.0745</v>
      </c>
      <c r="AQ28" s="8">
        <v>2.0792999999999999</v>
      </c>
      <c r="AR28" s="8">
        <v>2.0415000000000001</v>
      </c>
      <c r="AS28" s="8">
        <v>2.1023000000000001</v>
      </c>
      <c r="AT28" s="8">
        <v>2.1</v>
      </c>
      <c r="AU28" s="8">
        <v>2.1143999999999998</v>
      </c>
      <c r="AV28" s="8">
        <v>2.1061000000000001</v>
      </c>
      <c r="AW28" s="8">
        <v>2.1093000000000002</v>
      </c>
      <c r="AX28" s="8">
        <v>2.0771000000000002</v>
      </c>
      <c r="AY28" s="8">
        <v>2.1013999999999999</v>
      </c>
      <c r="AZ28" s="8">
        <v>2.1006</v>
      </c>
      <c r="BA28" s="8">
        <v>2.0901999999999998</v>
      </c>
      <c r="BB28" s="8">
        <v>2.0962999999999998</v>
      </c>
      <c r="BC28" s="8">
        <v>2.1008</v>
      </c>
      <c r="BD28" s="8">
        <v>2.0703999999999998</v>
      </c>
    </row>
    <row r="29" spans="2:56" s="13" customFormat="1" x14ac:dyDescent="0.3">
      <c r="B29" s="22">
        <f t="shared" si="12"/>
        <v>64</v>
      </c>
      <c r="C29" s="40">
        <f t="shared" si="13"/>
        <v>2.8006344558321574</v>
      </c>
      <c r="D29" s="40">
        <f t="shared" si="14"/>
        <v>3.952659834065436</v>
      </c>
      <c r="E29" s="40">
        <f t="shared" si="15"/>
        <v>8.3787213274767449</v>
      </c>
      <c r="F29" s="40">
        <f t="shared" si="16"/>
        <v>7.7320644216692402</v>
      </c>
      <c r="G29" s="40">
        <f t="shared" si="17"/>
        <v>8.4260614934112468</v>
      </c>
      <c r="H29" s="40">
        <f t="shared" si="18"/>
        <v>6.1918008784773617</v>
      </c>
      <c r="I29" s="40">
        <f t="shared" si="19"/>
        <v>5.4663250366033038</v>
      </c>
      <c r="J29" s="40">
        <f t="shared" si="20"/>
        <v>4.8391898487064529</v>
      </c>
      <c r="K29" s="40">
        <f t="shared" si="21"/>
        <v>5.2608589555880636</v>
      </c>
      <c r="L29" s="40">
        <f t="shared" si="22"/>
        <v>5.3738408979989662</v>
      </c>
      <c r="M29" s="40">
        <f t="shared" si="23"/>
        <v>3.1417764763299636</v>
      </c>
      <c r="N29" s="40">
        <f t="shared" si="24"/>
        <v>2.2144948755488723</v>
      </c>
      <c r="O29" s="40"/>
      <c r="P29" s="39">
        <f t="shared" si="25"/>
        <v>3.0280624694972897</v>
      </c>
      <c r="Q29" s="39">
        <f t="shared" si="26"/>
        <v>3.1098096632502794</v>
      </c>
      <c r="R29" s="39">
        <f t="shared" si="27"/>
        <v>2.6634943875060486</v>
      </c>
      <c r="S29" s="39">
        <f t="shared" si="28"/>
        <v>2.7254758418740268</v>
      </c>
      <c r="T29" s="39">
        <f t="shared" si="29"/>
        <v>3.4677891654466615</v>
      </c>
      <c r="U29" s="39">
        <f t="shared" si="30"/>
        <v>2.8931185944362778</v>
      </c>
      <c r="V29" s="39">
        <f t="shared" si="31"/>
        <v>2.0378233284529572</v>
      </c>
      <c r="W29" s="39">
        <f t="shared" si="32"/>
        <v>3.070034163006333</v>
      </c>
      <c r="X29" s="39">
        <f t="shared" si="33"/>
        <v>2.4058077110786984</v>
      </c>
      <c r="Y29" s="39">
        <f t="shared" si="34"/>
        <v>5.4104441190825527</v>
      </c>
      <c r="Z29" s="39">
        <f t="shared" si="35"/>
        <v>2.2999023914105021</v>
      </c>
      <c r="AA29" s="39">
        <f t="shared" si="36"/>
        <v>3.5627135187898031</v>
      </c>
      <c r="AB29" s="38"/>
      <c r="AE29" s="15">
        <v>7.407407407407407E-4</v>
      </c>
      <c r="AF29" s="14">
        <f t="shared" si="37"/>
        <v>64</v>
      </c>
      <c r="AG29" s="8">
        <v>2.0985999999999998</v>
      </c>
      <c r="AH29" s="8">
        <v>2.081</v>
      </c>
      <c r="AI29" s="8">
        <v>2.0893000000000002</v>
      </c>
      <c r="AJ29" s="8">
        <v>2.0783999999999998</v>
      </c>
      <c r="AK29" s="8">
        <v>2.0872000000000002</v>
      </c>
      <c r="AL29" s="8">
        <v>2.0857000000000001</v>
      </c>
      <c r="AM29" s="8">
        <v>2.0731999999999999</v>
      </c>
      <c r="AN29" s="8">
        <v>2.0746000000000002</v>
      </c>
      <c r="AO29" s="8">
        <v>2.0596000000000001</v>
      </c>
      <c r="AP29" s="8">
        <v>2.0737000000000001</v>
      </c>
      <c r="AQ29" s="8">
        <v>2.0783999999999998</v>
      </c>
      <c r="AR29" s="8">
        <v>2.0407000000000002</v>
      </c>
      <c r="AS29" s="8">
        <v>2.1025999999999998</v>
      </c>
      <c r="AT29" s="8">
        <v>2.0983000000000001</v>
      </c>
      <c r="AU29" s="8">
        <v>2.1135000000000002</v>
      </c>
      <c r="AV29" s="8">
        <v>2.1052</v>
      </c>
      <c r="AW29" s="8">
        <v>2.1078000000000001</v>
      </c>
      <c r="AX29" s="8">
        <v>2.0783</v>
      </c>
      <c r="AY29" s="8">
        <v>2.1006</v>
      </c>
      <c r="AZ29" s="8">
        <v>2.0985999999999998</v>
      </c>
      <c r="BA29" s="8">
        <v>2.0899000000000001</v>
      </c>
      <c r="BB29" s="8">
        <v>2.0939999999999999</v>
      </c>
      <c r="BC29" s="8">
        <v>2.1004999999999998</v>
      </c>
      <c r="BD29" s="8">
        <v>2.0684999999999998</v>
      </c>
    </row>
    <row r="30" spans="2:56" s="13" customFormat="1" x14ac:dyDescent="0.3">
      <c r="B30" s="22">
        <f t="shared" si="12"/>
        <v>72</v>
      </c>
      <c r="C30" s="40">
        <f t="shared" si="13"/>
        <v>2.9958516349438979</v>
      </c>
      <c r="D30" s="40">
        <f t="shared" si="14"/>
        <v>5.6608101512932727</v>
      </c>
      <c r="E30" s="40">
        <f t="shared" si="15"/>
        <v>8.3299170326989191</v>
      </c>
      <c r="F30" s="40">
        <f t="shared" si="16"/>
        <v>8.561737432894029</v>
      </c>
      <c r="G30" s="40">
        <f t="shared" si="17"/>
        <v>8.4260614934112468</v>
      </c>
      <c r="H30" s="40">
        <f t="shared" si="18"/>
        <v>5.8501708150319249</v>
      </c>
      <c r="I30" s="40">
        <f t="shared" si="19"/>
        <v>6.5888238164959185</v>
      </c>
      <c r="J30" s="40">
        <f t="shared" si="20"/>
        <v>5.0832113225962363</v>
      </c>
      <c r="K30" s="40">
        <f t="shared" si="21"/>
        <v>5.9441190824793715</v>
      </c>
      <c r="L30" s="40">
        <f t="shared" si="22"/>
        <v>6.0082967301122308</v>
      </c>
      <c r="M30" s="40">
        <f t="shared" si="23"/>
        <v>3.0929721815519202</v>
      </c>
      <c r="N30" s="40">
        <f t="shared" si="24"/>
        <v>2.0680819912151751</v>
      </c>
      <c r="O30" s="40"/>
      <c r="P30" s="39">
        <f t="shared" si="25"/>
        <v>3.1744753538309864</v>
      </c>
      <c r="Q30" s="39">
        <f t="shared" si="26"/>
        <v>2.3289409468033178</v>
      </c>
      <c r="R30" s="39">
        <f t="shared" si="27"/>
        <v>1.9314299658369138</v>
      </c>
      <c r="S30" s="39">
        <f t="shared" si="28"/>
        <v>2.6766715470959834</v>
      </c>
      <c r="T30" s="39">
        <f t="shared" si="29"/>
        <v>3.370180575890791</v>
      </c>
      <c r="U30" s="39">
        <f t="shared" si="30"/>
        <v>2.6490971205464939</v>
      </c>
      <c r="V30" s="39">
        <f t="shared" si="31"/>
        <v>1.7449975597853469</v>
      </c>
      <c r="W30" s="39">
        <f t="shared" si="32"/>
        <v>3.2164470473400297</v>
      </c>
      <c r="X30" s="39">
        <f t="shared" si="33"/>
        <v>2.698633479746309</v>
      </c>
      <c r="Y30" s="39">
        <f t="shared" si="34"/>
        <v>5.4104441190825527</v>
      </c>
      <c r="Z30" s="39">
        <f t="shared" si="35"/>
        <v>2.6415324548559398</v>
      </c>
      <c r="AA30" s="39">
        <f t="shared" si="36"/>
        <v>3.1234748657882792</v>
      </c>
      <c r="AB30" s="38"/>
      <c r="AE30" s="15">
        <v>8.3333333333333339E-4</v>
      </c>
      <c r="AF30" s="14">
        <f t="shared" si="37"/>
        <v>72</v>
      </c>
      <c r="AG30" s="8">
        <v>2.0981999999999998</v>
      </c>
      <c r="AH30" s="8">
        <v>2.0775000000000001</v>
      </c>
      <c r="AI30" s="8">
        <v>2.0893999999999999</v>
      </c>
      <c r="AJ30" s="8">
        <v>2.0767000000000002</v>
      </c>
      <c r="AK30" s="8">
        <v>2.0872000000000002</v>
      </c>
      <c r="AL30" s="8">
        <v>2.0863999999999998</v>
      </c>
      <c r="AM30" s="8">
        <v>2.0709</v>
      </c>
      <c r="AN30" s="8">
        <v>2.0741000000000001</v>
      </c>
      <c r="AO30" s="8">
        <v>2.0581999999999998</v>
      </c>
      <c r="AP30" s="8">
        <v>2.0724</v>
      </c>
      <c r="AQ30" s="8">
        <v>2.0785</v>
      </c>
      <c r="AR30" s="8">
        <v>2.0409999999999999</v>
      </c>
      <c r="AS30" s="8">
        <v>2.1023000000000001</v>
      </c>
      <c r="AT30" s="8">
        <v>2.0998999999999999</v>
      </c>
      <c r="AU30" s="8">
        <v>2.1150000000000002</v>
      </c>
      <c r="AV30" s="8">
        <v>2.1053000000000002</v>
      </c>
      <c r="AW30" s="8">
        <v>2.1080000000000001</v>
      </c>
      <c r="AX30" s="8">
        <v>2.0788000000000002</v>
      </c>
      <c r="AY30" s="8">
        <v>2.1012</v>
      </c>
      <c r="AZ30" s="8">
        <v>2.0983000000000001</v>
      </c>
      <c r="BA30" s="8">
        <v>2.0893000000000002</v>
      </c>
      <c r="BB30" s="8">
        <v>2.0939999999999999</v>
      </c>
      <c r="BC30" s="8">
        <v>2.0998000000000001</v>
      </c>
      <c r="BD30" s="8">
        <v>2.0693999999999999</v>
      </c>
    </row>
    <row r="31" spans="2:56" s="13" customFormat="1" x14ac:dyDescent="0.3">
      <c r="B31" s="22">
        <f t="shared" si="12"/>
        <v>80</v>
      </c>
      <c r="C31" s="40">
        <f t="shared" si="13"/>
        <v>3.3374816983893352</v>
      </c>
      <c r="D31" s="40">
        <f t="shared" si="14"/>
        <v>4.5871156661787005</v>
      </c>
      <c r="E31" s="40">
        <f t="shared" si="15"/>
        <v>9.4036115178134896</v>
      </c>
      <c r="F31" s="40">
        <f t="shared" si="16"/>
        <v>8.8545632015618558</v>
      </c>
      <c r="G31" s="40">
        <f t="shared" si="17"/>
        <v>9.0117130307466837</v>
      </c>
      <c r="H31" s="40">
        <f t="shared" si="18"/>
        <v>7.7047340165936742</v>
      </c>
      <c r="I31" s="40">
        <f t="shared" si="19"/>
        <v>6.2959980478283084</v>
      </c>
      <c r="J31" s="40">
        <f t="shared" si="20"/>
        <v>5.2296242069301506</v>
      </c>
      <c r="K31" s="40">
        <f t="shared" si="21"/>
        <v>6.1881405563689382</v>
      </c>
      <c r="L31" s="40">
        <f t="shared" si="22"/>
        <v>6.6915568570033219</v>
      </c>
      <c r="M31" s="40">
        <f t="shared" si="23"/>
        <v>3.2881893606636607</v>
      </c>
      <c r="N31" s="40">
        <f t="shared" si="24"/>
        <v>3.4346022449975742</v>
      </c>
      <c r="O31" s="40"/>
      <c r="P31" s="39">
        <f t="shared" si="25"/>
        <v>3.2720839433868569</v>
      </c>
      <c r="Q31" s="39">
        <f t="shared" si="26"/>
        <v>2.6705710102487554</v>
      </c>
      <c r="R31" s="39">
        <f t="shared" si="27"/>
        <v>2.4194729136164814</v>
      </c>
      <c r="S31" s="39">
        <f t="shared" si="28"/>
        <v>3.3111273792092479</v>
      </c>
      <c r="T31" s="39">
        <f t="shared" si="29"/>
        <v>4.7367008296731896</v>
      </c>
      <c r="U31" s="39">
        <f t="shared" si="30"/>
        <v>3.0883357735480184</v>
      </c>
      <c r="V31" s="39">
        <f t="shared" si="31"/>
        <v>1.8914104441190438</v>
      </c>
      <c r="W31" s="39">
        <f t="shared" si="32"/>
        <v>3.8997071742311213</v>
      </c>
      <c r="X31" s="39">
        <f t="shared" si="33"/>
        <v>2.6498291849684823</v>
      </c>
      <c r="Y31" s="39">
        <f t="shared" si="34"/>
        <v>5.2640312347486393</v>
      </c>
      <c r="Z31" s="39">
        <f t="shared" si="35"/>
        <v>3.5688140556368144</v>
      </c>
      <c r="AA31" s="39">
        <f t="shared" si="36"/>
        <v>3.4651049292337159</v>
      </c>
      <c r="AB31" s="38"/>
      <c r="AE31" s="15">
        <v>9.2592592592592585E-4</v>
      </c>
      <c r="AF31" s="14">
        <f t="shared" si="37"/>
        <v>80</v>
      </c>
      <c r="AG31" s="8">
        <v>2.0975000000000001</v>
      </c>
      <c r="AH31" s="8">
        <v>2.0796999999999999</v>
      </c>
      <c r="AI31" s="8">
        <v>2.0872000000000002</v>
      </c>
      <c r="AJ31" s="8">
        <v>2.0760999999999998</v>
      </c>
      <c r="AK31" s="8">
        <v>2.0859999999999999</v>
      </c>
      <c r="AL31" s="8">
        <v>2.0825999999999998</v>
      </c>
      <c r="AM31" s="8">
        <v>2.0714999999999999</v>
      </c>
      <c r="AN31" s="8">
        <v>2.0737999999999999</v>
      </c>
      <c r="AO31" s="8">
        <v>2.0577000000000001</v>
      </c>
      <c r="AP31" s="8">
        <v>2.0710000000000002</v>
      </c>
      <c r="AQ31" s="8">
        <v>2.0781000000000001</v>
      </c>
      <c r="AR31" s="8">
        <v>2.0381999999999998</v>
      </c>
      <c r="AS31" s="8">
        <v>2.1021000000000001</v>
      </c>
      <c r="AT31" s="8">
        <v>2.0992000000000002</v>
      </c>
      <c r="AU31" s="8">
        <v>2.1139999999999999</v>
      </c>
      <c r="AV31" s="8">
        <v>2.1040000000000001</v>
      </c>
      <c r="AW31" s="8">
        <v>2.1052</v>
      </c>
      <c r="AX31" s="8">
        <v>2.0779000000000001</v>
      </c>
      <c r="AY31" s="8">
        <v>2.1009000000000002</v>
      </c>
      <c r="AZ31" s="8">
        <v>2.0969000000000002</v>
      </c>
      <c r="BA31" s="8">
        <v>2.0893999999999999</v>
      </c>
      <c r="BB31" s="8">
        <v>2.0943000000000001</v>
      </c>
      <c r="BC31" s="8">
        <v>2.0979000000000001</v>
      </c>
      <c r="BD31" s="8">
        <v>2.0687000000000002</v>
      </c>
    </row>
    <row r="32" spans="2:56" s="13" customFormat="1" x14ac:dyDescent="0.3">
      <c r="B32" s="22">
        <f t="shared" si="12"/>
        <v>88.000000000000014</v>
      </c>
      <c r="C32" s="40">
        <f t="shared" si="13"/>
        <v>3.0446559297217246</v>
      </c>
      <c r="D32" s="40">
        <f t="shared" si="14"/>
        <v>5.319180087847835</v>
      </c>
      <c r="E32" s="40">
        <f t="shared" si="15"/>
        <v>9.5500244021474039</v>
      </c>
      <c r="F32" s="40">
        <f t="shared" si="16"/>
        <v>9.5866276232307737</v>
      </c>
      <c r="G32" s="40">
        <f t="shared" si="17"/>
        <v>9.694973157637774</v>
      </c>
      <c r="H32" s="40">
        <f t="shared" si="18"/>
        <v>7.7535383113715017</v>
      </c>
      <c r="I32" s="40">
        <f t="shared" si="19"/>
        <v>7.516105417276794</v>
      </c>
      <c r="J32" s="40">
        <f t="shared" si="20"/>
        <v>6.4497315763786363</v>
      </c>
      <c r="K32" s="40">
        <f t="shared" si="21"/>
        <v>5.407271839921977</v>
      </c>
      <c r="L32" s="40">
        <f t="shared" si="22"/>
        <v>6.5939482674474519</v>
      </c>
      <c r="M32" s="40">
        <f t="shared" si="23"/>
        <v>3.3857979502195308</v>
      </c>
      <c r="N32" s="40">
        <f t="shared" si="24"/>
        <v>3.6298194241093147</v>
      </c>
      <c r="O32" s="40"/>
      <c r="P32" s="39">
        <f t="shared" si="25"/>
        <v>4.4921913128353417</v>
      </c>
      <c r="Q32" s="39">
        <f t="shared" si="26"/>
        <v>3.5490483162518034</v>
      </c>
      <c r="R32" s="39">
        <f t="shared" si="27"/>
        <v>3.4931673987310528</v>
      </c>
      <c r="S32" s="39">
        <f t="shared" si="28"/>
        <v>3.4575402635431614</v>
      </c>
      <c r="T32" s="39">
        <f t="shared" si="29"/>
        <v>4.5414836505614504</v>
      </c>
      <c r="U32" s="39">
        <f t="shared" si="30"/>
        <v>3.3811615422156289</v>
      </c>
      <c r="V32" s="39">
        <f t="shared" si="31"/>
        <v>2.0378233284529572</v>
      </c>
      <c r="W32" s="39">
        <f t="shared" si="32"/>
        <v>3.9485114690091643</v>
      </c>
      <c r="X32" s="39">
        <f t="shared" si="33"/>
        <v>3.6747193753052274</v>
      </c>
      <c r="Y32" s="39">
        <f t="shared" si="34"/>
        <v>6.2401171303075573</v>
      </c>
      <c r="Z32" s="39">
        <f t="shared" si="35"/>
        <v>4.1544655929722527</v>
      </c>
      <c r="AA32" s="39">
        <f t="shared" si="36"/>
        <v>4.0019521717911104</v>
      </c>
      <c r="AB32" s="38"/>
      <c r="AE32" s="15">
        <v>1.0185185185185186E-3</v>
      </c>
      <c r="AF32" s="14">
        <f t="shared" si="37"/>
        <v>88.000000000000014</v>
      </c>
      <c r="AG32" s="8">
        <v>2.0981000000000001</v>
      </c>
      <c r="AH32" s="8">
        <v>2.0781999999999998</v>
      </c>
      <c r="AI32" s="8">
        <v>2.0869</v>
      </c>
      <c r="AJ32" s="8">
        <v>2.0746000000000002</v>
      </c>
      <c r="AK32" s="8">
        <v>2.0846</v>
      </c>
      <c r="AL32" s="8">
        <v>2.0825</v>
      </c>
      <c r="AM32" s="8">
        <v>2.069</v>
      </c>
      <c r="AN32" s="8">
        <v>2.0712999999999999</v>
      </c>
      <c r="AO32" s="8">
        <v>2.0592999999999999</v>
      </c>
      <c r="AP32" s="8">
        <v>2.0712000000000002</v>
      </c>
      <c r="AQ32" s="8">
        <v>2.0779000000000001</v>
      </c>
      <c r="AR32" s="8">
        <v>2.0377999999999998</v>
      </c>
      <c r="AS32" s="8">
        <v>2.0996000000000001</v>
      </c>
      <c r="AT32" s="8">
        <v>2.0973999999999999</v>
      </c>
      <c r="AU32" s="8">
        <v>2.1118000000000001</v>
      </c>
      <c r="AV32" s="8">
        <v>2.1036999999999999</v>
      </c>
      <c r="AW32" s="8">
        <v>2.1055999999999999</v>
      </c>
      <c r="AX32" s="8">
        <v>2.0773000000000001</v>
      </c>
      <c r="AY32" s="8">
        <v>2.1006</v>
      </c>
      <c r="AZ32" s="8">
        <v>2.0968</v>
      </c>
      <c r="BA32" s="8">
        <v>2.0872999999999999</v>
      </c>
      <c r="BB32" s="8">
        <v>2.0922999999999998</v>
      </c>
      <c r="BC32" s="8">
        <v>2.0966999999999998</v>
      </c>
      <c r="BD32" s="8">
        <v>2.0676000000000001</v>
      </c>
    </row>
    <row r="33" spans="2:56" s="13" customFormat="1" x14ac:dyDescent="0.3">
      <c r="B33" s="22">
        <f t="shared" si="12"/>
        <v>95.999999999999986</v>
      </c>
      <c r="C33" s="40">
        <f t="shared" si="13"/>
        <v>3.4838945827232486</v>
      </c>
      <c r="D33" s="40">
        <f t="shared" si="14"/>
        <v>4.4895070766228296</v>
      </c>
      <c r="E33" s="40">
        <f t="shared" si="15"/>
        <v>9.2571986334797938</v>
      </c>
      <c r="F33" s="40">
        <f t="shared" si="16"/>
        <v>10.562713518789691</v>
      </c>
      <c r="G33" s="40">
        <f t="shared" si="17"/>
        <v>10.963884821864303</v>
      </c>
      <c r="H33" s="40">
        <f t="shared" si="18"/>
        <v>9.1200585651539008</v>
      </c>
      <c r="I33" s="40">
        <f t="shared" si="19"/>
        <v>6.9792581747193987</v>
      </c>
      <c r="J33" s="40">
        <f t="shared" si="20"/>
        <v>6.8889702293801598</v>
      </c>
      <c r="K33" s="40">
        <f t="shared" si="21"/>
        <v>6.9202049780380728</v>
      </c>
      <c r="L33" s="40">
        <f t="shared" si="22"/>
        <v>6.3987310883357118</v>
      </c>
      <c r="M33" s="40">
        <f t="shared" si="23"/>
        <v>4.1666666666667096</v>
      </c>
      <c r="N33" s="40">
        <f t="shared" si="24"/>
        <v>2.8001464128843101</v>
      </c>
      <c r="O33" s="40"/>
      <c r="P33" s="39">
        <f t="shared" si="25"/>
        <v>4.9802342606149095</v>
      </c>
      <c r="Q33" s="39">
        <f t="shared" si="26"/>
        <v>3.8906783796974573</v>
      </c>
      <c r="R33" s="39">
        <f t="shared" si="27"/>
        <v>3.3467545143973561</v>
      </c>
      <c r="S33" s="39">
        <f t="shared" si="28"/>
        <v>4.8728648121033871</v>
      </c>
      <c r="T33" s="39">
        <f t="shared" si="29"/>
        <v>4.6390922401173196</v>
      </c>
      <c r="U33" s="39">
        <f t="shared" si="30"/>
        <v>4.5524646168862875</v>
      </c>
      <c r="V33" s="39">
        <f t="shared" si="31"/>
        <v>2.8674963396779622</v>
      </c>
      <c r="W33" s="39">
        <f t="shared" si="32"/>
        <v>4.534163006344385</v>
      </c>
      <c r="X33" s="39">
        <f t="shared" si="33"/>
        <v>4.0651537335287085</v>
      </c>
      <c r="Y33" s="39">
        <f t="shared" si="34"/>
        <v>6.1425085407516873</v>
      </c>
      <c r="Z33" s="39">
        <f t="shared" si="35"/>
        <v>4.3496827720839928</v>
      </c>
      <c r="AA33" s="39">
        <f t="shared" si="36"/>
        <v>4.9780380673500284</v>
      </c>
      <c r="AB33" s="38"/>
      <c r="AE33" s="15">
        <v>1.1111111111111111E-3</v>
      </c>
      <c r="AF33" s="14">
        <f t="shared" si="37"/>
        <v>95.999999999999986</v>
      </c>
      <c r="AG33" s="8">
        <v>2.0972</v>
      </c>
      <c r="AH33" s="8">
        <v>2.0798999999999999</v>
      </c>
      <c r="AI33" s="8">
        <v>2.0874999999999999</v>
      </c>
      <c r="AJ33" s="8">
        <v>2.0726</v>
      </c>
      <c r="AK33" s="8">
        <v>2.0819999999999999</v>
      </c>
      <c r="AL33" s="8">
        <v>2.0796999999999999</v>
      </c>
      <c r="AM33" s="8">
        <v>2.0701000000000001</v>
      </c>
      <c r="AN33" s="8">
        <v>2.0703999999999998</v>
      </c>
      <c r="AO33" s="8">
        <v>2.0562</v>
      </c>
      <c r="AP33" s="8">
        <v>2.0716000000000001</v>
      </c>
      <c r="AQ33" s="8">
        <v>2.0762999999999998</v>
      </c>
      <c r="AR33" s="8">
        <v>2.0394999999999999</v>
      </c>
      <c r="AS33" s="8">
        <v>2.0985999999999998</v>
      </c>
      <c r="AT33" s="8">
        <v>2.0966999999999998</v>
      </c>
      <c r="AU33" s="8">
        <v>2.1120999999999999</v>
      </c>
      <c r="AV33" s="8">
        <v>2.1008</v>
      </c>
      <c r="AW33" s="8">
        <v>2.1053999999999999</v>
      </c>
      <c r="AX33" s="8">
        <v>2.0749</v>
      </c>
      <c r="AY33" s="8">
        <v>2.0989</v>
      </c>
      <c r="AZ33" s="8">
        <v>2.0956000000000001</v>
      </c>
      <c r="BA33" s="8">
        <v>2.0865</v>
      </c>
      <c r="BB33" s="8">
        <v>2.0924999999999998</v>
      </c>
      <c r="BC33" s="8">
        <v>2.0962999999999998</v>
      </c>
      <c r="BD33" s="8">
        <v>2.0655999999999999</v>
      </c>
    </row>
    <row r="34" spans="2:56" s="13" customFormat="1" x14ac:dyDescent="0.3">
      <c r="B34" s="22">
        <f t="shared" si="12"/>
        <v>104</v>
      </c>
      <c r="C34" s="40">
        <f t="shared" si="13"/>
        <v>3.3862859931673785</v>
      </c>
      <c r="D34" s="40">
        <f t="shared" si="14"/>
        <v>5.1727672035139216</v>
      </c>
      <c r="E34" s="40">
        <f t="shared" si="15"/>
        <v>9.9404587603708841</v>
      </c>
      <c r="F34" s="40">
        <f t="shared" si="16"/>
        <v>10.904343582235347</v>
      </c>
      <c r="G34" s="40">
        <f t="shared" si="17"/>
        <v>11.403123474865611</v>
      </c>
      <c r="H34" s="40">
        <f t="shared" si="18"/>
        <v>9.3640800390434684</v>
      </c>
      <c r="I34" s="40">
        <f t="shared" si="19"/>
        <v>7.8577354807224484</v>
      </c>
      <c r="J34" s="40">
        <f t="shared" si="20"/>
        <v>6.5473401659345063</v>
      </c>
      <c r="K34" s="40">
        <f t="shared" si="21"/>
        <v>8.0427037579306884</v>
      </c>
      <c r="L34" s="40">
        <f t="shared" si="22"/>
        <v>7.5212298682283265</v>
      </c>
      <c r="M34" s="40">
        <f t="shared" si="23"/>
        <v>4.5571010248901898</v>
      </c>
      <c r="N34" s="40">
        <f t="shared" si="24"/>
        <v>3.6298194241093147</v>
      </c>
      <c r="O34" s="40"/>
      <c r="P34" s="39">
        <f t="shared" si="25"/>
        <v>4.1505612493899049</v>
      </c>
      <c r="Q34" s="39">
        <f t="shared" si="26"/>
        <v>3.6954612005855005</v>
      </c>
      <c r="R34" s="39">
        <f t="shared" si="27"/>
        <v>5.5429477794045434</v>
      </c>
      <c r="S34" s="39">
        <f t="shared" si="28"/>
        <v>3.8967789165446862</v>
      </c>
      <c r="T34" s="39">
        <f t="shared" si="29"/>
        <v>4.7855051244510172</v>
      </c>
      <c r="U34" s="39">
        <f t="shared" si="30"/>
        <v>3.9180087847730225</v>
      </c>
      <c r="V34" s="39">
        <f t="shared" si="31"/>
        <v>3.5507564665690534</v>
      </c>
      <c r="W34" s="39">
        <f t="shared" si="32"/>
        <v>5.0710102489017803</v>
      </c>
      <c r="X34" s="39">
        <f t="shared" si="33"/>
        <v>4.0651537335287085</v>
      </c>
      <c r="Y34" s="39">
        <f t="shared" si="34"/>
        <v>6.581747193752995</v>
      </c>
      <c r="Z34" s="39">
        <f t="shared" si="35"/>
        <v>4.3496827720839928</v>
      </c>
      <c r="AA34" s="39">
        <f t="shared" si="36"/>
        <v>5.222059541239596</v>
      </c>
      <c r="AB34" s="38"/>
      <c r="AE34" s="15">
        <v>1.2037037037037038E-3</v>
      </c>
      <c r="AF34" s="14">
        <f t="shared" si="37"/>
        <v>104</v>
      </c>
      <c r="AG34" s="8">
        <v>2.0973999999999999</v>
      </c>
      <c r="AH34" s="8">
        <v>2.0785</v>
      </c>
      <c r="AI34" s="8">
        <v>2.0861000000000001</v>
      </c>
      <c r="AJ34" s="8">
        <v>2.0718999999999999</v>
      </c>
      <c r="AK34" s="8">
        <v>2.0811000000000002</v>
      </c>
      <c r="AL34" s="8">
        <v>2.0792000000000002</v>
      </c>
      <c r="AM34" s="8">
        <v>2.0682999999999998</v>
      </c>
      <c r="AN34" s="8">
        <v>2.0710999999999999</v>
      </c>
      <c r="AO34" s="8">
        <v>2.0539000000000001</v>
      </c>
      <c r="AP34" s="8">
        <v>2.0693000000000001</v>
      </c>
      <c r="AQ34" s="8">
        <v>2.0754999999999999</v>
      </c>
      <c r="AR34" s="8">
        <v>2.0377999999999998</v>
      </c>
      <c r="AS34" s="8">
        <v>2.1002999999999998</v>
      </c>
      <c r="AT34" s="8">
        <v>2.0971000000000002</v>
      </c>
      <c r="AU34" s="8">
        <v>2.1076000000000001</v>
      </c>
      <c r="AV34" s="8">
        <v>2.1027999999999998</v>
      </c>
      <c r="AW34" s="8">
        <v>2.1051000000000002</v>
      </c>
      <c r="AX34" s="8">
        <v>2.0762</v>
      </c>
      <c r="AY34" s="8">
        <v>2.0975000000000001</v>
      </c>
      <c r="AZ34" s="8">
        <v>2.0945</v>
      </c>
      <c r="BA34" s="8">
        <v>2.0865</v>
      </c>
      <c r="BB34" s="8">
        <v>2.0916000000000001</v>
      </c>
      <c r="BC34" s="8">
        <v>2.0962999999999998</v>
      </c>
      <c r="BD34" s="8">
        <v>2.0651000000000002</v>
      </c>
    </row>
    <row r="35" spans="2:56" s="13" customFormat="1" x14ac:dyDescent="0.3">
      <c r="B35" s="22">
        <f t="shared" si="12"/>
        <v>112</v>
      </c>
      <c r="C35" s="40">
        <f t="shared" si="13"/>
        <v>4.2647632991702098</v>
      </c>
      <c r="D35" s="40">
        <f t="shared" si="14"/>
        <v>5.5632015617374018</v>
      </c>
      <c r="E35" s="40">
        <f t="shared" si="15"/>
        <v>10.184480234260667</v>
      </c>
      <c r="F35" s="40">
        <f t="shared" si="16"/>
        <v>11.782820888238177</v>
      </c>
      <c r="G35" s="40">
        <f t="shared" si="17"/>
        <v>11.305514885309739</v>
      </c>
      <c r="H35" s="40">
        <f t="shared" si="18"/>
        <v>10.87701317715978</v>
      </c>
      <c r="I35" s="40">
        <f t="shared" si="19"/>
        <v>8.3457784285017986</v>
      </c>
      <c r="J35" s="40">
        <f t="shared" si="20"/>
        <v>7.7186432406049486</v>
      </c>
      <c r="K35" s="40">
        <f t="shared" si="21"/>
        <v>7.9450951683748174</v>
      </c>
      <c r="L35" s="40">
        <f t="shared" si="22"/>
        <v>7.86285993167398</v>
      </c>
      <c r="M35" s="40">
        <f t="shared" si="23"/>
        <v>4.7523182040019298</v>
      </c>
      <c r="N35" s="40">
        <f t="shared" si="24"/>
        <v>4.6059053196680164</v>
      </c>
      <c r="O35" s="40"/>
      <c r="P35" s="39">
        <f t="shared" si="25"/>
        <v>6.0539287457294808</v>
      </c>
      <c r="Q35" s="39">
        <f t="shared" si="26"/>
        <v>4.5251342118105056</v>
      </c>
      <c r="R35" s="39">
        <f t="shared" si="27"/>
        <v>3.9324060517325776</v>
      </c>
      <c r="S35" s="39">
        <f t="shared" si="28"/>
        <v>4.4336261591018635</v>
      </c>
      <c r="T35" s="39">
        <f t="shared" si="29"/>
        <v>5.2247437774525407</v>
      </c>
      <c r="U35" s="39">
        <f t="shared" si="30"/>
        <v>4.015617374328893</v>
      </c>
      <c r="V35" s="39">
        <f t="shared" si="31"/>
        <v>3.5995607613470968</v>
      </c>
      <c r="W35" s="39">
        <f t="shared" si="32"/>
        <v>5.2662274280135204</v>
      </c>
      <c r="X35" s="39">
        <f t="shared" si="33"/>
        <v>4.1139580283067518</v>
      </c>
      <c r="Y35" s="39">
        <f t="shared" si="34"/>
        <v>7.2162030258662595</v>
      </c>
      <c r="Z35" s="39">
        <f t="shared" si="35"/>
        <v>4.6913128355294296</v>
      </c>
      <c r="AA35" s="39">
        <f t="shared" si="36"/>
        <v>5.0268423621278551</v>
      </c>
      <c r="AB35" s="38"/>
      <c r="AE35" s="15">
        <v>1.2962962962962963E-3</v>
      </c>
      <c r="AF35" s="14">
        <f t="shared" si="37"/>
        <v>112</v>
      </c>
      <c r="AG35" s="8">
        <v>2.0956000000000001</v>
      </c>
      <c r="AH35" s="8">
        <v>2.0777000000000001</v>
      </c>
      <c r="AI35" s="8">
        <v>2.0855999999999999</v>
      </c>
      <c r="AJ35" s="8">
        <v>2.0701000000000001</v>
      </c>
      <c r="AK35" s="8">
        <v>2.0813000000000001</v>
      </c>
      <c r="AL35" s="8">
        <v>2.0760999999999998</v>
      </c>
      <c r="AM35" s="8">
        <v>2.0672999999999999</v>
      </c>
      <c r="AN35" s="8">
        <v>2.0687000000000002</v>
      </c>
      <c r="AO35" s="8">
        <v>2.0541</v>
      </c>
      <c r="AP35" s="8">
        <v>2.0686</v>
      </c>
      <c r="AQ35" s="8">
        <v>2.0750999999999999</v>
      </c>
      <c r="AR35" s="8">
        <v>2.0358000000000001</v>
      </c>
      <c r="AS35" s="8">
        <v>2.0964</v>
      </c>
      <c r="AT35" s="8">
        <v>2.0954000000000002</v>
      </c>
      <c r="AU35" s="8">
        <v>2.1109</v>
      </c>
      <c r="AV35" s="8">
        <v>2.1017000000000001</v>
      </c>
      <c r="AW35" s="8">
        <v>2.1042000000000001</v>
      </c>
      <c r="AX35" s="8">
        <v>2.0760000000000001</v>
      </c>
      <c r="AY35" s="8">
        <v>2.0973999999999999</v>
      </c>
      <c r="AZ35" s="8">
        <v>2.0941000000000001</v>
      </c>
      <c r="BA35" s="8">
        <v>2.0863999999999998</v>
      </c>
      <c r="BB35" s="8">
        <v>2.0903</v>
      </c>
      <c r="BC35" s="8">
        <v>2.0956000000000001</v>
      </c>
      <c r="BD35" s="8">
        <v>2.0655000000000001</v>
      </c>
    </row>
    <row r="36" spans="2:56" s="13" customFormat="1" x14ac:dyDescent="0.3">
      <c r="B36" s="22">
        <f t="shared" si="12"/>
        <v>120</v>
      </c>
      <c r="C36" s="40">
        <f t="shared" si="13"/>
        <v>4.7528062469497776</v>
      </c>
      <c r="D36" s="40">
        <f t="shared" si="14"/>
        <v>5.514397266959576</v>
      </c>
      <c r="E36" s="40">
        <f t="shared" si="15"/>
        <v>10.574914592484149</v>
      </c>
      <c r="F36" s="40">
        <f t="shared" si="16"/>
        <v>12.270863836017528</v>
      </c>
      <c r="G36" s="40">
        <f t="shared" si="17"/>
        <v>13.16007808687149</v>
      </c>
      <c r="H36" s="40">
        <f t="shared" si="18"/>
        <v>10.68179599804804</v>
      </c>
      <c r="I36" s="40">
        <f t="shared" si="19"/>
        <v>8.6386041971694087</v>
      </c>
      <c r="J36" s="40">
        <f t="shared" si="20"/>
        <v>7.2794045876036408</v>
      </c>
      <c r="K36" s="40">
        <f t="shared" si="21"/>
        <v>7.8474865788189492</v>
      </c>
      <c r="L36" s="40">
        <f t="shared" si="22"/>
        <v>7.4236212786724565</v>
      </c>
      <c r="M36" s="40">
        <f t="shared" si="23"/>
        <v>5.2403611517812809</v>
      </c>
      <c r="N36" s="40">
        <f t="shared" si="24"/>
        <v>4.4594924353343197</v>
      </c>
      <c r="O36" s="40"/>
      <c r="P36" s="39">
        <f t="shared" si="25"/>
        <v>4.9802342606149095</v>
      </c>
      <c r="Q36" s="39">
        <f t="shared" si="26"/>
        <v>4.476329917032678</v>
      </c>
      <c r="R36" s="39">
        <f t="shared" si="27"/>
        <v>4.4692532942899712</v>
      </c>
      <c r="S36" s="39">
        <f t="shared" si="28"/>
        <v>4.8240605173253437</v>
      </c>
      <c r="T36" s="39">
        <f t="shared" si="29"/>
        <v>6.2496339677892863</v>
      </c>
      <c r="U36" s="39">
        <f t="shared" si="30"/>
        <v>4.6988775012199842</v>
      </c>
      <c r="V36" s="39">
        <f t="shared" si="31"/>
        <v>4.0387994143486212</v>
      </c>
      <c r="W36" s="39">
        <f t="shared" si="32"/>
        <v>5.0710102489017803</v>
      </c>
      <c r="X36" s="39">
        <f t="shared" si="33"/>
        <v>4.6508052708639287</v>
      </c>
      <c r="Y36" s="39">
        <f t="shared" si="34"/>
        <v>7.3138116154221295</v>
      </c>
      <c r="Z36" s="39">
        <f t="shared" si="35"/>
        <v>6.3506588579794396</v>
      </c>
      <c r="AA36" s="39">
        <f t="shared" si="36"/>
        <v>5.3684724255735095</v>
      </c>
      <c r="AB36" s="38"/>
      <c r="AE36" s="15">
        <v>1.3888888888888889E-3</v>
      </c>
      <c r="AF36" s="14">
        <f t="shared" si="37"/>
        <v>120</v>
      </c>
      <c r="AG36" s="8">
        <v>2.0945999999999998</v>
      </c>
      <c r="AH36" s="8">
        <v>2.0777999999999999</v>
      </c>
      <c r="AI36" s="8">
        <v>2.0848</v>
      </c>
      <c r="AJ36" s="8">
        <v>2.0691000000000002</v>
      </c>
      <c r="AK36" s="8">
        <v>2.0775000000000001</v>
      </c>
      <c r="AL36" s="8">
        <v>2.0764999999999998</v>
      </c>
      <c r="AM36" s="8">
        <v>2.0667</v>
      </c>
      <c r="AN36" s="8">
        <v>2.0695999999999999</v>
      </c>
      <c r="AO36" s="8">
        <v>2.0543</v>
      </c>
      <c r="AP36" s="8">
        <v>2.0695000000000001</v>
      </c>
      <c r="AQ36" s="8">
        <v>2.0741000000000001</v>
      </c>
      <c r="AR36" s="8">
        <v>2.0360999999999998</v>
      </c>
      <c r="AS36" s="8">
        <v>2.0985999999999998</v>
      </c>
      <c r="AT36" s="8">
        <v>2.0954999999999999</v>
      </c>
      <c r="AU36" s="8">
        <v>2.1097999999999999</v>
      </c>
      <c r="AV36" s="8">
        <v>2.1009000000000002</v>
      </c>
      <c r="AW36" s="8">
        <v>2.1021000000000001</v>
      </c>
      <c r="AX36" s="8">
        <v>2.0746000000000002</v>
      </c>
      <c r="AY36" s="8">
        <v>2.0964999999999998</v>
      </c>
      <c r="AZ36" s="8">
        <v>2.0945</v>
      </c>
      <c r="BA36" s="8">
        <v>2.0853000000000002</v>
      </c>
      <c r="BB36" s="8">
        <v>2.0901000000000001</v>
      </c>
      <c r="BC36" s="8">
        <v>2.0922000000000001</v>
      </c>
      <c r="BD36" s="8">
        <v>2.0648</v>
      </c>
    </row>
    <row r="37" spans="2:56" s="13" customFormat="1" x14ac:dyDescent="0.3">
      <c r="B37" s="22">
        <f t="shared" si="12"/>
        <v>128</v>
      </c>
      <c r="C37" s="40">
        <f t="shared" si="13"/>
        <v>4.2647632991702098</v>
      </c>
      <c r="D37" s="40">
        <f t="shared" si="14"/>
        <v>6.1976573938506663</v>
      </c>
      <c r="E37" s="40">
        <f t="shared" si="15"/>
        <v>9.9404587603708841</v>
      </c>
      <c r="F37" s="40">
        <f t="shared" si="16"/>
        <v>13.246949731576446</v>
      </c>
      <c r="G37" s="40">
        <f t="shared" si="17"/>
        <v>14.184968277208235</v>
      </c>
      <c r="H37" s="40">
        <f t="shared" si="18"/>
        <v>12.243533430941964</v>
      </c>
      <c r="I37" s="40">
        <f t="shared" si="19"/>
        <v>9.4682772083944133</v>
      </c>
      <c r="J37" s="40">
        <f t="shared" si="20"/>
        <v>8.450707662274084</v>
      </c>
      <c r="K37" s="40">
        <f t="shared" si="21"/>
        <v>8.6283552952659086</v>
      </c>
      <c r="L37" s="40">
        <f t="shared" si="22"/>
        <v>8.058077110785721</v>
      </c>
      <c r="M37" s="40">
        <f t="shared" si="23"/>
        <v>5.4843826256710644</v>
      </c>
      <c r="N37" s="40">
        <f t="shared" si="24"/>
        <v>4.3130795510004063</v>
      </c>
      <c r="O37" s="40"/>
      <c r="P37" s="39">
        <f t="shared" si="25"/>
        <v>6.1515373352853517</v>
      </c>
      <c r="Q37" s="39">
        <f t="shared" si="26"/>
        <v>5.5988286969252936</v>
      </c>
      <c r="R37" s="39">
        <f t="shared" si="27"/>
        <v>5.1037091264032366</v>
      </c>
      <c r="S37" s="39">
        <f t="shared" si="28"/>
        <v>4.8728648121033871</v>
      </c>
      <c r="T37" s="39">
        <f t="shared" si="29"/>
        <v>6.9816983894584208</v>
      </c>
      <c r="U37" s="39">
        <f t="shared" si="30"/>
        <v>5.0405075646656385</v>
      </c>
      <c r="V37" s="39">
        <f t="shared" si="31"/>
        <v>4.5268423621279723</v>
      </c>
      <c r="W37" s="39">
        <f t="shared" si="32"/>
        <v>5.8030746705709149</v>
      </c>
      <c r="X37" s="39">
        <f t="shared" si="33"/>
        <v>5.2852611029771941</v>
      </c>
      <c r="Y37" s="39">
        <f t="shared" si="34"/>
        <v>7.5090287945338705</v>
      </c>
      <c r="Z37" s="39">
        <f t="shared" si="35"/>
        <v>5.9602244997559586</v>
      </c>
      <c r="AA37" s="39">
        <f t="shared" si="36"/>
        <v>6.8814055636896061</v>
      </c>
      <c r="AB37" s="38"/>
      <c r="AE37" s="15">
        <v>1.4814814814814814E-3</v>
      </c>
      <c r="AF37" s="14">
        <f t="shared" si="37"/>
        <v>128</v>
      </c>
      <c r="AG37" s="8">
        <v>2.0956000000000001</v>
      </c>
      <c r="AH37" s="8">
        <v>2.0764</v>
      </c>
      <c r="AI37" s="8">
        <v>2.0861000000000001</v>
      </c>
      <c r="AJ37" s="8">
        <v>2.0670999999999999</v>
      </c>
      <c r="AK37" s="8">
        <v>2.0754000000000001</v>
      </c>
      <c r="AL37" s="8">
        <v>2.0733000000000001</v>
      </c>
      <c r="AM37" s="8">
        <v>2.0649999999999999</v>
      </c>
      <c r="AN37" s="8">
        <v>2.0672000000000001</v>
      </c>
      <c r="AO37" s="8">
        <v>2.0527000000000002</v>
      </c>
      <c r="AP37" s="8">
        <v>2.0682</v>
      </c>
      <c r="AQ37" s="8">
        <v>2.0735999999999999</v>
      </c>
      <c r="AR37" s="8">
        <v>2.0364</v>
      </c>
      <c r="AS37" s="8">
        <v>2.0962000000000001</v>
      </c>
      <c r="AT37" s="8">
        <v>2.0931999999999999</v>
      </c>
      <c r="AU37" s="8">
        <v>2.1084999999999998</v>
      </c>
      <c r="AV37" s="8">
        <v>2.1008</v>
      </c>
      <c r="AW37" s="8">
        <v>2.1006</v>
      </c>
      <c r="AX37" s="8">
        <v>2.0739000000000001</v>
      </c>
      <c r="AY37" s="8">
        <v>2.0954999999999999</v>
      </c>
      <c r="AZ37" s="8">
        <v>2.093</v>
      </c>
      <c r="BA37" s="8">
        <v>2.0840000000000001</v>
      </c>
      <c r="BB37" s="8">
        <v>2.0897000000000001</v>
      </c>
      <c r="BC37" s="8">
        <v>2.093</v>
      </c>
      <c r="BD37" s="8">
        <v>2.0617000000000001</v>
      </c>
    </row>
    <row r="38" spans="2:56" s="13" customFormat="1" x14ac:dyDescent="0.3">
      <c r="B38" s="22">
        <f t="shared" si="12"/>
        <v>136</v>
      </c>
      <c r="C38" s="40">
        <f t="shared" si="13"/>
        <v>5.0456320156173877</v>
      </c>
      <c r="D38" s="40">
        <f t="shared" si="14"/>
        <v>6.2952659834065363</v>
      </c>
      <c r="E38" s="40">
        <f t="shared" si="15"/>
        <v>11.258174719375241</v>
      </c>
      <c r="F38" s="40">
        <f t="shared" si="16"/>
        <v>12.905319668130794</v>
      </c>
      <c r="G38" s="40">
        <f t="shared" si="17"/>
        <v>14.868228404099543</v>
      </c>
      <c r="H38" s="40">
        <f t="shared" si="18"/>
        <v>12.829184968277401</v>
      </c>
      <c r="I38" s="40">
        <f t="shared" si="19"/>
        <v>9.4682772083944133</v>
      </c>
      <c r="J38" s="40">
        <f t="shared" si="20"/>
        <v>8.1578818936064721</v>
      </c>
      <c r="K38" s="40">
        <f t="shared" si="21"/>
        <v>8.5795510004880828</v>
      </c>
      <c r="L38" s="40">
        <f t="shared" si="22"/>
        <v>8.643728648120943</v>
      </c>
      <c r="M38" s="40">
        <f t="shared" si="23"/>
        <v>6.2652513421180265</v>
      </c>
      <c r="N38" s="40">
        <f t="shared" si="24"/>
        <v>5.435578330893021</v>
      </c>
      <c r="O38" s="40"/>
      <c r="P38" s="39">
        <f t="shared" si="25"/>
        <v>7.0788189360662273</v>
      </c>
      <c r="Q38" s="39">
        <f t="shared" si="26"/>
        <v>5.5012201073694236</v>
      </c>
      <c r="R38" s="39">
        <f t="shared" si="27"/>
        <v>5.0549048316251923</v>
      </c>
      <c r="S38" s="39">
        <f t="shared" si="28"/>
        <v>5.4097120546607815</v>
      </c>
      <c r="T38" s="39">
        <f t="shared" si="29"/>
        <v>6.2984382625673296</v>
      </c>
      <c r="U38" s="39">
        <f t="shared" si="30"/>
        <v>5.3333333333332487</v>
      </c>
      <c r="V38" s="39">
        <f t="shared" si="31"/>
        <v>4.8196681307955824</v>
      </c>
      <c r="W38" s="39">
        <f t="shared" si="32"/>
        <v>7.3160078086870106</v>
      </c>
      <c r="X38" s="39">
        <f t="shared" si="33"/>
        <v>5.0900439238654531</v>
      </c>
      <c r="Y38" s="39">
        <f t="shared" si="34"/>
        <v>7.6066373840897397</v>
      </c>
      <c r="Z38" s="39">
        <f t="shared" si="35"/>
        <v>5.9114202049779152</v>
      </c>
      <c r="AA38" s="39">
        <f t="shared" si="36"/>
        <v>6.3445583211322107</v>
      </c>
      <c r="AB38" s="38"/>
      <c r="AE38" s="15">
        <v>1.5740740740740741E-3</v>
      </c>
      <c r="AF38" s="14">
        <f t="shared" si="37"/>
        <v>136</v>
      </c>
      <c r="AG38" s="8">
        <v>2.0939999999999999</v>
      </c>
      <c r="AH38" s="8">
        <v>2.0762</v>
      </c>
      <c r="AI38" s="8">
        <v>2.0834000000000001</v>
      </c>
      <c r="AJ38" s="8">
        <v>2.0678000000000001</v>
      </c>
      <c r="AK38" s="8">
        <v>2.0739999999999998</v>
      </c>
      <c r="AL38" s="8">
        <v>2.0720999999999998</v>
      </c>
      <c r="AM38" s="8">
        <v>2.0649999999999999</v>
      </c>
      <c r="AN38" s="8">
        <v>2.0678000000000001</v>
      </c>
      <c r="AO38" s="8">
        <v>2.0528</v>
      </c>
      <c r="AP38" s="8">
        <v>2.0670000000000002</v>
      </c>
      <c r="AQ38" s="8">
        <v>2.0720000000000001</v>
      </c>
      <c r="AR38" s="8">
        <v>2.0341</v>
      </c>
      <c r="AS38" s="8">
        <v>2.0943000000000001</v>
      </c>
      <c r="AT38" s="8">
        <v>2.0933999999999999</v>
      </c>
      <c r="AU38" s="8">
        <v>2.1086</v>
      </c>
      <c r="AV38" s="8">
        <v>2.0996999999999999</v>
      </c>
      <c r="AW38" s="8">
        <v>2.1019999999999999</v>
      </c>
      <c r="AX38" s="8">
        <v>2.0733000000000001</v>
      </c>
      <c r="AY38" s="8">
        <v>2.0949</v>
      </c>
      <c r="AZ38" s="8">
        <v>2.0899000000000001</v>
      </c>
      <c r="BA38" s="8">
        <v>2.0844</v>
      </c>
      <c r="BB38" s="8">
        <v>2.0895000000000001</v>
      </c>
      <c r="BC38" s="8">
        <v>2.0931000000000002</v>
      </c>
      <c r="BD38" s="8">
        <v>2.0628000000000002</v>
      </c>
    </row>
    <row r="39" spans="2:56" s="13" customFormat="1" x14ac:dyDescent="0.3">
      <c r="B39" s="22">
        <f t="shared" si="12"/>
        <v>144</v>
      </c>
      <c r="C39" s="40">
        <f t="shared" si="13"/>
        <v>4.7528062469497776</v>
      </c>
      <c r="D39" s="40">
        <f t="shared" si="14"/>
        <v>6.4904831625182773</v>
      </c>
      <c r="E39" s="40">
        <f t="shared" si="15"/>
        <v>11.355783308931109</v>
      </c>
      <c r="F39" s="40">
        <f t="shared" si="16"/>
        <v>13.344558321132318</v>
      </c>
      <c r="G39" s="40">
        <f t="shared" si="17"/>
        <v>15.307467057100851</v>
      </c>
      <c r="H39" s="40">
        <f t="shared" si="18"/>
        <v>12.097120546608265</v>
      </c>
      <c r="I39" s="40">
        <f t="shared" si="19"/>
        <v>10.297950219619418</v>
      </c>
      <c r="J39" s="40">
        <f t="shared" si="20"/>
        <v>9.0363591996095209</v>
      </c>
      <c r="K39" s="40">
        <f t="shared" si="21"/>
        <v>8.2379209370424284</v>
      </c>
      <c r="L39" s="40">
        <f t="shared" si="22"/>
        <v>9.6198145436798601</v>
      </c>
      <c r="M39" s="40">
        <f t="shared" si="23"/>
        <v>7.1437286481210744</v>
      </c>
      <c r="N39" s="40">
        <f t="shared" si="24"/>
        <v>5.2891654465591076</v>
      </c>
      <c r="O39" s="40"/>
      <c r="P39" s="39">
        <f t="shared" si="25"/>
        <v>6.3467545143970927</v>
      </c>
      <c r="Q39" s="39">
        <f t="shared" si="26"/>
        <v>5.7452415812589912</v>
      </c>
      <c r="R39" s="39">
        <f t="shared" si="27"/>
        <v>5.0549048316251923</v>
      </c>
      <c r="S39" s="39">
        <f t="shared" si="28"/>
        <v>5.8001464128842626</v>
      </c>
      <c r="T39" s="39">
        <f t="shared" si="29"/>
        <v>7.1769155685701609</v>
      </c>
      <c r="U39" s="39">
        <f t="shared" si="30"/>
        <v>5.0405075646656385</v>
      </c>
      <c r="V39" s="39">
        <f t="shared" si="31"/>
        <v>6.1861883845779806</v>
      </c>
      <c r="W39" s="39">
        <f t="shared" si="32"/>
        <v>6.2911176183502651</v>
      </c>
      <c r="X39" s="39">
        <f t="shared" si="33"/>
        <v>4.8460224499756697</v>
      </c>
      <c r="Y39" s="39">
        <f t="shared" si="34"/>
        <v>8.8755490483162696</v>
      </c>
      <c r="Z39" s="39">
        <f t="shared" si="35"/>
        <v>6.2530502684235687</v>
      </c>
      <c r="AA39" s="39">
        <f t="shared" si="36"/>
        <v>6.7837969741337352</v>
      </c>
      <c r="AB39" s="38"/>
      <c r="AE39" s="15">
        <v>1.6666666666666668E-3</v>
      </c>
      <c r="AF39" s="14">
        <f t="shared" si="37"/>
        <v>144</v>
      </c>
      <c r="AG39" s="8">
        <v>2.0945999999999998</v>
      </c>
      <c r="AH39" s="8">
        <v>2.0758000000000001</v>
      </c>
      <c r="AI39" s="8">
        <v>2.0832000000000002</v>
      </c>
      <c r="AJ39" s="8">
        <v>2.0669</v>
      </c>
      <c r="AK39" s="8">
        <v>2.0731000000000002</v>
      </c>
      <c r="AL39" s="8">
        <v>2.0735999999999999</v>
      </c>
      <c r="AM39" s="8">
        <v>2.0632999999999999</v>
      </c>
      <c r="AN39" s="8">
        <v>2.0659999999999998</v>
      </c>
      <c r="AO39" s="8">
        <v>2.0535000000000001</v>
      </c>
      <c r="AP39" s="8">
        <v>2.0649999999999999</v>
      </c>
      <c r="AQ39" s="8">
        <v>2.0701999999999998</v>
      </c>
      <c r="AR39" s="8">
        <v>2.0344000000000002</v>
      </c>
      <c r="AS39" s="8">
        <v>2.0958000000000001</v>
      </c>
      <c r="AT39" s="8">
        <v>2.0929000000000002</v>
      </c>
      <c r="AU39" s="8">
        <v>2.1086</v>
      </c>
      <c r="AV39" s="8">
        <v>2.0989</v>
      </c>
      <c r="AW39" s="8">
        <v>2.1002000000000001</v>
      </c>
      <c r="AX39" s="8">
        <v>2.0739000000000001</v>
      </c>
      <c r="AY39" s="8">
        <v>2.0920999999999998</v>
      </c>
      <c r="AZ39" s="8">
        <v>2.0920000000000001</v>
      </c>
      <c r="BA39" s="8">
        <v>2.0849000000000002</v>
      </c>
      <c r="BB39" s="8">
        <v>2.0869</v>
      </c>
      <c r="BC39" s="8">
        <v>2.0924</v>
      </c>
      <c r="BD39" s="8">
        <v>2.0619000000000001</v>
      </c>
    </row>
    <row r="40" spans="2:56" s="13" customFormat="1" x14ac:dyDescent="0.3">
      <c r="B40" s="22">
        <f t="shared" si="12"/>
        <v>152</v>
      </c>
      <c r="C40" s="40">
        <f t="shared" si="13"/>
        <v>5.2408491947291287</v>
      </c>
      <c r="D40" s="40">
        <f t="shared" si="14"/>
        <v>6.3440702781845806</v>
      </c>
      <c r="E40" s="40">
        <f t="shared" si="15"/>
        <v>11.160566129819369</v>
      </c>
      <c r="F40" s="40">
        <f t="shared" si="16"/>
        <v>13.393362615910144</v>
      </c>
      <c r="G40" s="40">
        <f t="shared" si="17"/>
        <v>15.893118594436288</v>
      </c>
      <c r="H40" s="40">
        <f t="shared" si="18"/>
        <v>14.098096632503712</v>
      </c>
      <c r="I40" s="40">
        <f t="shared" si="19"/>
        <v>10.98121034651051</v>
      </c>
      <c r="J40" s="40">
        <f t="shared" si="20"/>
        <v>9.7684236212786555</v>
      </c>
      <c r="K40" s="40">
        <f t="shared" si="21"/>
        <v>9.8972669594924394</v>
      </c>
      <c r="L40" s="40">
        <f t="shared" si="22"/>
        <v>10.400683260126822</v>
      </c>
      <c r="M40" s="40">
        <f t="shared" si="23"/>
        <v>6.70448999511955</v>
      </c>
      <c r="N40" s="40">
        <f t="shared" si="24"/>
        <v>6.1676427525621556</v>
      </c>
      <c r="O40" s="40"/>
      <c r="P40" s="39">
        <f t="shared" si="25"/>
        <v>6.5907759882868762</v>
      </c>
      <c r="Q40" s="39">
        <f t="shared" si="26"/>
        <v>6.1356759394826881</v>
      </c>
      <c r="R40" s="39">
        <f t="shared" si="27"/>
        <v>7.2022938018545535</v>
      </c>
      <c r="S40" s="39">
        <f t="shared" si="28"/>
        <v>6.239385065885787</v>
      </c>
      <c r="T40" s="39">
        <f t="shared" si="29"/>
        <v>7.9577842850173388</v>
      </c>
      <c r="U40" s="39">
        <f t="shared" si="30"/>
        <v>5.3333333333332487</v>
      </c>
      <c r="V40" s="39">
        <f t="shared" si="31"/>
        <v>5.2101024890190626</v>
      </c>
      <c r="W40" s="39">
        <f t="shared" si="32"/>
        <v>6.6815519765737461</v>
      </c>
      <c r="X40" s="39">
        <f t="shared" si="33"/>
        <v>5.4804782820889333</v>
      </c>
      <c r="Y40" s="39">
        <f t="shared" si="34"/>
        <v>8.2898975109810493</v>
      </c>
      <c r="Z40" s="39">
        <f t="shared" si="35"/>
        <v>6.6922889214250931</v>
      </c>
      <c r="AA40" s="39">
        <f t="shared" si="36"/>
        <v>6.7837969741337352</v>
      </c>
      <c r="AB40" s="38"/>
      <c r="AE40" s="15">
        <v>1.7592592592592592E-3</v>
      </c>
      <c r="AF40" s="14">
        <f t="shared" si="37"/>
        <v>152</v>
      </c>
      <c r="AG40" s="8">
        <v>2.0935999999999999</v>
      </c>
      <c r="AH40" s="8">
        <v>2.0760999999999998</v>
      </c>
      <c r="AI40" s="8">
        <v>2.0836000000000001</v>
      </c>
      <c r="AJ40" s="8">
        <v>2.0668000000000002</v>
      </c>
      <c r="AK40" s="8">
        <v>2.0718999999999999</v>
      </c>
      <c r="AL40" s="8">
        <v>2.0695000000000001</v>
      </c>
      <c r="AM40" s="8">
        <v>2.0619000000000001</v>
      </c>
      <c r="AN40" s="8">
        <v>2.0644999999999998</v>
      </c>
      <c r="AO40" s="8">
        <v>2.0501</v>
      </c>
      <c r="AP40" s="8">
        <v>2.0634000000000001</v>
      </c>
      <c r="AQ40" s="8">
        <v>2.0710999999999999</v>
      </c>
      <c r="AR40" s="8">
        <v>2.0326</v>
      </c>
      <c r="AS40" s="8">
        <v>2.0952999999999999</v>
      </c>
      <c r="AT40" s="8">
        <v>2.0920999999999998</v>
      </c>
      <c r="AU40" s="8">
        <v>2.1042000000000001</v>
      </c>
      <c r="AV40" s="8">
        <v>2.0979999999999999</v>
      </c>
      <c r="AW40" s="8">
        <v>2.0985999999999998</v>
      </c>
      <c r="AX40" s="8">
        <v>2.0733000000000001</v>
      </c>
      <c r="AY40" s="8">
        <v>2.0941000000000001</v>
      </c>
      <c r="AZ40" s="8">
        <v>2.0912000000000002</v>
      </c>
      <c r="BA40" s="8">
        <v>2.0836000000000001</v>
      </c>
      <c r="BB40" s="8">
        <v>2.0880999999999998</v>
      </c>
      <c r="BC40" s="8">
        <v>2.0914999999999999</v>
      </c>
      <c r="BD40" s="8">
        <v>2.0619000000000001</v>
      </c>
    </row>
    <row r="41" spans="2:56" s="13" customFormat="1" x14ac:dyDescent="0.3">
      <c r="B41" s="22">
        <f t="shared" si="12"/>
        <v>160</v>
      </c>
      <c r="C41" s="40">
        <f t="shared" si="13"/>
        <v>4.4111761835041232</v>
      </c>
      <c r="D41" s="40">
        <f t="shared" si="14"/>
        <v>6.0512445095167529</v>
      </c>
      <c r="E41" s="40">
        <f t="shared" si="15"/>
        <v>12.673499267935682</v>
      </c>
      <c r="F41" s="40">
        <f t="shared" si="16"/>
        <v>13.588579795022101</v>
      </c>
      <c r="G41" s="40">
        <f t="shared" si="17"/>
        <v>16.332357247437596</v>
      </c>
      <c r="H41" s="40">
        <f t="shared" si="18"/>
        <v>14.537335285505236</v>
      </c>
      <c r="I41" s="40">
        <f t="shared" si="19"/>
        <v>11.56686188384573</v>
      </c>
      <c r="J41" s="40">
        <f t="shared" si="20"/>
        <v>10.207662274279963</v>
      </c>
      <c r="K41" s="40">
        <f t="shared" si="21"/>
        <v>9.5556368960467832</v>
      </c>
      <c r="L41" s="40">
        <f t="shared" si="22"/>
        <v>9.9126403123474702</v>
      </c>
      <c r="M41" s="40">
        <f t="shared" si="23"/>
        <v>6.70448999511955</v>
      </c>
      <c r="N41" s="40">
        <f t="shared" si="24"/>
        <v>6.7532942898973767</v>
      </c>
      <c r="O41" s="40"/>
      <c r="P41" s="39">
        <f t="shared" si="25"/>
        <v>7.2740361151779664</v>
      </c>
      <c r="Q41" s="39">
        <f t="shared" si="26"/>
        <v>6.1844802342605147</v>
      </c>
      <c r="R41" s="39">
        <f t="shared" si="27"/>
        <v>7.4951195705221636</v>
      </c>
      <c r="S41" s="39">
        <f t="shared" si="28"/>
        <v>6.1905807711077427</v>
      </c>
      <c r="T41" s="39">
        <f t="shared" si="29"/>
        <v>7.6649585163495111</v>
      </c>
      <c r="U41" s="39">
        <f t="shared" si="30"/>
        <v>5.7237676915569464</v>
      </c>
      <c r="V41" s="39">
        <f t="shared" si="31"/>
        <v>6.3814055636897216</v>
      </c>
      <c r="W41" s="39">
        <f t="shared" si="32"/>
        <v>7.3160078086870106</v>
      </c>
      <c r="X41" s="39">
        <f t="shared" si="33"/>
        <v>6.7005856515374189</v>
      </c>
      <c r="Y41" s="39">
        <f t="shared" si="34"/>
        <v>8.6803318692045277</v>
      </c>
      <c r="Z41" s="39">
        <f t="shared" si="35"/>
        <v>7.5707662274279253</v>
      </c>
      <c r="AA41" s="39">
        <f t="shared" si="36"/>
        <v>6.9790141532454752</v>
      </c>
      <c r="AB41" s="38"/>
      <c r="AE41" s="15">
        <v>1.8518518518518517E-3</v>
      </c>
      <c r="AF41" s="14">
        <f t="shared" si="37"/>
        <v>160</v>
      </c>
      <c r="AG41" s="8">
        <v>2.0952999999999999</v>
      </c>
      <c r="AH41" s="8">
        <v>2.0767000000000002</v>
      </c>
      <c r="AI41" s="8">
        <v>2.0804999999999998</v>
      </c>
      <c r="AJ41" s="8">
        <v>2.0663999999999998</v>
      </c>
      <c r="AK41" s="8">
        <v>2.0710000000000002</v>
      </c>
      <c r="AL41" s="8">
        <v>2.0686</v>
      </c>
      <c r="AM41" s="8">
        <v>2.0607000000000002</v>
      </c>
      <c r="AN41" s="8">
        <v>2.0636000000000001</v>
      </c>
      <c r="AO41" s="8">
        <v>2.0508000000000002</v>
      </c>
      <c r="AP41" s="8">
        <v>2.0644</v>
      </c>
      <c r="AQ41" s="8">
        <v>2.0710999999999999</v>
      </c>
      <c r="AR41" s="8">
        <v>2.0314000000000001</v>
      </c>
      <c r="AS41" s="8">
        <v>2.0939000000000001</v>
      </c>
      <c r="AT41" s="8">
        <v>2.0920000000000001</v>
      </c>
      <c r="AU41" s="8">
        <v>2.1036000000000001</v>
      </c>
      <c r="AV41" s="8">
        <v>2.0981000000000001</v>
      </c>
      <c r="AW41" s="8">
        <v>2.0992000000000002</v>
      </c>
      <c r="AX41" s="8">
        <v>2.0724999999999998</v>
      </c>
      <c r="AY41" s="8">
        <v>2.0916999999999999</v>
      </c>
      <c r="AZ41" s="8">
        <v>2.0899000000000001</v>
      </c>
      <c r="BA41" s="8">
        <v>2.0811000000000002</v>
      </c>
      <c r="BB41" s="8">
        <v>2.0872999999999999</v>
      </c>
      <c r="BC41" s="8">
        <v>2.0897000000000001</v>
      </c>
      <c r="BD41" s="8">
        <v>2.0615000000000001</v>
      </c>
    </row>
    <row r="42" spans="2:56" s="13" customFormat="1" x14ac:dyDescent="0.3">
      <c r="B42" s="22">
        <f t="shared" si="12"/>
        <v>168</v>
      </c>
      <c r="C42" s="40">
        <f t="shared" si="13"/>
        <v>5.7288921425084789</v>
      </c>
      <c r="D42" s="40">
        <f t="shared" si="14"/>
        <v>6.9297218155198008</v>
      </c>
      <c r="E42" s="40">
        <f t="shared" si="15"/>
        <v>12.331869204490028</v>
      </c>
      <c r="F42" s="40">
        <f t="shared" si="16"/>
        <v>14.223035627135149</v>
      </c>
      <c r="G42" s="40">
        <f t="shared" si="17"/>
        <v>16.96681307955086</v>
      </c>
      <c r="H42" s="40">
        <f t="shared" si="18"/>
        <v>14.878965348950892</v>
      </c>
      <c r="I42" s="40">
        <f t="shared" si="19"/>
        <v>11.322840409956164</v>
      </c>
      <c r="J42" s="40">
        <f t="shared" si="20"/>
        <v>10.89092240117127</v>
      </c>
      <c r="K42" s="40">
        <f t="shared" si="21"/>
        <v>10.6781356759394</v>
      </c>
      <c r="L42" s="40">
        <f t="shared" si="22"/>
        <v>10.351878965348995</v>
      </c>
      <c r="M42" s="40">
        <f t="shared" si="23"/>
        <v>7.6317715959004255</v>
      </c>
      <c r="N42" s="40">
        <f t="shared" si="24"/>
        <v>6.4116642264519399</v>
      </c>
      <c r="O42" s="40"/>
      <c r="P42" s="39">
        <f t="shared" si="25"/>
        <v>8.0061005368471019</v>
      </c>
      <c r="Q42" s="39">
        <f t="shared" si="26"/>
        <v>6.2332845290385581</v>
      </c>
      <c r="R42" s="39">
        <f t="shared" si="27"/>
        <v>7.0558809175208568</v>
      </c>
      <c r="S42" s="39">
        <f t="shared" si="28"/>
        <v>6.1905807711077427</v>
      </c>
      <c r="T42" s="39">
        <f t="shared" si="29"/>
        <v>7.4697413372377719</v>
      </c>
      <c r="U42" s="39">
        <f t="shared" si="30"/>
        <v>6.5046364080039076</v>
      </c>
      <c r="V42" s="39">
        <f t="shared" si="31"/>
        <v>7.6015129331382072</v>
      </c>
      <c r="W42" s="39">
        <f t="shared" si="32"/>
        <v>8.1456808199120161</v>
      </c>
      <c r="X42" s="39">
        <f t="shared" si="33"/>
        <v>6.7981942410932898</v>
      </c>
      <c r="Y42" s="39">
        <f t="shared" si="34"/>
        <v>10.046852122986929</v>
      </c>
      <c r="Z42" s="39">
        <f t="shared" si="35"/>
        <v>8.0100048804294488</v>
      </c>
      <c r="AA42" s="39">
        <f t="shared" si="36"/>
        <v>8.9799902391411397</v>
      </c>
      <c r="AB42" s="38"/>
      <c r="AE42" s="15">
        <v>1.9444444444444442E-3</v>
      </c>
      <c r="AF42" s="14">
        <f t="shared" si="37"/>
        <v>168</v>
      </c>
      <c r="AG42" s="8">
        <v>2.0926</v>
      </c>
      <c r="AH42" s="8">
        <v>2.0749</v>
      </c>
      <c r="AI42" s="8">
        <v>2.0811999999999999</v>
      </c>
      <c r="AJ42" s="8">
        <v>2.0651000000000002</v>
      </c>
      <c r="AK42" s="8">
        <v>2.0697000000000001</v>
      </c>
      <c r="AL42" s="8">
        <v>2.0678999999999998</v>
      </c>
      <c r="AM42" s="8">
        <v>2.0611999999999999</v>
      </c>
      <c r="AN42" s="8">
        <v>2.0621999999999998</v>
      </c>
      <c r="AO42" s="8">
        <v>2.0485000000000002</v>
      </c>
      <c r="AP42" s="8">
        <v>2.0634999999999999</v>
      </c>
      <c r="AQ42" s="8">
        <v>2.0691999999999999</v>
      </c>
      <c r="AR42" s="8">
        <v>2.0320999999999998</v>
      </c>
      <c r="AS42" s="8">
        <v>2.0924</v>
      </c>
      <c r="AT42" s="8">
        <v>2.0918999999999999</v>
      </c>
      <c r="AU42" s="8">
        <v>2.1044999999999998</v>
      </c>
      <c r="AV42" s="8">
        <v>2.0981000000000001</v>
      </c>
      <c r="AW42" s="8">
        <v>2.0996000000000001</v>
      </c>
      <c r="AX42" s="8">
        <v>2.0709</v>
      </c>
      <c r="AY42" s="8">
        <v>2.0891999999999999</v>
      </c>
      <c r="AZ42" s="8">
        <v>2.0882000000000001</v>
      </c>
      <c r="BA42" s="8">
        <v>2.0809000000000002</v>
      </c>
      <c r="BB42" s="8">
        <v>2.0844999999999998</v>
      </c>
      <c r="BC42" s="8">
        <v>2.0888</v>
      </c>
      <c r="BD42" s="8">
        <v>2.0573999999999999</v>
      </c>
    </row>
    <row r="43" spans="2:56" s="13" customFormat="1" x14ac:dyDescent="0.3">
      <c r="B43" s="22">
        <f t="shared" si="12"/>
        <v>176.00000000000003</v>
      </c>
      <c r="C43" s="40">
        <f t="shared" si="13"/>
        <v>5.6800878477306531</v>
      </c>
      <c r="D43" s="40">
        <f t="shared" si="14"/>
        <v>7.0273304050756709</v>
      </c>
      <c r="E43" s="40">
        <f t="shared" si="15"/>
        <v>11.746217667154808</v>
      </c>
      <c r="F43" s="40">
        <f t="shared" si="16"/>
        <v>14.223035627135149</v>
      </c>
      <c r="G43" s="40">
        <f t="shared" si="17"/>
        <v>17.259638848218472</v>
      </c>
      <c r="H43" s="40">
        <f t="shared" si="18"/>
        <v>15.318204001952196</v>
      </c>
      <c r="I43" s="40">
        <f t="shared" si="19"/>
        <v>12.201317715958997</v>
      </c>
      <c r="J43" s="40">
        <f t="shared" si="20"/>
        <v>10.842118106393226</v>
      </c>
      <c r="K43" s="40">
        <f t="shared" si="21"/>
        <v>11.507808687164404</v>
      </c>
      <c r="L43" s="40">
        <f t="shared" si="22"/>
        <v>11.132747681795957</v>
      </c>
      <c r="M43" s="40">
        <f t="shared" si="23"/>
        <v>7.5341630063445546</v>
      </c>
      <c r="N43" s="40">
        <f t="shared" si="24"/>
        <v>6.8509028794532476</v>
      </c>
      <c r="O43" s="40"/>
      <c r="P43" s="39">
        <f t="shared" si="25"/>
        <v>7.9572962420692752</v>
      </c>
      <c r="Q43" s="39">
        <f t="shared" si="26"/>
        <v>6.7213274768179092</v>
      </c>
      <c r="R43" s="39">
        <f t="shared" si="27"/>
        <v>6.7630551488530291</v>
      </c>
      <c r="S43" s="39">
        <f t="shared" si="28"/>
        <v>6.8738408979990506</v>
      </c>
      <c r="T43" s="39">
        <f t="shared" si="29"/>
        <v>8.2018057589069056</v>
      </c>
      <c r="U43" s="39">
        <f t="shared" si="30"/>
        <v>6.9926793557832587</v>
      </c>
      <c r="V43" s="39">
        <f t="shared" si="31"/>
        <v>6.6254270375792892</v>
      </c>
      <c r="W43" s="39">
        <f t="shared" si="32"/>
        <v>7.7064421669104917</v>
      </c>
      <c r="X43" s="39">
        <f t="shared" si="33"/>
        <v>7.0910200097611167</v>
      </c>
      <c r="Y43" s="39">
        <f t="shared" si="34"/>
        <v>9.998047828208886</v>
      </c>
      <c r="Z43" s="39">
        <f t="shared" si="35"/>
        <v>8.3028306490970607</v>
      </c>
      <c r="AA43" s="39">
        <f t="shared" si="36"/>
        <v>8.0527086383602633</v>
      </c>
      <c r="AB43" s="38"/>
      <c r="AE43" s="15">
        <v>2.0370370370370373E-3</v>
      </c>
      <c r="AF43" s="14">
        <f t="shared" si="37"/>
        <v>176.00000000000003</v>
      </c>
      <c r="AG43" s="8">
        <v>2.0926999999999998</v>
      </c>
      <c r="AH43" s="8">
        <v>2.0747</v>
      </c>
      <c r="AI43" s="8">
        <v>2.0823999999999998</v>
      </c>
      <c r="AJ43" s="8">
        <v>2.0651000000000002</v>
      </c>
      <c r="AK43" s="8">
        <v>2.0691000000000002</v>
      </c>
      <c r="AL43" s="8">
        <v>2.0670000000000002</v>
      </c>
      <c r="AM43" s="8">
        <v>2.0594000000000001</v>
      </c>
      <c r="AN43" s="8">
        <v>2.0623</v>
      </c>
      <c r="AO43" s="8">
        <v>2.0468000000000002</v>
      </c>
      <c r="AP43" s="8">
        <v>2.0619000000000001</v>
      </c>
      <c r="AQ43" s="8">
        <v>2.0693999999999999</v>
      </c>
      <c r="AR43" s="8">
        <v>2.0312000000000001</v>
      </c>
      <c r="AS43" s="8">
        <v>2.0924999999999998</v>
      </c>
      <c r="AT43" s="8">
        <v>2.0909</v>
      </c>
      <c r="AU43" s="8">
        <v>2.1051000000000002</v>
      </c>
      <c r="AV43" s="8">
        <v>2.0966999999999998</v>
      </c>
      <c r="AW43" s="8">
        <v>2.0981000000000001</v>
      </c>
      <c r="AX43" s="8">
        <v>2.0699000000000001</v>
      </c>
      <c r="AY43" s="8">
        <v>2.0912000000000002</v>
      </c>
      <c r="AZ43" s="8">
        <v>2.0891000000000002</v>
      </c>
      <c r="BA43" s="8">
        <v>2.0802999999999998</v>
      </c>
      <c r="BB43" s="8">
        <v>2.0846</v>
      </c>
      <c r="BC43" s="8">
        <v>2.0882000000000001</v>
      </c>
      <c r="BD43" s="8">
        <v>2.0592999999999999</v>
      </c>
    </row>
    <row r="44" spans="2:56" s="13" customFormat="1" x14ac:dyDescent="0.3">
      <c r="B44" s="22">
        <f t="shared" si="12"/>
        <v>184</v>
      </c>
      <c r="C44" s="40">
        <f t="shared" si="13"/>
        <v>6.1681307955100033</v>
      </c>
      <c r="D44" s="40">
        <f t="shared" si="14"/>
        <v>8.1010248901904607</v>
      </c>
      <c r="E44" s="40">
        <f t="shared" si="15"/>
        <v>11.990239141044375</v>
      </c>
      <c r="F44" s="40">
        <f t="shared" si="16"/>
        <v>14.467057101024931</v>
      </c>
      <c r="G44" s="40">
        <f t="shared" si="17"/>
        <v>17.650073206442169</v>
      </c>
      <c r="H44" s="40">
        <f t="shared" si="18"/>
        <v>16.245485602733076</v>
      </c>
      <c r="I44" s="40">
        <f t="shared" si="19"/>
        <v>12.152513421181167</v>
      </c>
      <c r="J44" s="40">
        <f t="shared" si="20"/>
        <v>10.842118106393226</v>
      </c>
      <c r="K44" s="40">
        <f t="shared" si="21"/>
        <v>10.726939970717442</v>
      </c>
      <c r="L44" s="40">
        <f t="shared" si="22"/>
        <v>11.913616398243134</v>
      </c>
      <c r="M44" s="40">
        <f t="shared" si="23"/>
        <v>8.3150317227915149</v>
      </c>
      <c r="N44" s="40">
        <f t="shared" si="24"/>
        <v>7.4365544167886846</v>
      </c>
      <c r="O44" s="40"/>
      <c r="P44" s="39">
        <f t="shared" si="25"/>
        <v>7.4204489995118807</v>
      </c>
      <c r="Q44" s="39">
        <f t="shared" si="26"/>
        <v>6.8189360663737792</v>
      </c>
      <c r="R44" s="39">
        <f t="shared" si="27"/>
        <v>7.6903367496339046</v>
      </c>
      <c r="S44" s="39">
        <f t="shared" si="28"/>
        <v>7.0202537823327482</v>
      </c>
      <c r="T44" s="39">
        <f t="shared" si="29"/>
        <v>9.1778916544658244</v>
      </c>
      <c r="U44" s="39">
        <f t="shared" si="30"/>
        <v>7.2367008296730422</v>
      </c>
      <c r="V44" s="39">
        <f t="shared" si="31"/>
        <v>6.918252806247116</v>
      </c>
      <c r="W44" s="39">
        <f t="shared" si="32"/>
        <v>9.0729624206928889</v>
      </c>
      <c r="X44" s="39">
        <f t="shared" si="33"/>
        <v>7.9694973157639479</v>
      </c>
      <c r="Y44" s="39">
        <f t="shared" si="34"/>
        <v>10.534895070766279</v>
      </c>
      <c r="Z44" s="39">
        <f t="shared" si="35"/>
        <v>8.5956564177646708</v>
      </c>
      <c r="AA44" s="39">
        <f t="shared" si="36"/>
        <v>8.5407515861396153</v>
      </c>
      <c r="AB44" s="38"/>
      <c r="AE44" s="15">
        <v>2.1296296296296298E-3</v>
      </c>
      <c r="AF44" s="14">
        <f t="shared" si="37"/>
        <v>184</v>
      </c>
      <c r="AG44" s="8">
        <v>2.0916999999999999</v>
      </c>
      <c r="AH44" s="8">
        <v>2.0724999999999998</v>
      </c>
      <c r="AI44" s="8">
        <v>2.0819000000000001</v>
      </c>
      <c r="AJ44" s="8">
        <v>2.0646</v>
      </c>
      <c r="AK44" s="8">
        <v>2.0682999999999998</v>
      </c>
      <c r="AL44" s="8">
        <v>2.0651000000000002</v>
      </c>
      <c r="AM44" s="8">
        <v>2.0594999999999999</v>
      </c>
      <c r="AN44" s="8">
        <v>2.0623</v>
      </c>
      <c r="AO44" s="8">
        <v>2.0484</v>
      </c>
      <c r="AP44" s="8">
        <v>2.0602999999999998</v>
      </c>
      <c r="AQ44" s="8">
        <v>2.0678000000000001</v>
      </c>
      <c r="AR44" s="8">
        <v>2.0299999999999998</v>
      </c>
      <c r="AS44" s="8">
        <v>2.0935999999999999</v>
      </c>
      <c r="AT44" s="8">
        <v>2.0907</v>
      </c>
      <c r="AU44" s="8">
        <v>2.1032000000000002</v>
      </c>
      <c r="AV44" s="8">
        <v>2.0964</v>
      </c>
      <c r="AW44" s="8">
        <v>2.0960999999999999</v>
      </c>
      <c r="AX44" s="8">
        <v>2.0693999999999999</v>
      </c>
      <c r="AY44" s="8">
        <v>2.0905999999999998</v>
      </c>
      <c r="AZ44" s="8">
        <v>2.0863</v>
      </c>
      <c r="BA44" s="8">
        <v>2.0785</v>
      </c>
      <c r="BB44" s="8">
        <v>2.0834999999999999</v>
      </c>
      <c r="BC44" s="8">
        <v>2.0876000000000001</v>
      </c>
      <c r="BD44" s="8">
        <v>2.0583</v>
      </c>
    </row>
    <row r="45" spans="2:56" s="13" customFormat="1" x14ac:dyDescent="0.3">
      <c r="B45" s="22">
        <f t="shared" si="12"/>
        <v>191.99999999999997</v>
      </c>
      <c r="C45" s="40">
        <f t="shared" si="13"/>
        <v>6.5585651537334844</v>
      </c>
      <c r="D45" s="40">
        <f t="shared" si="14"/>
        <v>8.4914592484139408</v>
      </c>
      <c r="E45" s="40">
        <f t="shared" si="15"/>
        <v>13.11273792093699</v>
      </c>
      <c r="F45" s="40">
        <f t="shared" si="16"/>
        <v>15.394338701805808</v>
      </c>
      <c r="G45" s="40">
        <f t="shared" si="17"/>
        <v>18.186920448999345</v>
      </c>
      <c r="H45" s="40">
        <f t="shared" si="18"/>
        <v>16.294289897511117</v>
      </c>
      <c r="I45" s="40">
        <f t="shared" si="19"/>
        <v>12.445339189848779</v>
      </c>
      <c r="J45" s="40">
        <f t="shared" si="20"/>
        <v>12.013421181063885</v>
      </c>
      <c r="K45" s="40">
        <f t="shared" si="21"/>
        <v>11.019765739385052</v>
      </c>
      <c r="L45" s="40">
        <f t="shared" si="22"/>
        <v>12.304050756466616</v>
      </c>
      <c r="M45" s="40">
        <f t="shared" si="23"/>
        <v>8.0710102489019491</v>
      </c>
      <c r="N45" s="40">
        <f t="shared" si="24"/>
        <v>7.0461200585649868</v>
      </c>
      <c r="O45" s="40"/>
      <c r="P45" s="39">
        <f t="shared" si="25"/>
        <v>9.0309907271838465</v>
      </c>
      <c r="Q45" s="39">
        <f t="shared" si="26"/>
        <v>7.1117618350413894</v>
      </c>
      <c r="R45" s="39">
        <f t="shared" si="27"/>
        <v>7.8855539287458605</v>
      </c>
      <c r="S45" s="39">
        <f t="shared" si="28"/>
        <v>7.0202537823327482</v>
      </c>
      <c r="T45" s="39">
        <f t="shared" si="29"/>
        <v>9.1778916544658244</v>
      </c>
      <c r="U45" s="39">
        <f t="shared" si="30"/>
        <v>7.3343094192289122</v>
      </c>
      <c r="V45" s="39">
        <f t="shared" si="31"/>
        <v>7.3574914592484237</v>
      </c>
      <c r="W45" s="39">
        <f t="shared" si="32"/>
        <v>9.4145924841385451</v>
      </c>
      <c r="X45" s="39">
        <f t="shared" si="33"/>
        <v>7.2374328940948143</v>
      </c>
      <c r="Y45" s="39">
        <f t="shared" si="34"/>
        <v>10.876525134211716</v>
      </c>
      <c r="Z45" s="39">
        <f t="shared" si="35"/>
        <v>8.2540263543192314</v>
      </c>
      <c r="AA45" s="39">
        <f t="shared" si="36"/>
        <v>9.2240117130307056</v>
      </c>
      <c r="AB45" s="38"/>
      <c r="AE45" s="15">
        <v>2.2222222222222222E-3</v>
      </c>
      <c r="AF45" s="14">
        <f t="shared" si="37"/>
        <v>191.99999999999997</v>
      </c>
      <c r="AG45" s="8">
        <v>2.0909</v>
      </c>
      <c r="AH45" s="8">
        <v>2.0716999999999999</v>
      </c>
      <c r="AI45" s="8">
        <v>2.0796000000000001</v>
      </c>
      <c r="AJ45" s="8">
        <v>2.0627</v>
      </c>
      <c r="AK45" s="8">
        <v>2.0672000000000001</v>
      </c>
      <c r="AL45" s="8">
        <v>2.0649999999999999</v>
      </c>
      <c r="AM45" s="8">
        <v>2.0589</v>
      </c>
      <c r="AN45" s="8">
        <v>2.0598999999999998</v>
      </c>
      <c r="AO45" s="8">
        <v>2.0478000000000001</v>
      </c>
      <c r="AP45" s="8">
        <v>2.0594999999999999</v>
      </c>
      <c r="AQ45" s="8">
        <v>2.0682999999999998</v>
      </c>
      <c r="AR45" s="8">
        <v>2.0308000000000002</v>
      </c>
      <c r="AS45" s="8">
        <v>2.0903</v>
      </c>
      <c r="AT45" s="8">
        <v>2.0901000000000001</v>
      </c>
      <c r="AU45" s="8">
        <v>2.1027999999999998</v>
      </c>
      <c r="AV45" s="8">
        <v>2.0964</v>
      </c>
      <c r="AW45" s="8">
        <v>2.0960999999999999</v>
      </c>
      <c r="AX45" s="8">
        <v>2.0691999999999999</v>
      </c>
      <c r="AY45" s="8">
        <v>2.0897000000000001</v>
      </c>
      <c r="AZ45" s="8">
        <v>2.0855999999999999</v>
      </c>
      <c r="BA45" s="8">
        <v>2.08</v>
      </c>
      <c r="BB45" s="8">
        <v>2.0828000000000002</v>
      </c>
      <c r="BC45" s="8">
        <v>2.0882999999999998</v>
      </c>
      <c r="BD45" s="8">
        <v>2.0569000000000002</v>
      </c>
    </row>
    <row r="46" spans="2:56" s="13" customFormat="1" x14ac:dyDescent="0.3">
      <c r="B46" s="22">
        <f t="shared" si="12"/>
        <v>200.00000000000003</v>
      </c>
      <c r="C46" s="40">
        <f t="shared" si="13"/>
        <v>6.1681307955100033</v>
      </c>
      <c r="D46" s="40">
        <f t="shared" si="14"/>
        <v>7.3689604685213252</v>
      </c>
      <c r="E46" s="40">
        <f t="shared" si="15"/>
        <v>12.087847730600243</v>
      </c>
      <c r="F46" s="40">
        <f t="shared" si="16"/>
        <v>14.906295754026456</v>
      </c>
      <c r="G46" s="40">
        <f t="shared" si="17"/>
        <v>18.382137628111089</v>
      </c>
      <c r="H46" s="40">
        <f t="shared" si="18"/>
        <v>17.221571498291993</v>
      </c>
      <c r="I46" s="40">
        <f t="shared" si="19"/>
        <v>13.763055148853134</v>
      </c>
      <c r="J46" s="40">
        <f t="shared" si="20"/>
        <v>12.94070278184476</v>
      </c>
      <c r="K46" s="40">
        <f t="shared" si="21"/>
        <v>12.191068814055711</v>
      </c>
      <c r="L46" s="40">
        <f t="shared" si="22"/>
        <v>11.816007808687049</v>
      </c>
      <c r="M46" s="40">
        <f t="shared" si="23"/>
        <v>9.2911176183504338</v>
      </c>
      <c r="N46" s="40">
        <f t="shared" si="24"/>
        <v>7.7781844802341222</v>
      </c>
      <c r="O46" s="40"/>
      <c r="P46" s="39">
        <f t="shared" si="25"/>
        <v>9.3726207906295009</v>
      </c>
      <c r="Q46" s="39">
        <f t="shared" si="26"/>
        <v>7.5510004880429138</v>
      </c>
      <c r="R46" s="39">
        <f t="shared" si="27"/>
        <v>7.836749633967818</v>
      </c>
      <c r="S46" s="39">
        <f t="shared" si="28"/>
        <v>8.0451439726694929</v>
      </c>
      <c r="T46" s="39">
        <f t="shared" si="29"/>
        <v>9.8123474865788722</v>
      </c>
      <c r="U46" s="39">
        <f t="shared" si="30"/>
        <v>7.7735480722304375</v>
      </c>
      <c r="V46" s="39">
        <f t="shared" si="31"/>
        <v>7.6503172279160339</v>
      </c>
      <c r="W46" s="39">
        <f t="shared" si="32"/>
        <v>10.92752562225464</v>
      </c>
      <c r="X46" s="39">
        <f t="shared" si="33"/>
        <v>7.5302586627624244</v>
      </c>
      <c r="Y46" s="39">
        <f t="shared" si="34"/>
        <v>11.120546608101499</v>
      </c>
      <c r="Z46" s="39">
        <f t="shared" si="35"/>
        <v>9.0836993655442377</v>
      </c>
      <c r="AA46" s="39">
        <f t="shared" si="36"/>
        <v>10.541727672035277</v>
      </c>
      <c r="AB46" s="38"/>
      <c r="AE46" s="15">
        <v>2.3148148148148151E-3</v>
      </c>
      <c r="AF46" s="14">
        <f t="shared" si="37"/>
        <v>200.00000000000003</v>
      </c>
      <c r="AG46" s="8">
        <v>2.0916999999999999</v>
      </c>
      <c r="AH46" s="8">
        <v>2.0739999999999998</v>
      </c>
      <c r="AI46" s="8">
        <v>2.0817000000000001</v>
      </c>
      <c r="AJ46" s="8">
        <v>2.0636999999999999</v>
      </c>
      <c r="AK46" s="8">
        <v>2.0668000000000002</v>
      </c>
      <c r="AL46" s="8">
        <v>2.0630999999999999</v>
      </c>
      <c r="AM46" s="8">
        <v>2.0562</v>
      </c>
      <c r="AN46" s="8">
        <v>2.0579999999999998</v>
      </c>
      <c r="AO46" s="8">
        <v>2.0453999999999999</v>
      </c>
      <c r="AP46" s="8">
        <v>2.0605000000000002</v>
      </c>
      <c r="AQ46" s="8">
        <v>2.0657999999999999</v>
      </c>
      <c r="AR46" s="8">
        <v>2.0293000000000001</v>
      </c>
      <c r="AS46" s="8">
        <v>2.0895999999999999</v>
      </c>
      <c r="AT46" s="8">
        <v>2.0891999999999999</v>
      </c>
      <c r="AU46" s="8">
        <v>2.1029</v>
      </c>
      <c r="AV46" s="8">
        <v>2.0943000000000001</v>
      </c>
      <c r="AW46" s="8">
        <v>2.0948000000000002</v>
      </c>
      <c r="AX46" s="8">
        <v>2.0682999999999998</v>
      </c>
      <c r="AY46" s="8">
        <v>2.0891000000000002</v>
      </c>
      <c r="AZ46" s="8">
        <v>2.0825</v>
      </c>
      <c r="BA46" s="8">
        <v>2.0794000000000001</v>
      </c>
      <c r="BB46" s="8">
        <v>2.0823</v>
      </c>
      <c r="BC46" s="8">
        <v>2.0865999999999998</v>
      </c>
      <c r="BD46" s="8">
        <v>2.0541999999999998</v>
      </c>
    </row>
    <row r="47" spans="2:56" s="13" customFormat="1" x14ac:dyDescent="0.3">
      <c r="B47" s="22">
        <f t="shared" si="12"/>
        <v>208</v>
      </c>
      <c r="C47" s="40">
        <f t="shared" si="13"/>
        <v>6.3145436798437</v>
      </c>
      <c r="D47" s="40">
        <f t="shared" si="14"/>
        <v>7.612981942410892</v>
      </c>
      <c r="E47" s="40">
        <f t="shared" si="15"/>
        <v>13.01512933138112</v>
      </c>
      <c r="F47" s="40">
        <f t="shared" si="16"/>
        <v>15.199121522694066</v>
      </c>
      <c r="G47" s="40">
        <f t="shared" si="17"/>
        <v>18.235724743777389</v>
      </c>
      <c r="H47" s="40">
        <f t="shared" si="18"/>
        <v>17.416788677403733</v>
      </c>
      <c r="I47" s="40">
        <f t="shared" si="19"/>
        <v>13.714250854075308</v>
      </c>
      <c r="J47" s="40">
        <f t="shared" si="20"/>
        <v>11.330161054172576</v>
      </c>
      <c r="K47" s="40">
        <f t="shared" si="21"/>
        <v>11.898243045388101</v>
      </c>
      <c r="L47" s="40">
        <f t="shared" si="22"/>
        <v>12.743289409467923</v>
      </c>
      <c r="M47" s="40">
        <f t="shared" si="23"/>
        <v>9.1935090287945638</v>
      </c>
      <c r="N47" s="40">
        <f t="shared" si="24"/>
        <v>8.2662274280134724</v>
      </c>
      <c r="O47" s="40"/>
      <c r="P47" s="39">
        <f t="shared" si="25"/>
        <v>8.7381649585162364</v>
      </c>
      <c r="Q47" s="39">
        <f t="shared" si="26"/>
        <v>8.0390434358222649</v>
      </c>
      <c r="R47" s="39">
        <f t="shared" si="27"/>
        <v>7.836749633967818</v>
      </c>
      <c r="S47" s="39">
        <f t="shared" si="28"/>
        <v>8.3867740361151473</v>
      </c>
      <c r="T47" s="39">
        <f t="shared" si="29"/>
        <v>9.5683260126893046</v>
      </c>
      <c r="U47" s="39">
        <f t="shared" si="30"/>
        <v>7.6271351878965223</v>
      </c>
      <c r="V47" s="39">
        <f t="shared" si="31"/>
        <v>7.7479258174719048</v>
      </c>
      <c r="W47" s="39">
        <f t="shared" si="32"/>
        <v>10.293069790141375</v>
      </c>
      <c r="X47" s="39">
        <f t="shared" si="33"/>
        <v>8.8967789165448234</v>
      </c>
      <c r="Y47" s="39">
        <f t="shared" si="34"/>
        <v>10.876525134211716</v>
      </c>
      <c r="Z47" s="39">
        <f t="shared" si="35"/>
        <v>10.45021961932642</v>
      </c>
      <c r="AA47" s="39">
        <f t="shared" si="36"/>
        <v>9.4680331869204899</v>
      </c>
      <c r="AB47" s="38"/>
      <c r="AE47" s="15">
        <v>2.4074074074074076E-3</v>
      </c>
      <c r="AF47" s="14">
        <f t="shared" si="37"/>
        <v>208</v>
      </c>
      <c r="AG47" s="8">
        <v>2.0914000000000001</v>
      </c>
      <c r="AH47" s="8">
        <v>2.0735000000000001</v>
      </c>
      <c r="AI47" s="8">
        <v>2.0798000000000001</v>
      </c>
      <c r="AJ47" s="8">
        <v>2.0630999999999999</v>
      </c>
      <c r="AK47" s="8">
        <v>2.0670999999999999</v>
      </c>
      <c r="AL47" s="8">
        <v>2.0627</v>
      </c>
      <c r="AM47" s="8">
        <v>2.0562999999999998</v>
      </c>
      <c r="AN47" s="8">
        <v>2.0613000000000001</v>
      </c>
      <c r="AO47" s="8">
        <v>2.0459999999999998</v>
      </c>
      <c r="AP47" s="8">
        <v>2.0586000000000002</v>
      </c>
      <c r="AQ47" s="8">
        <v>2.0659999999999998</v>
      </c>
      <c r="AR47" s="8">
        <v>2.0283000000000002</v>
      </c>
      <c r="AS47" s="8">
        <v>2.0909</v>
      </c>
      <c r="AT47" s="8">
        <v>2.0882000000000001</v>
      </c>
      <c r="AU47" s="8">
        <v>2.1029</v>
      </c>
      <c r="AV47" s="8">
        <v>2.0935999999999999</v>
      </c>
      <c r="AW47" s="8">
        <v>2.0952999999999999</v>
      </c>
      <c r="AX47" s="8">
        <v>2.0686</v>
      </c>
      <c r="AY47" s="8">
        <v>2.0889000000000002</v>
      </c>
      <c r="AZ47" s="8">
        <v>2.0838000000000001</v>
      </c>
      <c r="BA47" s="8">
        <v>2.0766</v>
      </c>
      <c r="BB47" s="8">
        <v>2.0828000000000002</v>
      </c>
      <c r="BC47" s="8">
        <v>2.0838000000000001</v>
      </c>
      <c r="BD47" s="8">
        <v>2.0564</v>
      </c>
    </row>
    <row r="48" spans="2:56" s="13" customFormat="1" x14ac:dyDescent="0.3">
      <c r="B48" s="22">
        <f t="shared" si="12"/>
        <v>215.99999999999997</v>
      </c>
      <c r="C48" s="40">
        <f t="shared" si="13"/>
        <v>7.2906295754026189</v>
      </c>
      <c r="D48" s="40">
        <f t="shared" si="14"/>
        <v>8.0522205954124164</v>
      </c>
      <c r="E48" s="40">
        <f t="shared" si="15"/>
        <v>12.91752074182525</v>
      </c>
      <c r="F48" s="40">
        <f t="shared" si="16"/>
        <v>15.150317227916023</v>
      </c>
      <c r="G48" s="40">
        <f t="shared" si="17"/>
        <v>18.333333333333258</v>
      </c>
      <c r="H48" s="40">
        <f t="shared" si="18"/>
        <v>17.904831625183082</v>
      </c>
      <c r="I48" s="40">
        <f t="shared" si="19"/>
        <v>14.495119570522268</v>
      </c>
      <c r="J48" s="40">
        <f t="shared" si="20"/>
        <v>12.94070278184476</v>
      </c>
      <c r="K48" s="40">
        <f t="shared" si="21"/>
        <v>12.630307467057019</v>
      </c>
      <c r="L48" s="40">
        <f t="shared" si="22"/>
        <v>12.938506588579878</v>
      </c>
      <c r="M48" s="40">
        <f t="shared" si="23"/>
        <v>10.023182040019568</v>
      </c>
      <c r="N48" s="40">
        <f t="shared" si="24"/>
        <v>8.8518789653489112</v>
      </c>
      <c r="O48" s="40"/>
      <c r="P48" s="39">
        <f t="shared" si="25"/>
        <v>9.3726207906295009</v>
      </c>
      <c r="Q48" s="39">
        <f t="shared" si="26"/>
        <v>7.5510004880429138</v>
      </c>
      <c r="R48" s="39">
        <f t="shared" si="27"/>
        <v>10.276964372864787</v>
      </c>
      <c r="S48" s="39">
        <f t="shared" si="28"/>
        <v>9.02122986822841</v>
      </c>
      <c r="T48" s="39">
        <f t="shared" si="29"/>
        <v>9.7635431918010465</v>
      </c>
      <c r="U48" s="39">
        <f t="shared" si="30"/>
        <v>7.2855051244508688</v>
      </c>
      <c r="V48" s="39">
        <f t="shared" si="31"/>
        <v>8.4311859443632109</v>
      </c>
      <c r="W48" s="39">
        <f t="shared" si="32"/>
        <v>10.244265495363548</v>
      </c>
      <c r="X48" s="39">
        <f t="shared" si="33"/>
        <v>8.7503660322109109</v>
      </c>
      <c r="Y48" s="39">
        <f t="shared" si="34"/>
        <v>11.999023914104548</v>
      </c>
      <c r="Z48" s="39">
        <f t="shared" si="35"/>
        <v>9.9133723767690256</v>
      </c>
      <c r="AA48" s="39">
        <f t="shared" si="36"/>
        <v>10.346510492923322</v>
      </c>
      <c r="AB48" s="38"/>
      <c r="AE48" s="15">
        <v>2.5000000000000001E-3</v>
      </c>
      <c r="AF48" s="14">
        <f t="shared" si="37"/>
        <v>215.99999999999997</v>
      </c>
      <c r="AG48" s="8">
        <v>2.0893999999999999</v>
      </c>
      <c r="AH48" s="8">
        <v>2.0726</v>
      </c>
      <c r="AI48" s="8">
        <v>2.08</v>
      </c>
      <c r="AJ48" s="8">
        <v>2.0632000000000001</v>
      </c>
      <c r="AK48" s="8">
        <v>2.0669</v>
      </c>
      <c r="AL48" s="8">
        <v>2.0617000000000001</v>
      </c>
      <c r="AM48" s="8">
        <v>2.0547</v>
      </c>
      <c r="AN48" s="8">
        <v>2.0579999999999998</v>
      </c>
      <c r="AO48" s="8">
        <v>2.0445000000000002</v>
      </c>
      <c r="AP48" s="8">
        <v>2.0581999999999998</v>
      </c>
      <c r="AQ48" s="8">
        <v>2.0642999999999998</v>
      </c>
      <c r="AR48" s="8">
        <v>2.0270999999999999</v>
      </c>
      <c r="AS48" s="8">
        <v>2.0895999999999999</v>
      </c>
      <c r="AT48" s="8">
        <v>2.0891999999999999</v>
      </c>
      <c r="AU48" s="8">
        <v>2.0979000000000001</v>
      </c>
      <c r="AV48" s="8">
        <v>2.0922999999999998</v>
      </c>
      <c r="AW48" s="8">
        <v>2.0949</v>
      </c>
      <c r="AX48" s="8">
        <v>2.0693000000000001</v>
      </c>
      <c r="AY48" s="8">
        <v>2.0874999999999999</v>
      </c>
      <c r="AZ48" s="8">
        <v>2.0838999999999999</v>
      </c>
      <c r="BA48" s="8">
        <v>2.0769000000000002</v>
      </c>
      <c r="BB48" s="8">
        <v>2.0804999999999998</v>
      </c>
      <c r="BC48" s="8">
        <v>2.0849000000000002</v>
      </c>
      <c r="BD48" s="8">
        <v>2.0546000000000002</v>
      </c>
    </row>
    <row r="49" spans="2:56" s="13" customFormat="1" x14ac:dyDescent="0.3">
      <c r="B49" s="22">
        <f t="shared" si="12"/>
        <v>224</v>
      </c>
      <c r="C49" s="40">
        <f t="shared" si="13"/>
        <v>6.9001952171791379</v>
      </c>
      <c r="D49" s="40">
        <f t="shared" si="14"/>
        <v>8.4914592484139408</v>
      </c>
      <c r="E49" s="40">
        <f t="shared" si="15"/>
        <v>13.747193753050254</v>
      </c>
      <c r="F49" s="40">
        <f t="shared" si="16"/>
        <v>15.052708638360153</v>
      </c>
      <c r="G49" s="40">
        <f t="shared" si="17"/>
        <v>18.82137628111261</v>
      </c>
      <c r="H49" s="40">
        <f t="shared" si="18"/>
        <v>17.904831625183082</v>
      </c>
      <c r="I49" s="40">
        <f t="shared" si="19"/>
        <v>14.641532454856183</v>
      </c>
      <c r="J49" s="40">
        <f t="shared" si="20"/>
        <v>13.331137140068241</v>
      </c>
      <c r="K49" s="40">
        <f t="shared" si="21"/>
        <v>12.630307467057019</v>
      </c>
      <c r="L49" s="40">
        <f t="shared" si="22"/>
        <v>12.84089799902401</v>
      </c>
      <c r="M49" s="40">
        <f t="shared" si="23"/>
        <v>10.218399219131308</v>
      </c>
      <c r="N49" s="40">
        <f t="shared" si="24"/>
        <v>8.998291849682607</v>
      </c>
      <c r="O49" s="40"/>
      <c r="P49" s="39">
        <f t="shared" si="25"/>
        <v>9.6654465592971111</v>
      </c>
      <c r="Q49" s="39">
        <f t="shared" si="26"/>
        <v>7.8926305514885682</v>
      </c>
      <c r="R49" s="39">
        <f t="shared" si="27"/>
        <v>9.0568570034163027</v>
      </c>
      <c r="S49" s="39">
        <f t="shared" si="28"/>
        <v>8.3867740361151473</v>
      </c>
      <c r="T49" s="39">
        <f t="shared" si="29"/>
        <v>9.6171303074671322</v>
      </c>
      <c r="U49" s="39">
        <f t="shared" si="30"/>
        <v>8.0663738408980468</v>
      </c>
      <c r="V49" s="39">
        <f t="shared" si="31"/>
        <v>9.2120546608101748</v>
      </c>
      <c r="W49" s="39">
        <f t="shared" si="32"/>
        <v>10.34187408491942</v>
      </c>
      <c r="X49" s="39">
        <f t="shared" si="33"/>
        <v>8.6039531478772133</v>
      </c>
      <c r="Y49" s="39">
        <f t="shared" si="34"/>
        <v>12.389458272328028</v>
      </c>
      <c r="Z49" s="39">
        <f t="shared" si="35"/>
        <v>10.108589555880982</v>
      </c>
      <c r="AA49" s="39">
        <f t="shared" si="36"/>
        <v>10.639336261591149</v>
      </c>
      <c r="AB49" s="38"/>
      <c r="AE49" s="15">
        <v>2.5925925925925925E-3</v>
      </c>
      <c r="AF49" s="14">
        <f t="shared" si="37"/>
        <v>224</v>
      </c>
      <c r="AG49" s="8">
        <v>2.0901999999999998</v>
      </c>
      <c r="AH49" s="8">
        <v>2.0716999999999999</v>
      </c>
      <c r="AI49" s="8">
        <v>2.0783</v>
      </c>
      <c r="AJ49" s="8">
        <v>2.0634000000000001</v>
      </c>
      <c r="AK49" s="8">
        <v>2.0659000000000001</v>
      </c>
      <c r="AL49" s="8">
        <v>2.0617000000000001</v>
      </c>
      <c r="AM49" s="8">
        <v>2.0543999999999998</v>
      </c>
      <c r="AN49" s="8">
        <v>2.0571999999999999</v>
      </c>
      <c r="AO49" s="8">
        <v>2.0445000000000002</v>
      </c>
      <c r="AP49" s="8">
        <v>2.0583999999999998</v>
      </c>
      <c r="AQ49" s="8">
        <v>2.0638999999999998</v>
      </c>
      <c r="AR49" s="8">
        <v>2.0268000000000002</v>
      </c>
      <c r="AS49" s="8">
        <v>2.089</v>
      </c>
      <c r="AT49" s="8">
        <v>2.0884999999999998</v>
      </c>
      <c r="AU49" s="8">
        <v>2.1004</v>
      </c>
      <c r="AV49" s="8">
        <v>2.0935999999999999</v>
      </c>
      <c r="AW49" s="8">
        <v>2.0952000000000002</v>
      </c>
      <c r="AX49" s="8">
        <v>2.0676999999999999</v>
      </c>
      <c r="AY49" s="8">
        <v>2.0859000000000001</v>
      </c>
      <c r="AZ49" s="8">
        <v>2.0836999999999999</v>
      </c>
      <c r="BA49" s="8">
        <v>2.0771999999999999</v>
      </c>
      <c r="BB49" s="8">
        <v>2.0796999999999999</v>
      </c>
      <c r="BC49" s="8">
        <v>2.0844999999999998</v>
      </c>
      <c r="BD49" s="8">
        <v>2.0539999999999998</v>
      </c>
    </row>
    <row r="50" spans="2:56" s="13" customFormat="1" x14ac:dyDescent="0.3">
      <c r="B50" s="22">
        <f t="shared" si="12"/>
        <v>232</v>
      </c>
      <c r="C50" s="40">
        <f t="shared" si="13"/>
        <v>7.2418252806245746</v>
      </c>
      <c r="D50" s="40">
        <f t="shared" si="14"/>
        <v>8.6378721327476384</v>
      </c>
      <c r="E50" s="40">
        <f t="shared" si="15"/>
        <v>13.21034651049286</v>
      </c>
      <c r="F50" s="40">
        <f t="shared" si="16"/>
        <v>15.345534407027765</v>
      </c>
      <c r="G50" s="40">
        <f t="shared" si="17"/>
        <v>19.016593460224353</v>
      </c>
      <c r="H50" s="40">
        <f t="shared" si="18"/>
        <v>18.197657393850694</v>
      </c>
      <c r="I50" s="40">
        <f t="shared" si="19"/>
        <v>15.666422645192927</v>
      </c>
      <c r="J50" s="40">
        <f t="shared" si="20"/>
        <v>13.23352855051237</v>
      </c>
      <c r="K50" s="40">
        <f t="shared" si="21"/>
        <v>13.313567593948328</v>
      </c>
      <c r="L50" s="40">
        <f t="shared" si="22"/>
        <v>13.963396778916625</v>
      </c>
      <c r="M50" s="40">
        <f t="shared" si="23"/>
        <v>10.755246461688486</v>
      </c>
      <c r="N50" s="40">
        <f t="shared" si="24"/>
        <v>9.4375305026841314</v>
      </c>
      <c r="O50" s="40"/>
      <c r="P50" s="39">
        <f t="shared" si="25"/>
        <v>9.9582723279647229</v>
      </c>
      <c r="Q50" s="39">
        <f t="shared" si="26"/>
        <v>7.941434846266394</v>
      </c>
      <c r="R50" s="39">
        <f t="shared" si="27"/>
        <v>8.6664226451928208</v>
      </c>
      <c r="S50" s="39">
        <f t="shared" si="28"/>
        <v>8.6795998047827574</v>
      </c>
      <c r="T50" s="39">
        <f t="shared" si="29"/>
        <v>10.202781844802571</v>
      </c>
      <c r="U50" s="39">
        <f t="shared" si="30"/>
        <v>8.7008296730113113</v>
      </c>
      <c r="V50" s="39">
        <f t="shared" si="31"/>
        <v>8.9680331869206071</v>
      </c>
      <c r="W50" s="39">
        <f t="shared" si="32"/>
        <v>10.878721327476814</v>
      </c>
      <c r="X50" s="39">
        <f t="shared" si="33"/>
        <v>9.3848218643241736</v>
      </c>
      <c r="Y50" s="39">
        <f t="shared" si="34"/>
        <v>12.389458272328028</v>
      </c>
      <c r="Z50" s="39">
        <f t="shared" si="35"/>
        <v>10.987066861883815</v>
      </c>
      <c r="AA50" s="39">
        <f t="shared" si="36"/>
        <v>10.785749145924845</v>
      </c>
      <c r="AB50" s="38"/>
      <c r="AE50" s="15">
        <v>2.685185185185185E-3</v>
      </c>
      <c r="AF50" s="14">
        <f t="shared" si="37"/>
        <v>232</v>
      </c>
      <c r="AG50" s="8">
        <v>2.0895000000000001</v>
      </c>
      <c r="AH50" s="8">
        <v>2.0714000000000001</v>
      </c>
      <c r="AI50" s="8">
        <v>2.0794000000000001</v>
      </c>
      <c r="AJ50" s="8">
        <v>2.0628000000000002</v>
      </c>
      <c r="AK50" s="8">
        <v>2.0655000000000001</v>
      </c>
      <c r="AL50" s="8">
        <v>2.0611000000000002</v>
      </c>
      <c r="AM50" s="8">
        <v>2.0522999999999998</v>
      </c>
      <c r="AN50" s="8">
        <v>2.0573999999999999</v>
      </c>
      <c r="AO50" s="8">
        <v>2.0430999999999999</v>
      </c>
      <c r="AP50" s="8">
        <v>2.0560999999999998</v>
      </c>
      <c r="AQ50" s="8">
        <v>2.0628000000000002</v>
      </c>
      <c r="AR50" s="8">
        <v>2.0259</v>
      </c>
      <c r="AS50" s="8">
        <v>2.0884</v>
      </c>
      <c r="AT50" s="8">
        <v>2.0884</v>
      </c>
      <c r="AU50" s="8">
        <v>2.1012</v>
      </c>
      <c r="AV50" s="8">
        <v>2.093</v>
      </c>
      <c r="AW50" s="8">
        <v>2.0939999999999999</v>
      </c>
      <c r="AX50" s="8">
        <v>2.0663999999999998</v>
      </c>
      <c r="AY50" s="8">
        <v>2.0863999999999998</v>
      </c>
      <c r="AZ50" s="8">
        <v>2.0825999999999998</v>
      </c>
      <c r="BA50" s="8">
        <v>2.0756000000000001</v>
      </c>
      <c r="BB50" s="8">
        <v>2.0796999999999999</v>
      </c>
      <c r="BC50" s="8">
        <v>2.0827</v>
      </c>
      <c r="BD50" s="8">
        <v>2.0537000000000001</v>
      </c>
    </row>
    <row r="51" spans="2:56" s="13" customFormat="1" x14ac:dyDescent="0.3">
      <c r="B51" s="22">
        <f t="shared" si="12"/>
        <v>240</v>
      </c>
      <c r="C51" s="40">
        <f t="shared" si="13"/>
        <v>7.583455344070229</v>
      </c>
      <c r="D51" s="40">
        <f t="shared" si="14"/>
        <v>8.2474377745241565</v>
      </c>
      <c r="E51" s="40">
        <f t="shared" si="15"/>
        <v>13.161542215715034</v>
      </c>
      <c r="F51" s="40">
        <f t="shared" si="16"/>
        <v>15.931185944363202</v>
      </c>
      <c r="G51" s="40">
        <f t="shared" si="17"/>
        <v>19.943875061005226</v>
      </c>
      <c r="H51" s="40">
        <f t="shared" si="18"/>
        <v>18.832113225963955</v>
      </c>
      <c r="I51" s="40">
        <f t="shared" si="19"/>
        <v>16.691312835529676</v>
      </c>
      <c r="J51" s="40">
        <f t="shared" si="20"/>
        <v>14.648853099072596</v>
      </c>
      <c r="K51" s="40">
        <f t="shared" si="21"/>
        <v>13.99682772083942</v>
      </c>
      <c r="L51" s="40">
        <f t="shared" si="22"/>
        <v>14.061005368472495</v>
      </c>
      <c r="M51" s="40">
        <f t="shared" si="23"/>
        <v>10.12079062957544</v>
      </c>
      <c r="N51" s="40">
        <f t="shared" si="24"/>
        <v>10.023182040019352</v>
      </c>
      <c r="O51" s="40"/>
      <c r="P51" s="39">
        <f t="shared" si="25"/>
        <v>9.6166422645190668</v>
      </c>
      <c r="Q51" s="39">
        <f t="shared" si="26"/>
        <v>10.625671059053149</v>
      </c>
      <c r="R51" s="39">
        <f t="shared" si="27"/>
        <v>9.008052708638477</v>
      </c>
      <c r="S51" s="39">
        <f t="shared" si="28"/>
        <v>10.338945827232768</v>
      </c>
      <c r="T51" s="39">
        <f t="shared" si="29"/>
        <v>12.887018057589325</v>
      </c>
      <c r="U51" s="39">
        <f t="shared" si="30"/>
        <v>8.3591996095656587</v>
      </c>
      <c r="V51" s="39">
        <f t="shared" si="31"/>
        <v>9.0656417764764772</v>
      </c>
      <c r="W51" s="39">
        <f t="shared" si="32"/>
        <v>11.22035139092225</v>
      </c>
      <c r="X51" s="39">
        <f t="shared" si="33"/>
        <v>8.9455832113228659</v>
      </c>
      <c r="Y51" s="39">
        <f t="shared" si="34"/>
        <v>13.07271839921912</v>
      </c>
      <c r="Z51" s="39">
        <f t="shared" si="35"/>
        <v>11.182284040995555</v>
      </c>
      <c r="AA51" s="39">
        <f t="shared" si="36"/>
        <v>12.933138116154206</v>
      </c>
      <c r="AB51" s="38"/>
      <c r="AE51" s="15">
        <v>2.7777777777777779E-3</v>
      </c>
      <c r="AF51" s="14">
        <f t="shared" si="37"/>
        <v>240</v>
      </c>
      <c r="AG51" s="8">
        <v>2.0888</v>
      </c>
      <c r="AH51" s="8">
        <v>2.0722</v>
      </c>
      <c r="AI51" s="8">
        <v>2.0794999999999999</v>
      </c>
      <c r="AJ51" s="8">
        <v>2.0615999999999999</v>
      </c>
      <c r="AK51" s="8">
        <v>2.0636000000000001</v>
      </c>
      <c r="AL51" s="8">
        <v>2.0598000000000001</v>
      </c>
      <c r="AM51" s="8">
        <v>2.0501999999999998</v>
      </c>
      <c r="AN51" s="8">
        <v>2.0545</v>
      </c>
      <c r="AO51" s="8">
        <v>2.0417000000000001</v>
      </c>
      <c r="AP51" s="8">
        <v>2.0558999999999998</v>
      </c>
      <c r="AQ51" s="8">
        <v>2.0640999999999998</v>
      </c>
      <c r="AR51" s="8">
        <v>2.0247000000000002</v>
      </c>
      <c r="AS51" s="8">
        <v>2.0891000000000002</v>
      </c>
      <c r="AT51" s="8">
        <v>2.0829</v>
      </c>
      <c r="AU51" s="8">
        <v>2.1004999999999998</v>
      </c>
      <c r="AV51" s="8">
        <v>2.0895999999999999</v>
      </c>
      <c r="AW51" s="8">
        <v>2.0884999999999998</v>
      </c>
      <c r="AX51" s="8">
        <v>2.0670999999999999</v>
      </c>
      <c r="AY51" s="8">
        <v>2.0861999999999998</v>
      </c>
      <c r="AZ51" s="8">
        <v>2.0819000000000001</v>
      </c>
      <c r="BA51" s="8">
        <v>2.0764999999999998</v>
      </c>
      <c r="BB51" s="8">
        <v>2.0783</v>
      </c>
      <c r="BC51" s="8">
        <v>2.0823</v>
      </c>
      <c r="BD51" s="8">
        <v>2.0493000000000001</v>
      </c>
    </row>
    <row r="52" spans="2:56" s="13" customFormat="1" x14ac:dyDescent="0.3">
      <c r="B52" s="22">
        <f t="shared" si="12"/>
        <v>248.00000000000003</v>
      </c>
      <c r="C52" s="40">
        <f t="shared" si="13"/>
        <v>7.8274768179600134</v>
      </c>
      <c r="D52" s="40">
        <f t="shared" si="14"/>
        <v>8.0522205954124164</v>
      </c>
      <c r="E52" s="40">
        <f t="shared" si="15"/>
        <v>13.11273792093699</v>
      </c>
      <c r="F52" s="40">
        <f t="shared" si="16"/>
        <v>16.419228892142552</v>
      </c>
      <c r="G52" s="40">
        <f t="shared" si="17"/>
        <v>19.065397755002394</v>
      </c>
      <c r="H52" s="40">
        <f t="shared" si="18"/>
        <v>18.880917520742003</v>
      </c>
      <c r="I52" s="40">
        <f t="shared" si="19"/>
        <v>16.203269887750107</v>
      </c>
      <c r="J52" s="40">
        <f t="shared" si="20"/>
        <v>14.697657393850639</v>
      </c>
      <c r="K52" s="40">
        <f t="shared" si="21"/>
        <v>13.801610541727678</v>
      </c>
      <c r="L52" s="40">
        <f t="shared" si="22"/>
        <v>14.744265495363587</v>
      </c>
      <c r="M52" s="40">
        <f t="shared" si="23"/>
        <v>10.462420693020876</v>
      </c>
      <c r="N52" s="40">
        <f t="shared" si="24"/>
        <v>9.4863347974621739</v>
      </c>
      <c r="O52" s="40"/>
      <c r="P52" s="39">
        <f t="shared" si="25"/>
        <v>9.7142508540749386</v>
      </c>
      <c r="Q52" s="39">
        <f t="shared" si="26"/>
        <v>8.6734992679355276</v>
      </c>
      <c r="R52" s="39">
        <f t="shared" si="27"/>
        <v>9.5937042459736972</v>
      </c>
      <c r="S52" s="39">
        <f t="shared" si="28"/>
        <v>9.8509028794534164</v>
      </c>
      <c r="T52" s="39">
        <f t="shared" si="29"/>
        <v>11.178867740361271</v>
      </c>
      <c r="U52" s="39">
        <f t="shared" si="30"/>
        <v>9.237676915568489</v>
      </c>
      <c r="V52" s="39">
        <f t="shared" si="31"/>
        <v>8.8704245973647353</v>
      </c>
      <c r="W52" s="39">
        <f t="shared" si="32"/>
        <v>12.440458760370735</v>
      </c>
      <c r="X52" s="39">
        <f t="shared" si="33"/>
        <v>9.6776476329917838</v>
      </c>
      <c r="Y52" s="39">
        <f t="shared" si="34"/>
        <v>13.414348462664774</v>
      </c>
      <c r="Z52" s="39">
        <f t="shared" si="35"/>
        <v>11.084675451439685</v>
      </c>
      <c r="AA52" s="39">
        <f t="shared" si="36"/>
        <v>11.566617862372023</v>
      </c>
      <c r="AB52" s="38"/>
      <c r="AE52" s="15">
        <v>2.8703703703703708E-3</v>
      </c>
      <c r="AF52" s="14">
        <f t="shared" si="37"/>
        <v>248.00000000000003</v>
      </c>
      <c r="AG52" s="8">
        <v>2.0882999999999998</v>
      </c>
      <c r="AH52" s="8">
        <v>2.0726</v>
      </c>
      <c r="AI52" s="8">
        <v>2.0796000000000001</v>
      </c>
      <c r="AJ52" s="8">
        <v>2.0606</v>
      </c>
      <c r="AK52" s="8">
        <v>2.0653999999999999</v>
      </c>
      <c r="AL52" s="8">
        <v>2.0596999999999999</v>
      </c>
      <c r="AM52" s="8">
        <v>2.0512000000000001</v>
      </c>
      <c r="AN52" s="8">
        <v>2.0543999999999998</v>
      </c>
      <c r="AO52" s="8">
        <v>2.0421</v>
      </c>
      <c r="AP52" s="8">
        <v>2.0545</v>
      </c>
      <c r="AQ52" s="8">
        <v>2.0634000000000001</v>
      </c>
      <c r="AR52" s="8">
        <v>2.0257999999999998</v>
      </c>
      <c r="AS52" s="8">
        <v>2.0889000000000002</v>
      </c>
      <c r="AT52" s="8">
        <v>2.0869</v>
      </c>
      <c r="AU52" s="8">
        <v>2.0992999999999999</v>
      </c>
      <c r="AV52" s="8">
        <v>2.0905999999999998</v>
      </c>
      <c r="AW52" s="8">
        <v>2.0920000000000001</v>
      </c>
      <c r="AX52" s="8">
        <v>2.0653000000000001</v>
      </c>
      <c r="AY52" s="8">
        <v>2.0865999999999998</v>
      </c>
      <c r="AZ52" s="8">
        <v>2.0794000000000001</v>
      </c>
      <c r="BA52" s="8">
        <v>2.0750000000000002</v>
      </c>
      <c r="BB52" s="8">
        <v>2.0775999999999999</v>
      </c>
      <c r="BC52" s="8">
        <v>2.0825</v>
      </c>
      <c r="BD52" s="8">
        <v>2.0520999999999998</v>
      </c>
    </row>
    <row r="53" spans="2:56" s="13" customFormat="1" x14ac:dyDescent="0.3">
      <c r="B53" s="22">
        <f t="shared" si="12"/>
        <v>256</v>
      </c>
      <c r="C53" s="40">
        <f t="shared" si="13"/>
        <v>6.2657393850658734</v>
      </c>
      <c r="D53" s="40">
        <f t="shared" si="14"/>
        <v>8.8330893118593785</v>
      </c>
      <c r="E53" s="40">
        <f t="shared" si="15"/>
        <v>13.600780868716557</v>
      </c>
      <c r="F53" s="40">
        <f t="shared" si="16"/>
        <v>16.175207418252771</v>
      </c>
      <c r="G53" s="40">
        <f t="shared" si="17"/>
        <v>19.358223523670006</v>
      </c>
      <c r="H53" s="40">
        <f t="shared" si="18"/>
        <v>19.027330405075698</v>
      </c>
      <c r="I53" s="40">
        <f t="shared" si="19"/>
        <v>16.300878477305975</v>
      </c>
      <c r="J53" s="40">
        <f t="shared" si="20"/>
        <v>15.283308931185863</v>
      </c>
      <c r="K53" s="40">
        <f t="shared" si="21"/>
        <v>14.58247925817464</v>
      </c>
      <c r="L53" s="40">
        <f t="shared" si="22"/>
        <v>14.646656905807715</v>
      </c>
      <c r="M53" s="40">
        <f t="shared" si="23"/>
        <v>11.633723767691535</v>
      </c>
      <c r="N53" s="40">
        <f t="shared" si="24"/>
        <v>10.657637872132616</v>
      </c>
      <c r="O53" s="40"/>
      <c r="P53" s="39">
        <f t="shared" si="25"/>
        <v>10.83674963396777</v>
      </c>
      <c r="Q53" s="39">
        <f t="shared" si="26"/>
        <v>9.1615422157148796</v>
      </c>
      <c r="R53" s="39">
        <f t="shared" si="27"/>
        <v>9.8377257198632631</v>
      </c>
      <c r="S53" s="39">
        <f t="shared" si="28"/>
        <v>9.4604685212297195</v>
      </c>
      <c r="T53" s="39">
        <f t="shared" si="29"/>
        <v>12.398975109809758</v>
      </c>
      <c r="U53" s="39">
        <f t="shared" si="30"/>
        <v>9.7257198633480559</v>
      </c>
      <c r="V53" s="39">
        <f t="shared" si="31"/>
        <v>10.43216203025866</v>
      </c>
      <c r="W53" s="39">
        <f t="shared" si="32"/>
        <v>12.050024402147256</v>
      </c>
      <c r="X53" s="39">
        <f t="shared" si="33"/>
        <v>10.068081991215482</v>
      </c>
      <c r="Y53" s="39">
        <f t="shared" si="34"/>
        <v>13.36554416788673</v>
      </c>
      <c r="Z53" s="39">
        <f t="shared" si="35"/>
        <v>12.646412884333824</v>
      </c>
      <c r="AA53" s="39">
        <f t="shared" si="36"/>
        <v>12.103465104929201</v>
      </c>
      <c r="AB53" s="38"/>
      <c r="AE53" s="15">
        <v>2.9629629629629628E-3</v>
      </c>
      <c r="AF53" s="14">
        <f t="shared" si="37"/>
        <v>256</v>
      </c>
      <c r="AG53" s="8">
        <v>2.0914999999999999</v>
      </c>
      <c r="AH53" s="8">
        <v>2.0710000000000002</v>
      </c>
      <c r="AI53" s="8">
        <v>2.0785999999999998</v>
      </c>
      <c r="AJ53" s="8">
        <v>2.0611000000000002</v>
      </c>
      <c r="AK53" s="8">
        <v>2.0648</v>
      </c>
      <c r="AL53" s="8">
        <v>2.0594000000000001</v>
      </c>
      <c r="AM53" s="8">
        <v>2.0510000000000002</v>
      </c>
      <c r="AN53" s="8">
        <v>2.0531999999999999</v>
      </c>
      <c r="AO53" s="8">
        <v>2.0405000000000002</v>
      </c>
      <c r="AP53" s="8">
        <v>2.0547</v>
      </c>
      <c r="AQ53" s="8">
        <v>2.0609999999999999</v>
      </c>
      <c r="AR53" s="8">
        <v>2.0234000000000001</v>
      </c>
      <c r="AS53" s="8">
        <v>2.0865999999999998</v>
      </c>
      <c r="AT53" s="8">
        <v>2.0859000000000001</v>
      </c>
      <c r="AU53" s="8">
        <v>2.0988000000000002</v>
      </c>
      <c r="AV53" s="8">
        <v>2.0914000000000001</v>
      </c>
      <c r="AW53" s="8">
        <v>2.0895000000000001</v>
      </c>
      <c r="AX53" s="8">
        <v>2.0642999999999998</v>
      </c>
      <c r="AY53" s="8">
        <v>2.0834000000000001</v>
      </c>
      <c r="AZ53" s="8">
        <v>2.0802</v>
      </c>
      <c r="BA53" s="8">
        <v>2.0741999999999998</v>
      </c>
      <c r="BB53" s="8">
        <v>2.0777000000000001</v>
      </c>
      <c r="BC53" s="8">
        <v>2.0792999999999999</v>
      </c>
      <c r="BD53" s="8">
        <v>2.0510000000000002</v>
      </c>
    </row>
    <row r="54" spans="2:56" s="13" customFormat="1" x14ac:dyDescent="0.3">
      <c r="B54" s="22">
        <f t="shared" si="12"/>
        <v>264</v>
      </c>
      <c r="C54" s="40">
        <f t="shared" si="13"/>
        <v>7.9738897022937101</v>
      </c>
      <c r="D54" s="40">
        <f t="shared" si="14"/>
        <v>9.0771107857491629</v>
      </c>
      <c r="E54" s="40">
        <f t="shared" si="15"/>
        <v>13.747193753050254</v>
      </c>
      <c r="F54" s="40">
        <f t="shared" si="16"/>
        <v>15.931185944363202</v>
      </c>
      <c r="G54" s="40">
        <f t="shared" si="17"/>
        <v>16.429965836993468</v>
      </c>
      <c r="H54" s="40">
        <f t="shared" si="18"/>
        <v>19.515373352855267</v>
      </c>
      <c r="I54" s="40">
        <f t="shared" si="19"/>
        <v>17.667398731088376</v>
      </c>
      <c r="J54" s="40">
        <f t="shared" si="20"/>
        <v>15.283308931185863</v>
      </c>
      <c r="K54" s="40">
        <f t="shared" si="21"/>
        <v>15.265739385065947</v>
      </c>
      <c r="L54" s="40">
        <f t="shared" si="22"/>
        <v>15.28111273792098</v>
      </c>
      <c r="M54" s="40">
        <f t="shared" si="23"/>
        <v>12.072962420693059</v>
      </c>
      <c r="N54" s="40">
        <f t="shared" si="24"/>
        <v>11.438506588579795</v>
      </c>
      <c r="O54" s="40"/>
      <c r="P54" s="39">
        <f t="shared" si="25"/>
        <v>11.666422645192558</v>
      </c>
      <c r="Q54" s="39">
        <f t="shared" si="26"/>
        <v>9.7471937530501016</v>
      </c>
      <c r="R54" s="39">
        <f t="shared" si="27"/>
        <v>10.228160078086962</v>
      </c>
      <c r="S54" s="39">
        <f t="shared" si="28"/>
        <v>10.241337237676897</v>
      </c>
      <c r="T54" s="39">
        <f t="shared" si="29"/>
        <v>11.081259150805401</v>
      </c>
      <c r="U54" s="39">
        <f t="shared" si="30"/>
        <v>9.3840897999024033</v>
      </c>
      <c r="V54" s="39">
        <f t="shared" si="31"/>
        <v>10.285749145924962</v>
      </c>
      <c r="W54" s="39">
        <f t="shared" si="32"/>
        <v>12.196437286481169</v>
      </c>
      <c r="X54" s="39">
        <f t="shared" si="33"/>
        <v>10.360907759883093</v>
      </c>
      <c r="Y54" s="39">
        <f t="shared" si="34"/>
        <v>14.439238653001519</v>
      </c>
      <c r="Z54" s="39">
        <f t="shared" si="35"/>
        <v>11.767935578330777</v>
      </c>
      <c r="AA54" s="39">
        <f t="shared" si="36"/>
        <v>12.396290873597028</v>
      </c>
      <c r="AB54" s="38"/>
      <c r="AE54" s="15">
        <v>3.0555555555555557E-3</v>
      </c>
      <c r="AF54" s="14">
        <f t="shared" si="37"/>
        <v>264</v>
      </c>
      <c r="AG54" s="8">
        <v>2.0880000000000001</v>
      </c>
      <c r="AH54" s="8">
        <v>2.0705</v>
      </c>
      <c r="AI54" s="8">
        <v>2.0783</v>
      </c>
      <c r="AJ54" s="8">
        <v>2.0615999999999999</v>
      </c>
      <c r="AK54" s="8">
        <v>2.0708000000000002</v>
      </c>
      <c r="AL54" s="8">
        <v>2.0583999999999998</v>
      </c>
      <c r="AM54" s="8">
        <v>2.0482</v>
      </c>
      <c r="AN54" s="8">
        <v>2.0531999999999999</v>
      </c>
      <c r="AO54" s="8">
        <v>2.0390999999999999</v>
      </c>
      <c r="AP54" s="8">
        <v>2.0533999999999999</v>
      </c>
      <c r="AQ54" s="8">
        <v>2.0600999999999998</v>
      </c>
      <c r="AR54" s="8">
        <v>2.0217999999999998</v>
      </c>
      <c r="AS54" s="8">
        <v>2.0849000000000002</v>
      </c>
      <c r="AT54" s="8">
        <v>2.0847000000000002</v>
      </c>
      <c r="AU54" s="8">
        <v>2.0979999999999999</v>
      </c>
      <c r="AV54" s="8">
        <v>2.0897999999999999</v>
      </c>
      <c r="AW54" s="8">
        <v>2.0922000000000001</v>
      </c>
      <c r="AX54" s="8">
        <v>2.0649999999999999</v>
      </c>
      <c r="AY54" s="8">
        <v>2.0836999999999999</v>
      </c>
      <c r="AZ54" s="8">
        <v>2.0798999999999999</v>
      </c>
      <c r="BA54" s="8">
        <v>2.0735999999999999</v>
      </c>
      <c r="BB54" s="8">
        <v>2.0754999999999999</v>
      </c>
      <c r="BC54" s="8">
        <v>2.0811000000000002</v>
      </c>
      <c r="BD54" s="8">
        <v>2.0503999999999998</v>
      </c>
    </row>
    <row r="55" spans="2:56" s="13" customFormat="1" x14ac:dyDescent="0.3">
      <c r="B55" s="22">
        <f t="shared" si="12"/>
        <v>272</v>
      </c>
      <c r="C55" s="40">
        <f t="shared" si="13"/>
        <v>8.0714982918495792</v>
      </c>
      <c r="D55" s="40">
        <f t="shared" si="14"/>
        <v>10.004392386530036</v>
      </c>
      <c r="E55" s="40">
        <f t="shared" si="15"/>
        <v>14.625671059053303</v>
      </c>
      <c r="F55" s="40">
        <f t="shared" si="16"/>
        <v>17.346510492923429</v>
      </c>
      <c r="G55" s="40">
        <f t="shared" si="17"/>
        <v>16.820400195217164</v>
      </c>
      <c r="H55" s="40">
        <f t="shared" si="18"/>
        <v>19.173743289409614</v>
      </c>
      <c r="I55" s="40">
        <f t="shared" si="19"/>
        <v>17.520985846754463</v>
      </c>
      <c r="J55" s="40">
        <f t="shared" si="20"/>
        <v>16.161786237188693</v>
      </c>
      <c r="K55" s="40">
        <f t="shared" si="21"/>
        <v>15.802586627623342</v>
      </c>
      <c r="L55" s="40">
        <f t="shared" si="22"/>
        <v>15.28111273792098</v>
      </c>
      <c r="M55" s="40">
        <f t="shared" si="23"/>
        <v>12.316983894582627</v>
      </c>
      <c r="N55" s="40">
        <f t="shared" si="24"/>
        <v>11.682528062469363</v>
      </c>
      <c r="O55" s="40"/>
      <c r="P55" s="39">
        <f t="shared" si="25"/>
        <v>10.592728160077986</v>
      </c>
      <c r="Q55" s="39">
        <f t="shared" si="26"/>
        <v>9.8936066373840141</v>
      </c>
      <c r="R55" s="39">
        <f t="shared" si="27"/>
        <v>10.911420204978054</v>
      </c>
      <c r="S55" s="39">
        <f t="shared" si="28"/>
        <v>10.143728648121026</v>
      </c>
      <c r="T55" s="39">
        <f t="shared" si="29"/>
        <v>11.471693509028881</v>
      </c>
      <c r="U55" s="39">
        <f t="shared" si="30"/>
        <v>10.994631527574368</v>
      </c>
      <c r="V55" s="39">
        <f t="shared" si="31"/>
        <v>10.920204978038226</v>
      </c>
      <c r="W55" s="39">
        <f t="shared" si="32"/>
        <v>12.684480234260519</v>
      </c>
      <c r="X55" s="39">
        <f t="shared" si="33"/>
        <v>10.116886285993308</v>
      </c>
      <c r="Y55" s="39">
        <f t="shared" si="34"/>
        <v>13.56076134699847</v>
      </c>
      <c r="Z55" s="39">
        <f t="shared" si="35"/>
        <v>12.548804294777954</v>
      </c>
      <c r="AA55" s="39">
        <f t="shared" si="36"/>
        <v>12.152269399707244</v>
      </c>
      <c r="AB55" s="38"/>
      <c r="AE55" s="15">
        <v>3.1481481481481482E-3</v>
      </c>
      <c r="AF55" s="14">
        <f t="shared" si="37"/>
        <v>272</v>
      </c>
      <c r="AG55" s="8">
        <v>2.0878000000000001</v>
      </c>
      <c r="AH55" s="8">
        <v>2.0686</v>
      </c>
      <c r="AI55" s="8">
        <v>2.0764999999999998</v>
      </c>
      <c r="AJ55" s="8">
        <v>2.0587</v>
      </c>
      <c r="AK55" s="8">
        <v>2.0699999999999998</v>
      </c>
      <c r="AL55" s="8">
        <v>2.0590999999999999</v>
      </c>
      <c r="AM55" s="8">
        <v>2.0485000000000002</v>
      </c>
      <c r="AN55" s="8">
        <v>2.0514000000000001</v>
      </c>
      <c r="AO55" s="8">
        <v>2.0379999999999998</v>
      </c>
      <c r="AP55" s="8">
        <v>2.0533999999999999</v>
      </c>
      <c r="AQ55" s="8">
        <v>2.0596000000000001</v>
      </c>
      <c r="AR55" s="8">
        <v>2.0213000000000001</v>
      </c>
      <c r="AS55" s="8">
        <v>2.0871</v>
      </c>
      <c r="AT55" s="8">
        <v>2.0844</v>
      </c>
      <c r="AU55" s="8">
        <v>2.0966</v>
      </c>
      <c r="AV55" s="8">
        <v>2.09</v>
      </c>
      <c r="AW55" s="8">
        <v>2.0914000000000001</v>
      </c>
      <c r="AX55" s="8">
        <v>2.0617000000000001</v>
      </c>
      <c r="AY55" s="8">
        <v>2.0823999999999998</v>
      </c>
      <c r="AZ55" s="8">
        <v>2.0789</v>
      </c>
      <c r="BA55" s="8">
        <v>2.0741000000000001</v>
      </c>
      <c r="BB55" s="8">
        <v>2.0773000000000001</v>
      </c>
      <c r="BC55" s="8">
        <v>2.0794999999999999</v>
      </c>
      <c r="BD55" s="8">
        <v>2.0508999999999999</v>
      </c>
    </row>
    <row r="56" spans="2:56" s="13" customFormat="1" x14ac:dyDescent="0.3">
      <c r="B56" s="22">
        <f t="shared" si="12"/>
        <v>280</v>
      </c>
      <c r="C56" s="40">
        <f t="shared" si="13"/>
        <v>9.0475841874084981</v>
      </c>
      <c r="D56" s="40">
        <f t="shared" si="14"/>
        <v>9.5163494387506855</v>
      </c>
      <c r="E56" s="40">
        <f t="shared" si="15"/>
        <v>14.479258174719389</v>
      </c>
      <c r="F56" s="40">
        <f t="shared" si="16"/>
        <v>16.760858955588208</v>
      </c>
      <c r="G56" s="40">
        <f t="shared" si="17"/>
        <v>16.673987310883252</v>
      </c>
      <c r="H56" s="40">
        <f t="shared" si="18"/>
        <v>19.710590531967004</v>
      </c>
      <c r="I56" s="40">
        <f t="shared" si="19"/>
        <v>17.960224499755984</v>
      </c>
      <c r="J56" s="40">
        <f t="shared" si="20"/>
        <v>16.259394826744561</v>
      </c>
      <c r="K56" s="40">
        <f t="shared" si="21"/>
        <v>15.704978038067473</v>
      </c>
      <c r="L56" s="40">
        <f t="shared" si="22"/>
        <v>15.8667642752562</v>
      </c>
      <c r="M56" s="40">
        <f t="shared" si="23"/>
        <v>12.17057101024893</v>
      </c>
      <c r="N56" s="40">
        <f t="shared" si="24"/>
        <v>11.536115178135665</v>
      </c>
      <c r="O56" s="40"/>
      <c r="P56" s="39">
        <f t="shared" si="25"/>
        <v>11.275988286969078</v>
      </c>
      <c r="Q56" s="39">
        <f t="shared" si="26"/>
        <v>9.9424109321620584</v>
      </c>
      <c r="R56" s="39">
        <f t="shared" si="27"/>
        <v>10.716203025866312</v>
      </c>
      <c r="S56" s="39">
        <f t="shared" si="28"/>
        <v>11.071010248901903</v>
      </c>
      <c r="T56" s="39">
        <f t="shared" si="29"/>
        <v>11.764519277696492</v>
      </c>
      <c r="U56" s="39">
        <f t="shared" si="30"/>
        <v>9.3840897999024033</v>
      </c>
      <c r="V56" s="39">
        <f t="shared" si="31"/>
        <v>10.578574914592572</v>
      </c>
      <c r="W56" s="39">
        <f t="shared" si="32"/>
        <v>12.684480234260519</v>
      </c>
      <c r="X56" s="39">
        <f t="shared" si="33"/>
        <v>10.897755002440485</v>
      </c>
      <c r="Y56" s="39">
        <f t="shared" si="34"/>
        <v>15.659346022450006</v>
      </c>
      <c r="Z56" s="39">
        <f t="shared" si="35"/>
        <v>12.451195705222084</v>
      </c>
      <c r="AA56" s="39">
        <f t="shared" si="36"/>
        <v>13.37237676915573</v>
      </c>
      <c r="AB56" s="38"/>
      <c r="AE56" s="15">
        <v>3.2407407407407406E-3</v>
      </c>
      <c r="AF56" s="14">
        <f t="shared" si="37"/>
        <v>280</v>
      </c>
      <c r="AG56" s="8">
        <v>2.0857999999999999</v>
      </c>
      <c r="AH56" s="8">
        <v>2.0695999999999999</v>
      </c>
      <c r="AI56" s="8">
        <v>2.0768</v>
      </c>
      <c r="AJ56" s="8">
        <v>2.0598999999999998</v>
      </c>
      <c r="AK56" s="8">
        <v>2.0703</v>
      </c>
      <c r="AL56" s="8">
        <v>2.0579999999999998</v>
      </c>
      <c r="AM56" s="8">
        <v>2.0476000000000001</v>
      </c>
      <c r="AN56" s="8">
        <v>2.0512000000000001</v>
      </c>
      <c r="AO56" s="8">
        <v>2.0381999999999998</v>
      </c>
      <c r="AP56" s="8">
        <v>2.0522</v>
      </c>
      <c r="AQ56" s="8">
        <v>2.0598999999999998</v>
      </c>
      <c r="AR56" s="8">
        <v>2.0215999999999998</v>
      </c>
      <c r="AS56" s="8">
        <v>2.0857000000000001</v>
      </c>
      <c r="AT56" s="8">
        <v>2.0842999999999998</v>
      </c>
      <c r="AU56" s="8">
        <v>2.097</v>
      </c>
      <c r="AV56" s="8">
        <v>2.0880999999999998</v>
      </c>
      <c r="AW56" s="8">
        <v>2.0908000000000002</v>
      </c>
      <c r="AX56" s="8">
        <v>2.0649999999999999</v>
      </c>
      <c r="AY56" s="8">
        <v>2.0831</v>
      </c>
      <c r="AZ56" s="8">
        <v>2.0789</v>
      </c>
      <c r="BA56" s="8">
        <v>2.0724999999999998</v>
      </c>
      <c r="BB56" s="8">
        <v>2.073</v>
      </c>
      <c r="BC56" s="8">
        <v>2.0796999999999999</v>
      </c>
      <c r="BD56" s="8">
        <v>2.0484</v>
      </c>
    </row>
    <row r="57" spans="2:56" s="13" customFormat="1" x14ac:dyDescent="0.3">
      <c r="B57" s="22">
        <f t="shared" si="12"/>
        <v>288</v>
      </c>
      <c r="C57" s="40">
        <f t="shared" si="13"/>
        <v>8.8035627135187138</v>
      </c>
      <c r="D57" s="40">
        <f t="shared" si="14"/>
        <v>10.590043923865258</v>
      </c>
      <c r="E57" s="40">
        <f t="shared" si="15"/>
        <v>14.040019521717864</v>
      </c>
      <c r="F57" s="40">
        <f t="shared" si="16"/>
        <v>16.907271839921904</v>
      </c>
      <c r="G57" s="40">
        <f t="shared" si="17"/>
        <v>17.796486090775865</v>
      </c>
      <c r="H57" s="40">
        <f t="shared" si="18"/>
        <v>18.92972181551983</v>
      </c>
      <c r="I57" s="40">
        <f t="shared" si="19"/>
        <v>18.789897510980989</v>
      </c>
      <c r="J57" s="40">
        <f t="shared" si="20"/>
        <v>16.698633479746089</v>
      </c>
      <c r="K57" s="40">
        <f t="shared" si="21"/>
        <v>15.363347974621819</v>
      </c>
      <c r="L57" s="40">
        <f t="shared" si="22"/>
        <v>16.257198633479682</v>
      </c>
      <c r="M57" s="40">
        <f t="shared" si="23"/>
        <v>13.195461200585674</v>
      </c>
      <c r="N57" s="40">
        <f t="shared" si="24"/>
        <v>12.170571010248713</v>
      </c>
      <c r="O57" s="40"/>
      <c r="P57" s="39">
        <f t="shared" si="25"/>
        <v>11.666422645192558</v>
      </c>
      <c r="Q57" s="39">
        <f t="shared" si="26"/>
        <v>10.576866764275104</v>
      </c>
      <c r="R57" s="39">
        <f t="shared" si="27"/>
        <v>10.960224499756096</v>
      </c>
      <c r="S57" s="39">
        <f t="shared" si="28"/>
        <v>11.022205954123857</v>
      </c>
      <c r="T57" s="39">
        <f t="shared" si="29"/>
        <v>12.83821376281128</v>
      </c>
      <c r="U57" s="39">
        <f t="shared" si="30"/>
        <v>10.750610053684802</v>
      </c>
      <c r="V57" s="39">
        <f t="shared" si="31"/>
        <v>11.164226451927794</v>
      </c>
      <c r="W57" s="39">
        <f t="shared" si="32"/>
        <v>13.123718887262044</v>
      </c>
      <c r="X57" s="39">
        <f t="shared" si="33"/>
        <v>10.946559297218315</v>
      </c>
      <c r="Y57" s="39">
        <f t="shared" si="34"/>
        <v>14.341630063445647</v>
      </c>
      <c r="Z57" s="39">
        <f t="shared" si="35"/>
        <v>13.524890190336656</v>
      </c>
      <c r="AA57" s="39">
        <f t="shared" si="36"/>
        <v>13.225963884821816</v>
      </c>
      <c r="AB57" s="38"/>
      <c r="AE57" s="15">
        <v>3.3333333333333335E-3</v>
      </c>
      <c r="AF57" s="14">
        <f t="shared" si="37"/>
        <v>288</v>
      </c>
      <c r="AG57" s="8">
        <v>2.0863</v>
      </c>
      <c r="AH57" s="8">
        <v>2.0674000000000001</v>
      </c>
      <c r="AI57" s="8">
        <v>2.0777000000000001</v>
      </c>
      <c r="AJ57" s="8">
        <v>2.0596000000000001</v>
      </c>
      <c r="AK57" s="8">
        <v>2.0680000000000001</v>
      </c>
      <c r="AL57" s="8">
        <v>2.0596000000000001</v>
      </c>
      <c r="AM57" s="8">
        <v>2.0459000000000001</v>
      </c>
      <c r="AN57" s="8">
        <v>2.0503</v>
      </c>
      <c r="AO57" s="8">
        <v>2.0388999999999999</v>
      </c>
      <c r="AP57" s="8">
        <v>2.0514000000000001</v>
      </c>
      <c r="AQ57" s="8">
        <v>2.0577999999999999</v>
      </c>
      <c r="AR57" s="8">
        <v>2.0203000000000002</v>
      </c>
      <c r="AS57" s="8">
        <v>2.0849000000000002</v>
      </c>
      <c r="AT57" s="8">
        <v>2.0830000000000002</v>
      </c>
      <c r="AU57" s="8">
        <v>2.0964999999999998</v>
      </c>
      <c r="AV57" s="8">
        <v>2.0882000000000001</v>
      </c>
      <c r="AW57" s="8">
        <v>2.0886</v>
      </c>
      <c r="AX57" s="8">
        <v>2.0621999999999998</v>
      </c>
      <c r="AY57" s="8">
        <v>2.0819000000000001</v>
      </c>
      <c r="AZ57" s="8">
        <v>2.0779999999999998</v>
      </c>
      <c r="BA57" s="8">
        <v>2.0724</v>
      </c>
      <c r="BB57" s="8">
        <v>2.0756999999999999</v>
      </c>
      <c r="BC57" s="8">
        <v>2.0775000000000001</v>
      </c>
      <c r="BD57" s="8">
        <v>2.0487000000000002</v>
      </c>
    </row>
    <row r="58" spans="2:56" s="13" customFormat="1" x14ac:dyDescent="0.3">
      <c r="B58" s="22">
        <f t="shared" si="12"/>
        <v>296</v>
      </c>
      <c r="C58" s="40">
        <f t="shared" si="13"/>
        <v>8.852367008296758</v>
      </c>
      <c r="D58" s="40">
        <f t="shared" si="14"/>
        <v>10.541239629087432</v>
      </c>
      <c r="E58" s="40">
        <f t="shared" si="15"/>
        <v>14.088823816495907</v>
      </c>
      <c r="F58" s="40">
        <f t="shared" si="16"/>
        <v>17.492923377257341</v>
      </c>
      <c r="G58" s="40">
        <f t="shared" si="17"/>
        <v>17.601268911664125</v>
      </c>
      <c r="H58" s="40">
        <f t="shared" si="18"/>
        <v>19.564177647633091</v>
      </c>
      <c r="I58" s="40">
        <f t="shared" si="19"/>
        <v>19.717179111761865</v>
      </c>
      <c r="J58" s="40">
        <f t="shared" si="20"/>
        <v>17.235480722303478</v>
      </c>
      <c r="K58" s="40">
        <f t="shared" si="21"/>
        <v>16.144216691068777</v>
      </c>
      <c r="L58" s="40">
        <f t="shared" si="22"/>
        <v>16.989263055148818</v>
      </c>
      <c r="M58" s="40">
        <f t="shared" si="23"/>
        <v>12.46339677891654</v>
      </c>
      <c r="N58" s="40">
        <f t="shared" si="24"/>
        <v>12.170571010248713</v>
      </c>
      <c r="O58" s="40"/>
      <c r="P58" s="39">
        <f t="shared" si="25"/>
        <v>12.203269887749952</v>
      </c>
      <c r="Q58" s="39">
        <f t="shared" si="26"/>
        <v>10.528062469497279</v>
      </c>
      <c r="R58" s="39">
        <f t="shared" si="27"/>
        <v>11.594680331869144</v>
      </c>
      <c r="S58" s="39">
        <f t="shared" si="28"/>
        <v>10.973401659346031</v>
      </c>
      <c r="T58" s="39">
        <f t="shared" si="29"/>
        <v>13.277452415812805</v>
      </c>
      <c r="U58" s="39">
        <f t="shared" si="30"/>
        <v>11.043435822352413</v>
      </c>
      <c r="V58" s="39">
        <f t="shared" si="31"/>
        <v>11.213030746705837</v>
      </c>
      <c r="W58" s="39">
        <f t="shared" si="32"/>
        <v>14.197413372376616</v>
      </c>
      <c r="X58" s="39">
        <f t="shared" si="33"/>
        <v>11.385797950219837</v>
      </c>
      <c r="Y58" s="39">
        <f t="shared" si="34"/>
        <v>15.366520253782395</v>
      </c>
      <c r="Z58" s="39">
        <f t="shared" si="35"/>
        <v>13.768911664226438</v>
      </c>
      <c r="AA58" s="39">
        <f t="shared" si="36"/>
        <v>14.202049780380735</v>
      </c>
      <c r="AB58" s="38"/>
      <c r="AE58" s="15">
        <v>3.425925925925926E-3</v>
      </c>
      <c r="AF58" s="14">
        <f t="shared" si="37"/>
        <v>296</v>
      </c>
      <c r="AG58" s="8">
        <v>2.0861999999999998</v>
      </c>
      <c r="AH58" s="8">
        <v>2.0674999999999999</v>
      </c>
      <c r="AI58" s="8">
        <v>2.0775999999999999</v>
      </c>
      <c r="AJ58" s="8">
        <v>2.0583999999999998</v>
      </c>
      <c r="AK58" s="8">
        <v>2.0684</v>
      </c>
      <c r="AL58" s="8">
        <v>2.0583</v>
      </c>
      <c r="AM58" s="8">
        <v>2.044</v>
      </c>
      <c r="AN58" s="8">
        <v>2.0491999999999999</v>
      </c>
      <c r="AO58" s="8">
        <v>2.0373000000000001</v>
      </c>
      <c r="AP58" s="8">
        <v>2.0499000000000001</v>
      </c>
      <c r="AQ58" s="8">
        <v>2.0592999999999999</v>
      </c>
      <c r="AR58" s="8">
        <v>2.0203000000000002</v>
      </c>
      <c r="AS58" s="8">
        <v>2.0838000000000001</v>
      </c>
      <c r="AT58" s="8">
        <v>2.0831</v>
      </c>
      <c r="AU58" s="8">
        <v>2.0952000000000002</v>
      </c>
      <c r="AV58" s="8">
        <v>2.0882999999999998</v>
      </c>
      <c r="AW58" s="8">
        <v>2.0876999999999999</v>
      </c>
      <c r="AX58" s="8">
        <v>2.0615999999999999</v>
      </c>
      <c r="AY58" s="8">
        <v>2.0817999999999999</v>
      </c>
      <c r="AZ58" s="8">
        <v>2.0758000000000001</v>
      </c>
      <c r="BA58" s="8">
        <v>2.0714999999999999</v>
      </c>
      <c r="BB58" s="8">
        <v>2.0735999999999999</v>
      </c>
      <c r="BC58" s="8">
        <v>2.077</v>
      </c>
      <c r="BD58" s="8">
        <v>2.0467</v>
      </c>
    </row>
    <row r="59" spans="2:56" s="13" customFormat="1" x14ac:dyDescent="0.3">
      <c r="B59" s="22">
        <f t="shared" si="12"/>
        <v>304</v>
      </c>
      <c r="C59" s="40">
        <f t="shared" si="13"/>
        <v>9.0963884821863239</v>
      </c>
      <c r="D59" s="40">
        <f t="shared" si="14"/>
        <v>10.394826744753518</v>
      </c>
      <c r="E59" s="40">
        <f t="shared" si="15"/>
        <v>15.308931185944394</v>
      </c>
      <c r="F59" s="40">
        <f t="shared" si="16"/>
        <v>17.639336261591041</v>
      </c>
      <c r="G59" s="40">
        <f t="shared" si="17"/>
        <v>17.698877501219993</v>
      </c>
      <c r="H59" s="40">
        <f t="shared" si="18"/>
        <v>20.83308931185962</v>
      </c>
      <c r="I59" s="40">
        <f t="shared" si="19"/>
        <v>20.010004880429474</v>
      </c>
      <c r="J59" s="40">
        <f t="shared" si="20"/>
        <v>17.772327964860875</v>
      </c>
      <c r="K59" s="40">
        <f t="shared" si="21"/>
        <v>16.437042459736389</v>
      </c>
      <c r="L59" s="40">
        <f t="shared" si="22"/>
        <v>16.989263055148818</v>
      </c>
      <c r="M59" s="40">
        <f t="shared" si="23"/>
        <v>13.097852611029804</v>
      </c>
      <c r="N59" s="40">
        <f t="shared" si="24"/>
        <v>12.805026842361977</v>
      </c>
      <c r="O59" s="40"/>
      <c r="P59" s="39">
        <f t="shared" si="25"/>
        <v>12.105661298194082</v>
      </c>
      <c r="Q59" s="39">
        <f t="shared" si="26"/>
        <v>10.820888238164889</v>
      </c>
      <c r="R59" s="39">
        <f t="shared" si="27"/>
        <v>12.375549048316323</v>
      </c>
      <c r="S59" s="39">
        <f t="shared" si="28"/>
        <v>11.217423133235599</v>
      </c>
      <c r="T59" s="39">
        <f t="shared" si="29"/>
        <v>13.326256710590631</v>
      </c>
      <c r="U59" s="39">
        <f t="shared" si="30"/>
        <v>10.604197169350888</v>
      </c>
      <c r="V59" s="39">
        <f t="shared" si="31"/>
        <v>11.213030746705837</v>
      </c>
      <c r="W59" s="39">
        <f t="shared" si="32"/>
        <v>14.783064909711838</v>
      </c>
      <c r="X59" s="39">
        <f t="shared" si="33"/>
        <v>12.605905319668322</v>
      </c>
      <c r="Y59" s="39">
        <f t="shared" si="34"/>
        <v>14.976085895558914</v>
      </c>
      <c r="Z59" s="39">
        <f t="shared" si="35"/>
        <v>14.061737432894049</v>
      </c>
      <c r="AA59" s="39">
        <f t="shared" si="36"/>
        <v>15.666178623719006</v>
      </c>
      <c r="AB59" s="38"/>
      <c r="AE59" s="15">
        <v>3.5185185185185185E-3</v>
      </c>
      <c r="AF59" s="14">
        <f t="shared" si="37"/>
        <v>304</v>
      </c>
      <c r="AG59" s="8">
        <v>2.0857000000000001</v>
      </c>
      <c r="AH59" s="8">
        <v>2.0678000000000001</v>
      </c>
      <c r="AI59" s="8">
        <v>2.0750999999999999</v>
      </c>
      <c r="AJ59" s="8">
        <v>2.0581</v>
      </c>
      <c r="AK59" s="8">
        <v>2.0682</v>
      </c>
      <c r="AL59" s="8">
        <v>2.0556999999999999</v>
      </c>
      <c r="AM59" s="8">
        <v>2.0434000000000001</v>
      </c>
      <c r="AN59" s="8">
        <v>2.0480999999999998</v>
      </c>
      <c r="AO59" s="8">
        <v>2.0367000000000002</v>
      </c>
      <c r="AP59" s="8">
        <v>2.0499000000000001</v>
      </c>
      <c r="AQ59" s="8">
        <v>2.0579999999999998</v>
      </c>
      <c r="AR59" s="8">
        <v>2.0190000000000001</v>
      </c>
      <c r="AS59" s="8">
        <v>2.0840000000000001</v>
      </c>
      <c r="AT59" s="8">
        <v>2.0825</v>
      </c>
      <c r="AU59" s="8">
        <v>2.0935999999999999</v>
      </c>
      <c r="AV59" s="8">
        <v>2.0878000000000001</v>
      </c>
      <c r="AW59" s="8">
        <v>2.0876000000000001</v>
      </c>
      <c r="AX59" s="8">
        <v>2.0625</v>
      </c>
      <c r="AY59" s="8">
        <v>2.0817999999999999</v>
      </c>
      <c r="AZ59" s="8">
        <v>2.0746000000000002</v>
      </c>
      <c r="BA59" s="8">
        <v>2.069</v>
      </c>
      <c r="BB59" s="8">
        <v>2.0743999999999998</v>
      </c>
      <c r="BC59" s="8">
        <v>2.0764</v>
      </c>
      <c r="BD59" s="8">
        <v>2.0436999999999999</v>
      </c>
    </row>
    <row r="60" spans="2:56" s="13" customFormat="1" x14ac:dyDescent="0.3">
      <c r="B60" s="22">
        <f t="shared" si="12"/>
        <v>312</v>
      </c>
      <c r="C60" s="40">
        <f t="shared" si="13"/>
        <v>8.5595412396289312</v>
      </c>
      <c r="D60" s="40">
        <f t="shared" si="14"/>
        <v>9.9067837969741657</v>
      </c>
      <c r="E60" s="40">
        <f t="shared" si="15"/>
        <v>15.552952659833959</v>
      </c>
      <c r="F60" s="40">
        <f t="shared" si="16"/>
        <v>17.590531966813209</v>
      </c>
      <c r="G60" s="40">
        <f t="shared" si="17"/>
        <v>16.625183016105421</v>
      </c>
      <c r="H60" s="40">
        <f t="shared" si="18"/>
        <v>20.491459248413967</v>
      </c>
      <c r="I60" s="40">
        <f t="shared" si="19"/>
        <v>19.912396290873605</v>
      </c>
      <c r="J60" s="40">
        <f t="shared" si="20"/>
        <v>18.309175207418054</v>
      </c>
      <c r="K60" s="40">
        <f t="shared" si="21"/>
        <v>17.169106881405526</v>
      </c>
      <c r="L60" s="40">
        <f t="shared" si="22"/>
        <v>17.184480234260558</v>
      </c>
      <c r="M60" s="40">
        <f t="shared" si="23"/>
        <v>14.122742801366549</v>
      </c>
      <c r="N60" s="40">
        <f t="shared" si="24"/>
        <v>13.049048316251762</v>
      </c>
      <c r="O60" s="40"/>
      <c r="P60" s="39">
        <f t="shared" si="25"/>
        <v>12.984138604197129</v>
      </c>
      <c r="Q60" s="39">
        <f t="shared" si="26"/>
        <v>11.894582723279678</v>
      </c>
      <c r="R60" s="39">
        <f t="shared" si="27"/>
        <v>12.863591996095673</v>
      </c>
      <c r="S60" s="39">
        <f t="shared" si="28"/>
        <v>12.242313323572343</v>
      </c>
      <c r="T60" s="39">
        <f t="shared" si="29"/>
        <v>12.984626647145195</v>
      </c>
      <c r="U60" s="39">
        <f t="shared" si="30"/>
        <v>11.238653001464153</v>
      </c>
      <c r="V60" s="39">
        <f t="shared" si="31"/>
        <v>12.042703757930841</v>
      </c>
      <c r="W60" s="39">
        <f t="shared" si="32"/>
        <v>13.660566129819221</v>
      </c>
      <c r="X60" s="39">
        <f t="shared" si="33"/>
        <v>11.581015129331577</v>
      </c>
      <c r="Y60" s="39">
        <f t="shared" si="34"/>
        <v>15.220107369448479</v>
      </c>
      <c r="Z60" s="39">
        <f t="shared" si="35"/>
        <v>14.403367496339705</v>
      </c>
      <c r="AA60" s="39">
        <f t="shared" si="36"/>
        <v>14.982918496827697</v>
      </c>
      <c r="AB60" s="38"/>
      <c r="AE60" s="15">
        <v>3.6111111111111114E-3</v>
      </c>
      <c r="AF60" s="14">
        <f t="shared" si="37"/>
        <v>312</v>
      </c>
      <c r="AG60" s="8">
        <v>2.0868000000000002</v>
      </c>
      <c r="AH60" s="8">
        <v>2.0688</v>
      </c>
      <c r="AI60" s="8">
        <v>2.0746000000000002</v>
      </c>
      <c r="AJ60" s="8">
        <v>2.0581999999999998</v>
      </c>
      <c r="AK60" s="8">
        <v>2.0703999999999998</v>
      </c>
      <c r="AL60" s="8">
        <v>2.0564</v>
      </c>
      <c r="AM60" s="8">
        <v>2.0436000000000001</v>
      </c>
      <c r="AN60" s="8">
        <v>2.0470000000000002</v>
      </c>
      <c r="AO60" s="8">
        <v>2.0352000000000001</v>
      </c>
      <c r="AP60" s="8">
        <v>2.0495000000000001</v>
      </c>
      <c r="AQ60" s="8">
        <v>2.0558999999999998</v>
      </c>
      <c r="AR60" s="8">
        <v>2.0185</v>
      </c>
      <c r="AS60" s="8">
        <v>2.0821999999999998</v>
      </c>
      <c r="AT60" s="8">
        <v>2.0802999999999998</v>
      </c>
      <c r="AU60" s="8">
        <v>2.0926</v>
      </c>
      <c r="AV60" s="8">
        <v>2.0857000000000001</v>
      </c>
      <c r="AW60" s="8">
        <v>2.0882999999999998</v>
      </c>
      <c r="AX60" s="8">
        <v>2.0611999999999999</v>
      </c>
      <c r="AY60" s="8">
        <v>2.0800999999999998</v>
      </c>
      <c r="AZ60" s="8">
        <v>2.0769000000000002</v>
      </c>
      <c r="BA60" s="8">
        <v>2.0710999999999999</v>
      </c>
      <c r="BB60" s="8">
        <v>2.0739000000000001</v>
      </c>
      <c r="BC60" s="8">
        <v>2.0756999999999999</v>
      </c>
      <c r="BD60" s="8">
        <v>2.0451000000000001</v>
      </c>
    </row>
    <row r="61" spans="2:56" s="13" customFormat="1" x14ac:dyDescent="0.3">
      <c r="B61" s="22">
        <f t="shared" si="12"/>
        <v>320</v>
      </c>
      <c r="C61" s="40">
        <f t="shared" si="13"/>
        <v>9.2916056612980658</v>
      </c>
      <c r="D61" s="40">
        <f t="shared" si="14"/>
        <v>10.44363103953156</v>
      </c>
      <c r="E61" s="40">
        <f t="shared" si="15"/>
        <v>15.504148365056134</v>
      </c>
      <c r="F61" s="40">
        <f t="shared" si="16"/>
        <v>17.785749145924949</v>
      </c>
      <c r="G61" s="40">
        <f t="shared" si="17"/>
        <v>17.35724743777434</v>
      </c>
      <c r="H61" s="40">
        <f t="shared" si="18"/>
        <v>21.174719375305056</v>
      </c>
      <c r="I61" s="40">
        <f t="shared" si="19"/>
        <v>19.521961932650122</v>
      </c>
      <c r="J61" s="40">
        <f t="shared" si="20"/>
        <v>17.674719375305006</v>
      </c>
      <c r="K61" s="40">
        <f t="shared" si="21"/>
        <v>17.266715470961394</v>
      </c>
      <c r="L61" s="40">
        <f t="shared" si="22"/>
        <v>18.111761835041431</v>
      </c>
      <c r="M61" s="40">
        <f t="shared" si="23"/>
        <v>14.415568570034159</v>
      </c>
      <c r="N61" s="40">
        <f t="shared" si="24"/>
        <v>12.46339677891654</v>
      </c>
      <c r="O61" s="40"/>
      <c r="P61" s="39">
        <f t="shared" si="25"/>
        <v>14.253050268423442</v>
      </c>
      <c r="Q61" s="39">
        <f t="shared" si="26"/>
        <v>11.211322596388371</v>
      </c>
      <c r="R61" s="39">
        <f t="shared" si="27"/>
        <v>12.717179111761759</v>
      </c>
      <c r="S61" s="39">
        <f t="shared" si="28"/>
        <v>12.388726207906258</v>
      </c>
      <c r="T61" s="39">
        <f t="shared" si="29"/>
        <v>12.74060517325541</v>
      </c>
      <c r="U61" s="39">
        <f t="shared" si="30"/>
        <v>11.238653001464153</v>
      </c>
      <c r="V61" s="39">
        <f t="shared" si="31"/>
        <v>11.847486578819101</v>
      </c>
      <c r="W61" s="39">
        <f t="shared" si="32"/>
        <v>14.24621766715466</v>
      </c>
      <c r="X61" s="39">
        <f t="shared" si="33"/>
        <v>12.508296730112452</v>
      </c>
      <c r="Y61" s="39">
        <f t="shared" si="34"/>
        <v>17.221083455344143</v>
      </c>
      <c r="Z61" s="39">
        <f t="shared" si="35"/>
        <v>14.110541727672093</v>
      </c>
      <c r="AA61" s="39">
        <f t="shared" si="36"/>
        <v>14.982918496827697</v>
      </c>
      <c r="AB61" s="38"/>
      <c r="AE61" s="15">
        <v>3.7037037037037034E-3</v>
      </c>
      <c r="AF61" s="14">
        <f t="shared" si="37"/>
        <v>320</v>
      </c>
      <c r="AG61" s="8">
        <v>2.0853000000000002</v>
      </c>
      <c r="AH61" s="8">
        <v>2.0676999999999999</v>
      </c>
      <c r="AI61" s="8">
        <v>2.0747</v>
      </c>
      <c r="AJ61" s="8">
        <v>2.0577999999999999</v>
      </c>
      <c r="AK61" s="8">
        <v>2.0689000000000002</v>
      </c>
      <c r="AL61" s="8">
        <v>2.0550000000000002</v>
      </c>
      <c r="AM61" s="8">
        <v>2.0444</v>
      </c>
      <c r="AN61" s="8">
        <v>2.0482999999999998</v>
      </c>
      <c r="AO61" s="8">
        <v>2.0350000000000001</v>
      </c>
      <c r="AP61" s="8">
        <v>2.0476000000000001</v>
      </c>
      <c r="AQ61" s="8">
        <v>2.0552999999999999</v>
      </c>
      <c r="AR61" s="8">
        <v>2.0196999999999998</v>
      </c>
      <c r="AS61" s="8">
        <v>2.0796000000000001</v>
      </c>
      <c r="AT61" s="8">
        <v>2.0817000000000001</v>
      </c>
      <c r="AU61" s="8">
        <v>2.0929000000000002</v>
      </c>
      <c r="AV61" s="8">
        <v>2.0853999999999999</v>
      </c>
      <c r="AW61" s="8">
        <v>2.0888</v>
      </c>
      <c r="AX61" s="8">
        <v>2.0611999999999999</v>
      </c>
      <c r="AY61" s="8">
        <v>2.0804999999999998</v>
      </c>
      <c r="AZ61" s="8">
        <v>2.0756999999999999</v>
      </c>
      <c r="BA61" s="8">
        <v>2.0691999999999999</v>
      </c>
      <c r="BB61" s="8">
        <v>2.0697999999999999</v>
      </c>
      <c r="BC61" s="8">
        <v>2.0762999999999998</v>
      </c>
      <c r="BD61" s="8">
        <v>2.0451000000000001</v>
      </c>
    </row>
    <row r="62" spans="2:56" s="13" customFormat="1" x14ac:dyDescent="0.3">
      <c r="B62" s="22">
        <f t="shared" si="12"/>
        <v>328</v>
      </c>
      <c r="C62" s="40">
        <f t="shared" si="13"/>
        <v>9.0475841874084981</v>
      </c>
      <c r="D62" s="40">
        <f t="shared" si="14"/>
        <v>11.370912640312435</v>
      </c>
      <c r="E62" s="40">
        <f t="shared" si="15"/>
        <v>15.552952659833959</v>
      </c>
      <c r="F62" s="40">
        <f t="shared" si="16"/>
        <v>17.004880429477772</v>
      </c>
      <c r="G62" s="40">
        <f t="shared" si="17"/>
        <v>18.870180575890654</v>
      </c>
      <c r="H62" s="40">
        <f t="shared" si="18"/>
        <v>20.979502196193319</v>
      </c>
      <c r="I62" s="40">
        <f t="shared" si="19"/>
        <v>20.644460712542738</v>
      </c>
      <c r="J62" s="40">
        <f t="shared" si="20"/>
        <v>19.138848218643059</v>
      </c>
      <c r="K62" s="40">
        <f t="shared" si="21"/>
        <v>17.901171303074658</v>
      </c>
      <c r="L62" s="40">
        <f t="shared" si="22"/>
        <v>18.355783308931215</v>
      </c>
      <c r="M62" s="40">
        <f t="shared" si="23"/>
        <v>13.927525622254809</v>
      </c>
      <c r="N62" s="40">
        <f t="shared" si="24"/>
        <v>13.927525622254592</v>
      </c>
      <c r="O62" s="40"/>
      <c r="P62" s="39">
        <f t="shared" si="25"/>
        <v>13.472181551976481</v>
      </c>
      <c r="Q62" s="39">
        <f t="shared" si="26"/>
        <v>12.77306002928251</v>
      </c>
      <c r="R62" s="39">
        <f t="shared" si="27"/>
        <v>13.156417764763283</v>
      </c>
      <c r="S62" s="39">
        <f t="shared" si="28"/>
        <v>12.193509028794516</v>
      </c>
      <c r="T62" s="39">
        <f t="shared" si="29"/>
        <v>14.399951195705421</v>
      </c>
      <c r="U62" s="39">
        <f t="shared" si="30"/>
        <v>11.385065885797848</v>
      </c>
      <c r="V62" s="39">
        <f t="shared" si="31"/>
        <v>13.604441190824765</v>
      </c>
      <c r="W62" s="39">
        <f t="shared" si="32"/>
        <v>15.222303562713362</v>
      </c>
      <c r="X62" s="39">
        <f t="shared" si="33"/>
        <v>12.703513909224194</v>
      </c>
      <c r="Y62" s="39">
        <f t="shared" si="34"/>
        <v>16.29380185456327</v>
      </c>
      <c r="Z62" s="39">
        <f t="shared" si="35"/>
        <v>14.549780380673401</v>
      </c>
      <c r="AA62" s="39">
        <f t="shared" si="36"/>
        <v>14.982918496827697</v>
      </c>
      <c r="AB62" s="38"/>
      <c r="AE62" s="15">
        <v>3.7962962962962963E-3</v>
      </c>
      <c r="AF62" s="14">
        <f t="shared" si="37"/>
        <v>328</v>
      </c>
      <c r="AG62" s="8">
        <v>2.0857999999999999</v>
      </c>
      <c r="AH62" s="8">
        <v>2.0657999999999999</v>
      </c>
      <c r="AI62" s="8">
        <v>2.0746000000000002</v>
      </c>
      <c r="AJ62" s="8">
        <v>2.0594000000000001</v>
      </c>
      <c r="AK62" s="8">
        <v>2.0657999999999999</v>
      </c>
      <c r="AL62" s="8">
        <v>2.0554000000000001</v>
      </c>
      <c r="AM62" s="8">
        <v>2.0421</v>
      </c>
      <c r="AN62" s="8">
        <v>2.0453000000000001</v>
      </c>
      <c r="AO62" s="8">
        <v>2.0337000000000001</v>
      </c>
      <c r="AP62" s="8">
        <v>2.0470999999999999</v>
      </c>
      <c r="AQ62" s="8">
        <v>2.0562999999999998</v>
      </c>
      <c r="AR62" s="8">
        <v>2.0167000000000002</v>
      </c>
      <c r="AS62" s="8">
        <v>2.0811999999999999</v>
      </c>
      <c r="AT62" s="8">
        <v>2.0785</v>
      </c>
      <c r="AU62" s="8">
        <v>2.0920000000000001</v>
      </c>
      <c r="AV62" s="8">
        <v>2.0857999999999999</v>
      </c>
      <c r="AW62" s="8">
        <v>2.0853999999999999</v>
      </c>
      <c r="AX62" s="8">
        <v>2.0609000000000002</v>
      </c>
      <c r="AY62" s="8">
        <v>2.0769000000000002</v>
      </c>
      <c r="AZ62" s="8">
        <v>2.0737000000000001</v>
      </c>
      <c r="BA62" s="8">
        <v>2.0688</v>
      </c>
      <c r="BB62" s="8">
        <v>2.0716999999999999</v>
      </c>
      <c r="BC62" s="8">
        <v>2.0754000000000001</v>
      </c>
      <c r="BD62" s="8">
        <v>2.0451000000000001</v>
      </c>
    </row>
    <row r="63" spans="2:56" s="13" customFormat="1" x14ac:dyDescent="0.3">
      <c r="B63" s="22">
        <f t="shared" si="12"/>
        <v>336</v>
      </c>
      <c r="C63" s="40">
        <f t="shared" si="13"/>
        <v>9.3892142508539358</v>
      </c>
      <c r="D63" s="40">
        <f t="shared" si="14"/>
        <v>10.541239629087432</v>
      </c>
      <c r="E63" s="40">
        <f t="shared" si="15"/>
        <v>15.308931185944394</v>
      </c>
      <c r="F63" s="40">
        <f t="shared" si="16"/>
        <v>17.883357735480821</v>
      </c>
      <c r="G63" s="40">
        <f t="shared" si="17"/>
        <v>17.796486090775865</v>
      </c>
      <c r="H63" s="40">
        <f t="shared" si="18"/>
        <v>20.589067837969836</v>
      </c>
      <c r="I63" s="40">
        <f t="shared" si="19"/>
        <v>20.644460712542738</v>
      </c>
      <c r="J63" s="40">
        <f t="shared" si="20"/>
        <v>19.382869692532843</v>
      </c>
      <c r="K63" s="40">
        <f t="shared" si="21"/>
        <v>17.657149829185091</v>
      </c>
      <c r="L63" s="40">
        <f t="shared" si="22"/>
        <v>18.355783308931215</v>
      </c>
      <c r="M63" s="40">
        <f t="shared" si="23"/>
        <v>15.147632991703295</v>
      </c>
      <c r="N63" s="40">
        <f t="shared" si="24"/>
        <v>13.195461200585457</v>
      </c>
      <c r="O63" s="40"/>
      <c r="P63" s="39">
        <f t="shared" si="25"/>
        <v>14.155441678867572</v>
      </c>
      <c r="Q63" s="39">
        <f t="shared" si="26"/>
        <v>11.650561249389895</v>
      </c>
      <c r="R63" s="39">
        <f t="shared" si="27"/>
        <v>13.449243533430893</v>
      </c>
      <c r="S63" s="39">
        <f t="shared" si="28"/>
        <v>13.26720351390909</v>
      </c>
      <c r="T63" s="39">
        <f t="shared" si="29"/>
        <v>13.960712542703897</v>
      </c>
      <c r="U63" s="39">
        <f t="shared" si="30"/>
        <v>12.897999023914162</v>
      </c>
      <c r="V63" s="39">
        <f t="shared" si="31"/>
        <v>12.969985358711716</v>
      </c>
      <c r="W63" s="39">
        <f t="shared" si="32"/>
        <v>15.466325036603147</v>
      </c>
      <c r="X63" s="39">
        <f t="shared" si="33"/>
        <v>12.898731088335934</v>
      </c>
      <c r="Y63" s="39">
        <f t="shared" si="34"/>
        <v>16.87945339189849</v>
      </c>
      <c r="Z63" s="39">
        <f t="shared" si="35"/>
        <v>15.330649097120579</v>
      </c>
      <c r="AA63" s="39">
        <f t="shared" si="36"/>
        <v>15.324548560273351</v>
      </c>
      <c r="AB63" s="38"/>
      <c r="AE63" s="15">
        <v>3.8888888888888883E-3</v>
      </c>
      <c r="AF63" s="14">
        <f t="shared" si="37"/>
        <v>336</v>
      </c>
      <c r="AG63" s="8">
        <v>2.0851000000000002</v>
      </c>
      <c r="AH63" s="8">
        <v>2.0674999999999999</v>
      </c>
      <c r="AI63" s="8">
        <v>2.0750999999999999</v>
      </c>
      <c r="AJ63" s="8">
        <v>2.0575999999999999</v>
      </c>
      <c r="AK63" s="8">
        <v>2.0680000000000001</v>
      </c>
      <c r="AL63" s="8">
        <v>2.0562</v>
      </c>
      <c r="AM63" s="8">
        <v>2.0421</v>
      </c>
      <c r="AN63" s="8">
        <v>2.0448</v>
      </c>
      <c r="AO63" s="8">
        <v>2.0341999999999998</v>
      </c>
      <c r="AP63" s="8">
        <v>2.0470999999999999</v>
      </c>
      <c r="AQ63" s="8">
        <v>2.0537999999999998</v>
      </c>
      <c r="AR63" s="8">
        <v>2.0182000000000002</v>
      </c>
      <c r="AS63" s="8">
        <v>2.0798000000000001</v>
      </c>
      <c r="AT63" s="8">
        <v>2.0808</v>
      </c>
      <c r="AU63" s="8">
        <v>2.0914000000000001</v>
      </c>
      <c r="AV63" s="8">
        <v>2.0836000000000001</v>
      </c>
      <c r="AW63" s="8">
        <v>2.0863</v>
      </c>
      <c r="AX63" s="8">
        <v>2.0577999999999999</v>
      </c>
      <c r="AY63" s="8">
        <v>2.0781999999999998</v>
      </c>
      <c r="AZ63" s="8">
        <v>2.0731999999999999</v>
      </c>
      <c r="BA63" s="8">
        <v>2.0684</v>
      </c>
      <c r="BB63" s="8">
        <v>2.0705</v>
      </c>
      <c r="BC63" s="8">
        <v>2.0737999999999999</v>
      </c>
      <c r="BD63" s="8">
        <v>2.0444</v>
      </c>
    </row>
    <row r="64" spans="2:56" s="13" customFormat="1" x14ac:dyDescent="0.3">
      <c r="B64" s="22">
        <f t="shared" si="12"/>
        <v>344</v>
      </c>
      <c r="C64" s="40">
        <f t="shared" si="13"/>
        <v>9.8284529038554584</v>
      </c>
      <c r="D64" s="40">
        <f t="shared" si="14"/>
        <v>11.078086871644825</v>
      </c>
      <c r="E64" s="40">
        <f t="shared" si="15"/>
        <v>15.699365544167875</v>
      </c>
      <c r="F64" s="40">
        <f t="shared" si="16"/>
        <v>18.469009272816042</v>
      </c>
      <c r="G64" s="40">
        <f t="shared" si="17"/>
        <v>17.698877501219993</v>
      </c>
      <c r="H64" s="40">
        <f t="shared" si="18"/>
        <v>20.540263543192008</v>
      </c>
      <c r="I64" s="40">
        <f t="shared" si="19"/>
        <v>21.230112249877958</v>
      </c>
      <c r="J64" s="40">
        <f t="shared" si="20"/>
        <v>18.846022449975447</v>
      </c>
      <c r="K64" s="40">
        <f t="shared" si="21"/>
        <v>18.38921425085401</v>
      </c>
      <c r="L64" s="40">
        <f t="shared" si="22"/>
        <v>18.648609077598827</v>
      </c>
      <c r="M64" s="40">
        <f t="shared" si="23"/>
        <v>15.245241581259165</v>
      </c>
      <c r="N64" s="40">
        <f t="shared" si="24"/>
        <v>13.488286969253286</v>
      </c>
      <c r="O64" s="40"/>
      <c r="P64" s="39">
        <f t="shared" si="25"/>
        <v>13.765007320644091</v>
      </c>
      <c r="Q64" s="39">
        <f t="shared" si="26"/>
        <v>12.431429965836855</v>
      </c>
      <c r="R64" s="39">
        <f t="shared" si="27"/>
        <v>13.498047828208938</v>
      </c>
      <c r="S64" s="39">
        <f t="shared" si="28"/>
        <v>13.120790629575392</v>
      </c>
      <c r="T64" s="39">
        <f t="shared" si="29"/>
        <v>14.448755490483247</v>
      </c>
      <c r="U64" s="39">
        <f t="shared" si="30"/>
        <v>11.921913128355243</v>
      </c>
      <c r="V64" s="39">
        <f t="shared" si="31"/>
        <v>13.360419716935198</v>
      </c>
      <c r="W64" s="39">
        <f t="shared" si="32"/>
        <v>16.540019521717717</v>
      </c>
      <c r="X64" s="39">
        <f t="shared" si="33"/>
        <v>13.533186920449198</v>
      </c>
      <c r="Y64" s="39">
        <f t="shared" si="34"/>
        <v>17.465104929233711</v>
      </c>
      <c r="Z64" s="39">
        <f t="shared" si="35"/>
        <v>16.160322108345582</v>
      </c>
      <c r="AA64" s="39">
        <f t="shared" si="36"/>
        <v>16.739873108833574</v>
      </c>
      <c r="AB64" s="38"/>
      <c r="AE64" s="15">
        <v>3.9814814814814817E-3</v>
      </c>
      <c r="AF64" s="14">
        <f t="shared" si="37"/>
        <v>344</v>
      </c>
      <c r="AG64" s="8">
        <v>2.0842000000000001</v>
      </c>
      <c r="AH64" s="8">
        <v>2.0663999999999998</v>
      </c>
      <c r="AI64" s="8">
        <v>2.0743</v>
      </c>
      <c r="AJ64" s="8">
        <v>2.0564</v>
      </c>
      <c r="AK64" s="8">
        <v>2.0682</v>
      </c>
      <c r="AL64" s="8">
        <v>2.0562999999999998</v>
      </c>
      <c r="AM64" s="8">
        <v>2.0409000000000002</v>
      </c>
      <c r="AN64" s="8">
        <v>2.0459000000000001</v>
      </c>
      <c r="AO64" s="8">
        <v>2.0327000000000002</v>
      </c>
      <c r="AP64" s="8">
        <v>2.0465</v>
      </c>
      <c r="AQ64" s="8">
        <v>2.0535999999999999</v>
      </c>
      <c r="AR64" s="8">
        <v>2.0175999999999998</v>
      </c>
      <c r="AS64" s="8">
        <v>2.0806</v>
      </c>
      <c r="AT64" s="8">
        <v>2.0792000000000002</v>
      </c>
      <c r="AU64" s="8">
        <v>2.0912999999999999</v>
      </c>
      <c r="AV64" s="8">
        <v>2.0838999999999999</v>
      </c>
      <c r="AW64" s="8">
        <v>2.0853000000000002</v>
      </c>
      <c r="AX64" s="8">
        <v>2.0598000000000001</v>
      </c>
      <c r="AY64" s="8">
        <v>2.0773999999999999</v>
      </c>
      <c r="AZ64" s="8">
        <v>2.0710000000000002</v>
      </c>
      <c r="BA64" s="8">
        <v>2.0670999999999999</v>
      </c>
      <c r="BB64" s="8">
        <v>2.0693000000000001</v>
      </c>
      <c r="BC64" s="8">
        <v>2.0720999999999998</v>
      </c>
      <c r="BD64" s="8">
        <v>2.0415000000000001</v>
      </c>
    </row>
    <row r="65" spans="2:56" s="13" customFormat="1" x14ac:dyDescent="0.3">
      <c r="B65" s="22">
        <f t="shared" si="12"/>
        <v>352.00000000000006</v>
      </c>
      <c r="C65" s="40">
        <f t="shared" si="13"/>
        <v>10.902147388970249</v>
      </c>
      <c r="D65" s="40">
        <f t="shared" si="14"/>
        <v>11.175695461200695</v>
      </c>
      <c r="E65" s="40">
        <f t="shared" si="15"/>
        <v>16.187408491947224</v>
      </c>
      <c r="F65" s="40">
        <f t="shared" si="16"/>
        <v>18.469009272816042</v>
      </c>
      <c r="G65" s="40">
        <f t="shared" si="17"/>
        <v>17.747681795998037</v>
      </c>
      <c r="H65" s="40">
        <f t="shared" si="18"/>
        <v>20.637872132747884</v>
      </c>
      <c r="I65" s="40">
        <f t="shared" si="19"/>
        <v>22.352611029770575</v>
      </c>
      <c r="J65" s="40">
        <f t="shared" si="20"/>
        <v>20.261346998535675</v>
      </c>
      <c r="K65" s="40">
        <f t="shared" si="21"/>
        <v>18.682040019521835</v>
      </c>
      <c r="L65" s="40">
        <f t="shared" si="22"/>
        <v>19.185456320156224</v>
      </c>
      <c r="M65" s="40">
        <f t="shared" si="23"/>
        <v>14.806002928257641</v>
      </c>
      <c r="N65" s="40">
        <f t="shared" si="24"/>
        <v>14.073938506588506</v>
      </c>
      <c r="O65" s="40"/>
      <c r="P65" s="39">
        <f t="shared" si="25"/>
        <v>14.057833089311703</v>
      </c>
      <c r="Q65" s="39">
        <f t="shared" si="26"/>
        <v>12.285017081503158</v>
      </c>
      <c r="R65" s="39">
        <f t="shared" si="27"/>
        <v>13.302830649097197</v>
      </c>
      <c r="S65" s="39">
        <f t="shared" si="28"/>
        <v>14.048072230356267</v>
      </c>
      <c r="T65" s="39">
        <f t="shared" si="29"/>
        <v>14.839189848706946</v>
      </c>
      <c r="U65" s="39">
        <f t="shared" si="30"/>
        <v>12.165934602245027</v>
      </c>
      <c r="V65" s="39">
        <f t="shared" si="31"/>
        <v>13.116398243045413</v>
      </c>
      <c r="W65" s="39">
        <f t="shared" si="32"/>
        <v>16.344802342605977</v>
      </c>
      <c r="X65" s="39">
        <f t="shared" si="33"/>
        <v>13.581991215227024</v>
      </c>
      <c r="Y65" s="39">
        <f t="shared" si="34"/>
        <v>17.757930697901323</v>
      </c>
      <c r="Z65" s="39">
        <f t="shared" si="35"/>
        <v>16.355539287457322</v>
      </c>
      <c r="AA65" s="39">
        <f t="shared" si="36"/>
        <v>16.056612981942486</v>
      </c>
      <c r="AB65" s="38"/>
      <c r="AE65" s="15">
        <v>4.0740740740740746E-3</v>
      </c>
      <c r="AF65" s="14">
        <f t="shared" si="37"/>
        <v>352.00000000000006</v>
      </c>
      <c r="AG65" s="8">
        <v>2.0819999999999999</v>
      </c>
      <c r="AH65" s="8">
        <v>2.0661999999999998</v>
      </c>
      <c r="AI65" s="8">
        <v>2.0733000000000001</v>
      </c>
      <c r="AJ65" s="8">
        <v>2.0564</v>
      </c>
      <c r="AK65" s="8">
        <v>2.0680999999999998</v>
      </c>
      <c r="AL65" s="8">
        <v>2.0560999999999998</v>
      </c>
      <c r="AM65" s="8">
        <v>2.0386000000000002</v>
      </c>
      <c r="AN65" s="8">
        <v>2.0430000000000001</v>
      </c>
      <c r="AO65" s="8">
        <v>2.0320999999999998</v>
      </c>
      <c r="AP65" s="8">
        <v>2.0453999999999999</v>
      </c>
      <c r="AQ65" s="8">
        <v>2.0545</v>
      </c>
      <c r="AR65" s="8">
        <v>2.0164</v>
      </c>
      <c r="AS65" s="8">
        <v>2.08</v>
      </c>
      <c r="AT65" s="8">
        <v>2.0794999999999999</v>
      </c>
      <c r="AU65" s="8">
        <v>2.0916999999999999</v>
      </c>
      <c r="AV65" s="8">
        <v>2.0819999999999999</v>
      </c>
      <c r="AW65" s="8">
        <v>2.0844999999999998</v>
      </c>
      <c r="AX65" s="8">
        <v>2.0592999999999999</v>
      </c>
      <c r="AY65" s="8">
        <v>2.0779000000000001</v>
      </c>
      <c r="AZ65" s="8">
        <v>2.0714000000000001</v>
      </c>
      <c r="BA65" s="8">
        <v>2.0670000000000002</v>
      </c>
      <c r="BB65" s="8">
        <v>2.0687000000000002</v>
      </c>
      <c r="BC65" s="8">
        <v>2.0716999999999999</v>
      </c>
      <c r="BD65" s="8">
        <v>2.0428999999999999</v>
      </c>
    </row>
    <row r="66" spans="2:56" s="13" customFormat="1" x14ac:dyDescent="0.3">
      <c r="B66" s="22">
        <f t="shared" si="12"/>
        <v>360</v>
      </c>
      <c r="C66" s="40">
        <f t="shared" si="13"/>
        <v>10.41410444119068</v>
      </c>
      <c r="D66" s="40">
        <f t="shared" si="14"/>
        <v>11.907759882869613</v>
      </c>
      <c r="E66" s="40">
        <f t="shared" si="15"/>
        <v>16.187408491947224</v>
      </c>
      <c r="F66" s="40">
        <f t="shared" si="16"/>
        <v>18.029770619814517</v>
      </c>
      <c r="G66" s="40">
        <f t="shared" si="17"/>
        <v>18.235724743777389</v>
      </c>
      <c r="H66" s="40">
        <f t="shared" si="18"/>
        <v>21.272327964860928</v>
      </c>
      <c r="I66" s="40">
        <f t="shared" si="19"/>
        <v>22.010980966325139</v>
      </c>
      <c r="J66" s="40">
        <f t="shared" si="20"/>
        <v>20.407759882869584</v>
      </c>
      <c r="K66" s="40">
        <f t="shared" si="21"/>
        <v>18.633235724743795</v>
      </c>
      <c r="L66" s="40">
        <f t="shared" si="22"/>
        <v>19.429477794045788</v>
      </c>
      <c r="M66" s="40">
        <f t="shared" si="23"/>
        <v>15.538067349926775</v>
      </c>
      <c r="N66" s="40">
        <f t="shared" si="24"/>
        <v>14.269155685700246</v>
      </c>
      <c r="O66" s="40"/>
      <c r="P66" s="39">
        <f t="shared" si="25"/>
        <v>14.204245973645616</v>
      </c>
      <c r="Q66" s="39">
        <f t="shared" si="26"/>
        <v>13.797950219619256</v>
      </c>
      <c r="R66" s="39">
        <f t="shared" si="27"/>
        <v>13.888482186432418</v>
      </c>
      <c r="S66" s="39">
        <f t="shared" si="28"/>
        <v>13.706442166910614</v>
      </c>
      <c r="T66" s="39">
        <f t="shared" si="29"/>
        <v>14.936798438262814</v>
      </c>
      <c r="U66" s="39">
        <f t="shared" si="30"/>
        <v>12.312347486578725</v>
      </c>
      <c r="V66" s="39">
        <f t="shared" si="31"/>
        <v>13.604441190824765</v>
      </c>
      <c r="W66" s="39">
        <f t="shared" si="32"/>
        <v>15.856759394826625</v>
      </c>
      <c r="X66" s="39">
        <f t="shared" si="33"/>
        <v>14.460468521230073</v>
      </c>
      <c r="Y66" s="39">
        <f t="shared" si="34"/>
        <v>18.148365056125019</v>
      </c>
      <c r="Z66" s="39">
        <f t="shared" si="35"/>
        <v>16.062713518789714</v>
      </c>
      <c r="AA66" s="39">
        <f t="shared" si="36"/>
        <v>16.349438750610094</v>
      </c>
      <c r="AB66" s="38"/>
      <c r="AE66" s="15">
        <v>4.1666666666666666E-3</v>
      </c>
      <c r="AF66" s="14">
        <f t="shared" si="37"/>
        <v>360</v>
      </c>
      <c r="AG66" s="8">
        <v>2.0830000000000002</v>
      </c>
      <c r="AH66" s="8">
        <v>2.0647000000000002</v>
      </c>
      <c r="AI66" s="8">
        <v>2.0733000000000001</v>
      </c>
      <c r="AJ66" s="8">
        <v>2.0573000000000001</v>
      </c>
      <c r="AK66" s="8">
        <v>2.0670999999999999</v>
      </c>
      <c r="AL66" s="8">
        <v>2.0548000000000002</v>
      </c>
      <c r="AM66" s="8">
        <v>2.0392999999999999</v>
      </c>
      <c r="AN66" s="8">
        <v>2.0427</v>
      </c>
      <c r="AO66" s="8">
        <v>2.0322</v>
      </c>
      <c r="AP66" s="8">
        <v>2.0449000000000002</v>
      </c>
      <c r="AQ66" s="8">
        <v>2.0529999999999999</v>
      </c>
      <c r="AR66" s="8">
        <v>2.016</v>
      </c>
      <c r="AS66" s="8">
        <v>2.0796999999999999</v>
      </c>
      <c r="AT66" s="8">
        <v>2.0764</v>
      </c>
      <c r="AU66" s="8">
        <v>2.0905</v>
      </c>
      <c r="AV66" s="8">
        <v>2.0827</v>
      </c>
      <c r="AW66" s="8">
        <v>2.0842999999999998</v>
      </c>
      <c r="AX66" s="8">
        <v>2.0590000000000002</v>
      </c>
      <c r="AY66" s="8">
        <v>2.0769000000000002</v>
      </c>
      <c r="AZ66" s="8">
        <v>2.0724</v>
      </c>
      <c r="BA66" s="8">
        <v>2.0651999999999999</v>
      </c>
      <c r="BB66" s="8">
        <v>2.0678999999999998</v>
      </c>
      <c r="BC66" s="8">
        <v>2.0722999999999998</v>
      </c>
      <c r="BD66" s="8">
        <v>2.0423</v>
      </c>
    </row>
    <row r="67" spans="2:56" s="13" customFormat="1" x14ac:dyDescent="0.3">
      <c r="B67" s="22">
        <f t="shared" si="12"/>
        <v>368</v>
      </c>
      <c r="C67" s="40">
        <f t="shared" si="13"/>
        <v>11.683016105417209</v>
      </c>
      <c r="D67" s="40">
        <f t="shared" si="14"/>
        <v>11.712542703757872</v>
      </c>
      <c r="E67" s="40">
        <f t="shared" si="15"/>
        <v>16.821864324060488</v>
      </c>
      <c r="F67" s="40">
        <f t="shared" si="16"/>
        <v>18.957052220595394</v>
      </c>
      <c r="G67" s="40">
        <f t="shared" si="17"/>
        <v>18.577354807223042</v>
      </c>
      <c r="H67" s="40">
        <f t="shared" si="18"/>
        <v>20.979502196193319</v>
      </c>
      <c r="I67" s="40">
        <f t="shared" si="19"/>
        <v>22.010980966325139</v>
      </c>
      <c r="J67" s="40">
        <f t="shared" si="20"/>
        <v>20.554172767203283</v>
      </c>
      <c r="K67" s="40">
        <f t="shared" si="21"/>
        <v>20.341386041971631</v>
      </c>
      <c r="L67" s="40">
        <f t="shared" si="22"/>
        <v>20.649585163494276</v>
      </c>
      <c r="M67" s="40">
        <f t="shared" si="23"/>
        <v>15.830893118594386</v>
      </c>
      <c r="N67" s="40">
        <f t="shared" si="24"/>
        <v>15.245241581259165</v>
      </c>
      <c r="O67" s="40"/>
      <c r="P67" s="39">
        <f t="shared" si="25"/>
        <v>14.93631039531475</v>
      </c>
      <c r="Q67" s="39">
        <f t="shared" si="26"/>
        <v>13.4563201561736</v>
      </c>
      <c r="R67" s="39">
        <f t="shared" si="27"/>
        <v>13.546852122986763</v>
      </c>
      <c r="S67" s="39">
        <f t="shared" si="28"/>
        <v>13.657637872132568</v>
      </c>
      <c r="T67" s="39">
        <f t="shared" si="29"/>
        <v>15.180819912152382</v>
      </c>
      <c r="U67" s="39">
        <f t="shared" si="30"/>
        <v>12.751586139580249</v>
      </c>
      <c r="V67" s="39">
        <f t="shared" si="31"/>
        <v>13.897266959492592</v>
      </c>
      <c r="W67" s="39">
        <f t="shared" si="32"/>
        <v>16.247193753050105</v>
      </c>
      <c r="X67" s="39">
        <f t="shared" si="33"/>
        <v>15.338945827232905</v>
      </c>
      <c r="Y67" s="39">
        <f t="shared" si="34"/>
        <v>18.489995119570455</v>
      </c>
      <c r="Z67" s="39">
        <f t="shared" si="35"/>
        <v>17.478038067349939</v>
      </c>
      <c r="AA67" s="39">
        <f t="shared" si="36"/>
        <v>17.911176183504232</v>
      </c>
      <c r="AB67" s="38"/>
      <c r="AE67" s="15">
        <v>4.2592592592592595E-3</v>
      </c>
      <c r="AF67" s="14">
        <f t="shared" si="37"/>
        <v>368</v>
      </c>
      <c r="AG67" s="8">
        <v>2.0804</v>
      </c>
      <c r="AH67" s="8">
        <v>2.0651000000000002</v>
      </c>
      <c r="AI67" s="8">
        <v>2.0720000000000001</v>
      </c>
      <c r="AJ67" s="8">
        <v>2.0554000000000001</v>
      </c>
      <c r="AK67" s="8">
        <v>2.0663999999999998</v>
      </c>
      <c r="AL67" s="8">
        <v>2.0554000000000001</v>
      </c>
      <c r="AM67" s="8">
        <v>2.0392999999999999</v>
      </c>
      <c r="AN67" s="8">
        <v>2.0424000000000002</v>
      </c>
      <c r="AO67" s="8">
        <v>2.0287000000000002</v>
      </c>
      <c r="AP67" s="8">
        <v>2.0424000000000002</v>
      </c>
      <c r="AQ67" s="8">
        <v>2.0524</v>
      </c>
      <c r="AR67" s="8">
        <v>2.0139999999999998</v>
      </c>
      <c r="AS67" s="8">
        <v>2.0781999999999998</v>
      </c>
      <c r="AT67" s="8">
        <v>2.0771000000000002</v>
      </c>
      <c r="AU67" s="8">
        <v>2.0912000000000002</v>
      </c>
      <c r="AV67" s="8">
        <v>2.0828000000000002</v>
      </c>
      <c r="AW67" s="8">
        <v>2.0838000000000001</v>
      </c>
      <c r="AX67" s="8">
        <v>2.0581</v>
      </c>
      <c r="AY67" s="8">
        <v>2.0762999999999998</v>
      </c>
      <c r="AZ67" s="8">
        <v>2.0716000000000001</v>
      </c>
      <c r="BA67" s="8">
        <v>2.0634000000000001</v>
      </c>
      <c r="BB67" s="8">
        <v>2.0672000000000001</v>
      </c>
      <c r="BC67" s="8">
        <v>2.0693999999999999</v>
      </c>
      <c r="BD67" s="8">
        <v>2.0390999999999999</v>
      </c>
    </row>
    <row r="68" spans="2:56" s="13" customFormat="1" x14ac:dyDescent="0.3">
      <c r="B68" s="22">
        <f t="shared" si="12"/>
        <v>376</v>
      </c>
      <c r="C68" s="40">
        <f t="shared" si="13"/>
        <v>9.7308443142995902</v>
      </c>
      <c r="D68" s="40">
        <f t="shared" si="14"/>
        <v>10.980478282088738</v>
      </c>
      <c r="E68" s="40">
        <f t="shared" si="15"/>
        <v>16.480234260614836</v>
      </c>
      <c r="F68" s="40">
        <f t="shared" si="16"/>
        <v>18.810639336261698</v>
      </c>
      <c r="G68" s="40">
        <f t="shared" si="17"/>
        <v>19.797462176671527</v>
      </c>
      <c r="H68" s="40">
        <f t="shared" si="18"/>
        <v>21.809175207418324</v>
      </c>
      <c r="I68" s="40">
        <f t="shared" si="19"/>
        <v>23.475109809663191</v>
      </c>
      <c r="J68" s="40">
        <f t="shared" si="20"/>
        <v>21.432650073206332</v>
      </c>
      <c r="K68" s="40">
        <f t="shared" si="21"/>
        <v>19.853343094192279</v>
      </c>
      <c r="L68" s="40">
        <f t="shared" si="22"/>
        <v>20.551976573938401</v>
      </c>
      <c r="M68" s="40">
        <f t="shared" si="23"/>
        <v>15.684480234260475</v>
      </c>
      <c r="N68" s="40">
        <f t="shared" si="24"/>
        <v>14.415568570034159</v>
      </c>
      <c r="O68" s="40"/>
      <c r="P68" s="39">
        <f t="shared" si="25"/>
        <v>15.229136163982361</v>
      </c>
      <c r="Q68" s="39">
        <f t="shared" si="26"/>
        <v>13.602733040507514</v>
      </c>
      <c r="R68" s="39">
        <f t="shared" si="27"/>
        <v>15.059785261103077</v>
      </c>
      <c r="S68" s="39">
        <f t="shared" si="28"/>
        <v>13.608833577354742</v>
      </c>
      <c r="T68" s="39">
        <f t="shared" si="29"/>
        <v>15.180819912152382</v>
      </c>
      <c r="U68" s="39">
        <f t="shared" si="30"/>
        <v>12.702781844802422</v>
      </c>
      <c r="V68" s="39">
        <f t="shared" si="31"/>
        <v>14.238897022938028</v>
      </c>
      <c r="W68" s="39">
        <f t="shared" si="32"/>
        <v>16.247193753050105</v>
      </c>
      <c r="X68" s="39">
        <f t="shared" si="33"/>
        <v>14.802098584675727</v>
      </c>
      <c r="Y68" s="39">
        <f t="shared" si="34"/>
        <v>19.758906783796984</v>
      </c>
      <c r="Z68" s="39">
        <f t="shared" si="35"/>
        <v>16.843582235236674</v>
      </c>
      <c r="AA68" s="39">
        <f t="shared" si="36"/>
        <v>17.618350414836623</v>
      </c>
      <c r="AB68" s="38"/>
      <c r="AE68" s="15">
        <v>4.3518518518518515E-3</v>
      </c>
      <c r="AF68" s="14">
        <f t="shared" si="37"/>
        <v>376</v>
      </c>
      <c r="AG68" s="8">
        <v>2.0844</v>
      </c>
      <c r="AH68" s="8">
        <v>2.0666000000000002</v>
      </c>
      <c r="AI68" s="8">
        <v>2.0727000000000002</v>
      </c>
      <c r="AJ68" s="8">
        <v>2.0556999999999999</v>
      </c>
      <c r="AK68" s="8">
        <v>2.0638999999999998</v>
      </c>
      <c r="AL68" s="8">
        <v>2.0537000000000001</v>
      </c>
      <c r="AM68" s="8">
        <v>2.0363000000000002</v>
      </c>
      <c r="AN68" s="8">
        <v>2.0406</v>
      </c>
      <c r="AO68" s="8">
        <v>2.0297000000000001</v>
      </c>
      <c r="AP68" s="8">
        <v>2.0426000000000002</v>
      </c>
      <c r="AQ68" s="8">
        <v>2.0527000000000002</v>
      </c>
      <c r="AR68" s="8">
        <v>2.0156999999999998</v>
      </c>
      <c r="AS68" s="8">
        <v>2.0775999999999999</v>
      </c>
      <c r="AT68" s="8">
        <v>2.0768</v>
      </c>
      <c r="AU68" s="8">
        <v>2.0880999999999998</v>
      </c>
      <c r="AV68" s="8">
        <v>2.0829</v>
      </c>
      <c r="AW68" s="8">
        <v>2.0838000000000001</v>
      </c>
      <c r="AX68" s="8">
        <v>2.0581999999999998</v>
      </c>
      <c r="AY68" s="8">
        <v>2.0756000000000001</v>
      </c>
      <c r="AZ68" s="8">
        <v>2.0716000000000001</v>
      </c>
      <c r="BA68" s="8">
        <v>2.0644999999999998</v>
      </c>
      <c r="BB68" s="8">
        <v>2.0646</v>
      </c>
      <c r="BC68" s="8">
        <v>2.0707</v>
      </c>
      <c r="BD68" s="8">
        <v>2.0396999999999998</v>
      </c>
    </row>
    <row r="69" spans="2:56" s="13" customFormat="1" x14ac:dyDescent="0.3">
      <c r="B69" s="22">
        <f t="shared" si="12"/>
        <v>383.99999999999994</v>
      </c>
      <c r="C69" s="40">
        <f t="shared" si="13"/>
        <v>10.511713030746551</v>
      </c>
      <c r="D69" s="40">
        <f t="shared" si="14"/>
        <v>12.444607125427007</v>
      </c>
      <c r="E69" s="40">
        <f t="shared" si="15"/>
        <v>17.30990727183984</v>
      </c>
      <c r="F69" s="40">
        <f t="shared" si="16"/>
        <v>18.469009272816042</v>
      </c>
      <c r="G69" s="40">
        <f t="shared" si="17"/>
        <v>17.845290385553909</v>
      </c>
      <c r="H69" s="40">
        <f t="shared" si="18"/>
        <v>21.3699365544168</v>
      </c>
      <c r="I69" s="40">
        <f t="shared" si="19"/>
        <v>24.158369936554497</v>
      </c>
      <c r="J69" s="40">
        <f t="shared" si="20"/>
        <v>21.871888726207853</v>
      </c>
      <c r="K69" s="40">
        <f t="shared" si="21"/>
        <v>20.24377745241576</v>
      </c>
      <c r="L69" s="40">
        <f t="shared" si="22"/>
        <v>21.235236700829713</v>
      </c>
      <c r="M69" s="40">
        <f t="shared" si="23"/>
        <v>16.953391898487002</v>
      </c>
      <c r="N69" s="40">
        <f t="shared" si="24"/>
        <v>15.245241581259165</v>
      </c>
      <c r="O69" s="40"/>
      <c r="P69" s="39">
        <f t="shared" si="25"/>
        <v>16.058809175207365</v>
      </c>
      <c r="Q69" s="39">
        <f t="shared" si="26"/>
        <v>13.4563201561736</v>
      </c>
      <c r="R69" s="39">
        <f t="shared" si="27"/>
        <v>14.620546608101552</v>
      </c>
      <c r="S69" s="39">
        <f t="shared" si="28"/>
        <v>14.633723767691487</v>
      </c>
      <c r="T69" s="39">
        <f t="shared" si="29"/>
        <v>15.522449975598038</v>
      </c>
      <c r="U69" s="39">
        <f t="shared" si="30"/>
        <v>13.630063445583296</v>
      </c>
      <c r="V69" s="39">
        <f t="shared" si="31"/>
        <v>14.726939970717378</v>
      </c>
      <c r="W69" s="39">
        <f t="shared" si="32"/>
        <v>17.125671059053154</v>
      </c>
      <c r="X69" s="39">
        <f t="shared" si="33"/>
        <v>14.802098584675727</v>
      </c>
      <c r="Y69" s="39">
        <f t="shared" si="34"/>
        <v>18.245973645680891</v>
      </c>
      <c r="Z69" s="39">
        <f t="shared" si="35"/>
        <v>16.697169350902762</v>
      </c>
      <c r="AA69" s="39">
        <f t="shared" si="36"/>
        <v>18.252806246949675</v>
      </c>
      <c r="AB69" s="38"/>
      <c r="AE69" s="15">
        <v>4.4444444444444444E-3</v>
      </c>
      <c r="AF69" s="14">
        <f t="shared" si="37"/>
        <v>383.99999999999994</v>
      </c>
      <c r="AG69" s="8">
        <v>2.0828000000000002</v>
      </c>
      <c r="AH69" s="8">
        <v>2.0636000000000001</v>
      </c>
      <c r="AI69" s="8">
        <v>2.0710000000000002</v>
      </c>
      <c r="AJ69" s="8">
        <v>2.0564</v>
      </c>
      <c r="AK69" s="8">
        <v>2.0678999999999998</v>
      </c>
      <c r="AL69" s="8">
        <v>2.0546000000000002</v>
      </c>
      <c r="AM69" s="8">
        <v>2.0348999999999999</v>
      </c>
      <c r="AN69" s="8">
        <v>2.0396999999999998</v>
      </c>
      <c r="AO69" s="8">
        <v>2.0289000000000001</v>
      </c>
      <c r="AP69" s="8">
        <v>2.0411999999999999</v>
      </c>
      <c r="AQ69" s="8">
        <v>2.0501</v>
      </c>
      <c r="AR69" s="8">
        <v>2.0139999999999998</v>
      </c>
      <c r="AS69" s="8">
        <v>2.0758999999999999</v>
      </c>
      <c r="AT69" s="8">
        <v>2.0771000000000002</v>
      </c>
      <c r="AU69" s="8">
        <v>2.089</v>
      </c>
      <c r="AV69" s="8">
        <v>2.0808</v>
      </c>
      <c r="AW69" s="8">
        <v>2.0831</v>
      </c>
      <c r="AX69" s="8">
        <v>2.0562999999999998</v>
      </c>
      <c r="AY69" s="8">
        <v>2.0746000000000002</v>
      </c>
      <c r="AZ69" s="8">
        <v>2.0697999999999999</v>
      </c>
      <c r="BA69" s="8">
        <v>2.0644999999999998</v>
      </c>
      <c r="BB69" s="8">
        <v>2.0676999999999999</v>
      </c>
      <c r="BC69" s="8">
        <v>2.0710000000000002</v>
      </c>
      <c r="BD69" s="8">
        <v>2.0384000000000002</v>
      </c>
    </row>
    <row r="70" spans="2:56" s="13" customFormat="1" x14ac:dyDescent="0.3">
      <c r="B70" s="22">
        <f t="shared" si="12"/>
        <v>391.99999999999994</v>
      </c>
      <c r="C70" s="40">
        <f t="shared" si="13"/>
        <v>11.585407515861339</v>
      </c>
      <c r="D70" s="40">
        <f t="shared" si="14"/>
        <v>12.151781356759397</v>
      </c>
      <c r="E70" s="40">
        <f t="shared" si="15"/>
        <v>16.870668618838533</v>
      </c>
      <c r="F70" s="40">
        <f t="shared" si="16"/>
        <v>18.908247925817566</v>
      </c>
      <c r="G70" s="40">
        <f t="shared" si="17"/>
        <v>18.723767691556741</v>
      </c>
      <c r="H70" s="40">
        <f t="shared" si="18"/>
        <v>22.150805270863977</v>
      </c>
      <c r="I70" s="40">
        <f t="shared" si="19"/>
        <v>24.451195705222109</v>
      </c>
      <c r="J70" s="40">
        <f t="shared" si="20"/>
        <v>21.530258662762201</v>
      </c>
      <c r="K70" s="40">
        <f t="shared" si="21"/>
        <v>20.341386041971631</v>
      </c>
      <c r="L70" s="40">
        <f t="shared" si="22"/>
        <v>21.235236700829713</v>
      </c>
      <c r="M70" s="40">
        <f t="shared" si="23"/>
        <v>16.611761835041349</v>
      </c>
      <c r="N70" s="40">
        <f t="shared" si="24"/>
        <v>15.977306002928085</v>
      </c>
      <c r="O70" s="40"/>
      <c r="P70" s="39">
        <f t="shared" si="25"/>
        <v>15.717179111761713</v>
      </c>
      <c r="Q70" s="39">
        <f t="shared" si="26"/>
        <v>13.944363103953169</v>
      </c>
      <c r="R70" s="39">
        <f t="shared" si="27"/>
        <v>15.108589555880904</v>
      </c>
      <c r="S70" s="39">
        <f t="shared" si="28"/>
        <v>14.438506588579749</v>
      </c>
      <c r="T70" s="39">
        <f t="shared" si="29"/>
        <v>15.961688628599559</v>
      </c>
      <c r="U70" s="39">
        <f t="shared" si="30"/>
        <v>14.020497803806778</v>
      </c>
      <c r="V70" s="39">
        <f t="shared" si="31"/>
        <v>14.824548560273467</v>
      </c>
      <c r="W70" s="39">
        <f t="shared" si="32"/>
        <v>17.028062469497286</v>
      </c>
      <c r="X70" s="39">
        <f t="shared" si="33"/>
        <v>15.436554416788773</v>
      </c>
      <c r="Y70" s="39">
        <f t="shared" si="34"/>
        <v>19.026842362127848</v>
      </c>
      <c r="Z70" s="39">
        <f t="shared" si="35"/>
        <v>18.698145436798423</v>
      </c>
      <c r="AA70" s="39">
        <f t="shared" si="36"/>
        <v>18.594436310395327</v>
      </c>
      <c r="AB70" s="38"/>
      <c r="AE70" s="15">
        <v>4.5370370370370365E-3</v>
      </c>
      <c r="AF70" s="14">
        <f t="shared" si="37"/>
        <v>391.99999999999994</v>
      </c>
      <c r="AG70" s="8">
        <v>2.0806</v>
      </c>
      <c r="AH70" s="8">
        <v>2.0642</v>
      </c>
      <c r="AI70" s="8">
        <v>2.0718999999999999</v>
      </c>
      <c r="AJ70" s="8">
        <v>2.0554999999999999</v>
      </c>
      <c r="AK70" s="8">
        <v>2.0661</v>
      </c>
      <c r="AL70" s="8">
        <v>2.0529999999999999</v>
      </c>
      <c r="AM70" s="8">
        <v>2.0343</v>
      </c>
      <c r="AN70" s="8">
        <v>2.0404</v>
      </c>
      <c r="AO70" s="8">
        <v>2.0287000000000002</v>
      </c>
      <c r="AP70" s="8">
        <v>2.0411999999999999</v>
      </c>
      <c r="AQ70" s="8">
        <v>2.0508000000000002</v>
      </c>
      <c r="AR70" s="8">
        <v>2.0125000000000002</v>
      </c>
      <c r="AS70" s="8">
        <v>2.0766</v>
      </c>
      <c r="AT70" s="8">
        <v>2.0760999999999998</v>
      </c>
      <c r="AU70" s="8">
        <v>2.0880000000000001</v>
      </c>
      <c r="AV70" s="8">
        <v>2.0811999999999999</v>
      </c>
      <c r="AW70" s="8">
        <v>2.0821999999999998</v>
      </c>
      <c r="AX70" s="8">
        <v>2.0554999999999999</v>
      </c>
      <c r="AY70" s="8">
        <v>2.0743999999999998</v>
      </c>
      <c r="AZ70" s="8">
        <v>2.0699999999999998</v>
      </c>
      <c r="BA70" s="8">
        <v>2.0632000000000001</v>
      </c>
      <c r="BB70" s="8">
        <v>2.0661</v>
      </c>
      <c r="BC70" s="8">
        <v>2.0669</v>
      </c>
      <c r="BD70" s="8">
        <v>2.0377000000000001</v>
      </c>
    </row>
    <row r="71" spans="2:56" s="13" customFormat="1" x14ac:dyDescent="0.3">
      <c r="B71" s="22">
        <f t="shared" si="12"/>
        <v>400.00000000000006</v>
      </c>
      <c r="C71" s="40">
        <f t="shared" si="13"/>
        <v>11.585407515861339</v>
      </c>
      <c r="D71" s="40">
        <f t="shared" si="14"/>
        <v>11.663738408980047</v>
      </c>
      <c r="E71" s="40">
        <f t="shared" si="15"/>
        <v>17.261102977062013</v>
      </c>
      <c r="F71" s="40">
        <f t="shared" si="16"/>
        <v>19.005856515373434</v>
      </c>
      <c r="G71" s="40">
        <f t="shared" si="17"/>
        <v>19.895070766227398</v>
      </c>
      <c r="H71" s="40">
        <f t="shared" si="18"/>
        <v>21.613958028306584</v>
      </c>
      <c r="I71" s="40">
        <f t="shared" si="19"/>
        <v>24.646412884333849</v>
      </c>
      <c r="J71" s="40">
        <f t="shared" si="20"/>
        <v>21.432650073206332</v>
      </c>
      <c r="K71" s="40">
        <f t="shared" si="21"/>
        <v>21.21986334797468</v>
      </c>
      <c r="L71" s="40">
        <f t="shared" si="22"/>
        <v>21.040019521717969</v>
      </c>
      <c r="M71" s="40">
        <f t="shared" si="23"/>
        <v>16.904587603709174</v>
      </c>
      <c r="N71" s="40">
        <f t="shared" si="24"/>
        <v>15.294045876036991</v>
      </c>
      <c r="O71" s="40"/>
      <c r="P71" s="39">
        <f t="shared" si="25"/>
        <v>15.521961932649972</v>
      </c>
      <c r="Q71" s="39">
        <f t="shared" si="26"/>
        <v>15.213274768179479</v>
      </c>
      <c r="R71" s="39">
        <f t="shared" si="27"/>
        <v>15.255002440214819</v>
      </c>
      <c r="S71" s="39">
        <f t="shared" si="28"/>
        <v>14.828940946803227</v>
      </c>
      <c r="T71" s="39">
        <f t="shared" si="29"/>
        <v>15.766471449487819</v>
      </c>
      <c r="U71" s="39">
        <f t="shared" si="30"/>
        <v>13.581259150805254</v>
      </c>
      <c r="V71" s="39">
        <f t="shared" si="31"/>
        <v>15.751830161054343</v>
      </c>
      <c r="W71" s="39">
        <f t="shared" si="32"/>
        <v>17.613714006832506</v>
      </c>
      <c r="X71" s="39">
        <f t="shared" si="33"/>
        <v>15.826988775012474</v>
      </c>
      <c r="Y71" s="39">
        <f t="shared" si="34"/>
        <v>19.368472425573504</v>
      </c>
      <c r="Z71" s="39">
        <f t="shared" si="35"/>
        <v>17.624450951683635</v>
      </c>
      <c r="AA71" s="39">
        <f t="shared" si="36"/>
        <v>17.471937530502711</v>
      </c>
      <c r="AB71" s="38"/>
      <c r="AE71" s="15">
        <v>4.6296296296296302E-3</v>
      </c>
      <c r="AF71" s="14">
        <f t="shared" si="37"/>
        <v>400.00000000000006</v>
      </c>
      <c r="AG71" s="8">
        <v>2.0806</v>
      </c>
      <c r="AH71" s="8">
        <v>2.0651999999999999</v>
      </c>
      <c r="AI71" s="8">
        <v>2.0710999999999999</v>
      </c>
      <c r="AJ71" s="8">
        <v>2.0552999999999999</v>
      </c>
      <c r="AK71" s="8">
        <v>2.0636999999999999</v>
      </c>
      <c r="AL71" s="8">
        <v>2.0541</v>
      </c>
      <c r="AM71" s="8">
        <v>2.0339</v>
      </c>
      <c r="AN71" s="8">
        <v>2.0406</v>
      </c>
      <c r="AO71" s="8">
        <v>2.0268999999999999</v>
      </c>
      <c r="AP71" s="8">
        <v>2.0415999999999999</v>
      </c>
      <c r="AQ71" s="8">
        <v>2.0501999999999998</v>
      </c>
      <c r="AR71" s="8">
        <v>2.0139</v>
      </c>
      <c r="AS71" s="8">
        <v>2.077</v>
      </c>
      <c r="AT71" s="8">
        <v>2.0735000000000001</v>
      </c>
      <c r="AU71" s="8">
        <v>2.0876999999999999</v>
      </c>
      <c r="AV71" s="8">
        <v>2.0804</v>
      </c>
      <c r="AW71" s="8">
        <v>2.0825999999999998</v>
      </c>
      <c r="AX71" s="8">
        <v>2.0564</v>
      </c>
      <c r="AY71" s="8">
        <v>2.0724999999999998</v>
      </c>
      <c r="AZ71" s="8">
        <v>2.0688</v>
      </c>
      <c r="BA71" s="8">
        <v>2.0623999999999998</v>
      </c>
      <c r="BB71" s="8">
        <v>2.0653999999999999</v>
      </c>
      <c r="BC71" s="8">
        <v>2.0691000000000002</v>
      </c>
      <c r="BD71" s="8">
        <v>2.04</v>
      </c>
    </row>
    <row r="72" spans="2:56" s="13" customFormat="1" x14ac:dyDescent="0.3">
      <c r="B72" s="22">
        <f t="shared" si="12"/>
        <v>408.00000000000006</v>
      </c>
      <c r="C72" s="40">
        <f t="shared" si="13"/>
        <v>11.829428989751124</v>
      </c>
      <c r="D72" s="40">
        <f t="shared" si="14"/>
        <v>12.298194241093311</v>
      </c>
      <c r="E72" s="40">
        <f t="shared" si="15"/>
        <v>17.651537335285493</v>
      </c>
      <c r="F72" s="40">
        <f t="shared" si="16"/>
        <v>19.835529526598442</v>
      </c>
      <c r="G72" s="40">
        <f t="shared" si="17"/>
        <v>19.651049292337614</v>
      </c>
      <c r="H72" s="40">
        <f t="shared" si="18"/>
        <v>22.638848218643325</v>
      </c>
      <c r="I72" s="40">
        <f t="shared" si="19"/>
        <v>24.93923865300146</v>
      </c>
      <c r="J72" s="40">
        <f t="shared" si="20"/>
        <v>22.408735968765033</v>
      </c>
      <c r="K72" s="40">
        <f t="shared" si="21"/>
        <v>20.878233284529024</v>
      </c>
      <c r="L72" s="40">
        <f t="shared" si="22"/>
        <v>21.967301122498846</v>
      </c>
      <c r="M72" s="40">
        <f t="shared" si="23"/>
        <v>17.783064909712007</v>
      </c>
      <c r="N72" s="40">
        <f t="shared" si="24"/>
        <v>16.46534895070765</v>
      </c>
      <c r="O72" s="40"/>
      <c r="P72" s="39">
        <f t="shared" si="25"/>
        <v>16.254026354319105</v>
      </c>
      <c r="Q72" s="39">
        <f t="shared" si="26"/>
        <v>14.676427525622087</v>
      </c>
      <c r="R72" s="39">
        <f t="shared" si="27"/>
        <v>15.206198145436773</v>
      </c>
      <c r="S72" s="39">
        <f t="shared" si="28"/>
        <v>15.219375305026709</v>
      </c>
      <c r="T72" s="39">
        <f t="shared" si="29"/>
        <v>15.376037091264122</v>
      </c>
      <c r="U72" s="39">
        <f t="shared" si="30"/>
        <v>13.288433382137644</v>
      </c>
      <c r="V72" s="39">
        <f t="shared" si="31"/>
        <v>17.069546120058696</v>
      </c>
      <c r="W72" s="39">
        <f t="shared" si="32"/>
        <v>18.345778428501642</v>
      </c>
      <c r="X72" s="39">
        <f t="shared" si="33"/>
        <v>15.582967301122689</v>
      </c>
      <c r="Y72" s="39">
        <f t="shared" si="34"/>
        <v>19.466081015129376</v>
      </c>
      <c r="Z72" s="39">
        <f t="shared" si="35"/>
        <v>17.38042947779407</v>
      </c>
      <c r="AA72" s="39">
        <f t="shared" si="36"/>
        <v>18.692044899951195</v>
      </c>
      <c r="AB72" s="38"/>
      <c r="AE72" s="15">
        <v>4.7222222222222223E-3</v>
      </c>
      <c r="AF72" s="14">
        <f t="shared" si="37"/>
        <v>408.00000000000006</v>
      </c>
      <c r="AG72" s="8">
        <v>2.0800999999999998</v>
      </c>
      <c r="AH72" s="8">
        <v>2.0638999999999998</v>
      </c>
      <c r="AI72" s="8">
        <v>2.0703</v>
      </c>
      <c r="AJ72" s="8">
        <v>2.0535999999999999</v>
      </c>
      <c r="AK72" s="8">
        <v>2.0642</v>
      </c>
      <c r="AL72" s="8">
        <v>2.052</v>
      </c>
      <c r="AM72" s="8">
        <v>2.0333000000000001</v>
      </c>
      <c r="AN72" s="8">
        <v>2.0386000000000002</v>
      </c>
      <c r="AO72" s="8">
        <v>2.0276000000000001</v>
      </c>
      <c r="AP72" s="8">
        <v>2.0396999999999998</v>
      </c>
      <c r="AQ72" s="8">
        <v>2.0484</v>
      </c>
      <c r="AR72" s="8">
        <v>2.0114999999999998</v>
      </c>
      <c r="AS72" s="8">
        <v>2.0754999999999999</v>
      </c>
      <c r="AT72" s="8">
        <v>2.0746000000000002</v>
      </c>
      <c r="AU72" s="8">
        <v>2.0878000000000001</v>
      </c>
      <c r="AV72" s="8">
        <v>2.0796000000000001</v>
      </c>
      <c r="AW72" s="8">
        <v>2.0834000000000001</v>
      </c>
      <c r="AX72" s="8">
        <v>2.0569999999999999</v>
      </c>
      <c r="AY72" s="8">
        <v>2.0697999999999999</v>
      </c>
      <c r="AZ72" s="8">
        <v>2.0672999999999999</v>
      </c>
      <c r="BA72" s="8">
        <v>2.0629</v>
      </c>
      <c r="BB72" s="8">
        <v>2.0651999999999999</v>
      </c>
      <c r="BC72" s="8">
        <v>2.0695999999999999</v>
      </c>
      <c r="BD72" s="8">
        <v>2.0375000000000001</v>
      </c>
    </row>
    <row r="73" spans="2:56" s="13" customFormat="1" x14ac:dyDescent="0.3">
      <c r="B73" s="22">
        <f t="shared" si="12"/>
        <v>416</v>
      </c>
      <c r="C73" s="40">
        <f t="shared" si="13"/>
        <v>11.487798926305469</v>
      </c>
      <c r="D73" s="40">
        <f t="shared" si="14"/>
        <v>13.030258662762446</v>
      </c>
      <c r="E73" s="40">
        <f t="shared" si="15"/>
        <v>17.212298682283972</v>
      </c>
      <c r="F73" s="40">
        <f t="shared" si="16"/>
        <v>18.908247925817566</v>
      </c>
      <c r="G73" s="40">
        <f t="shared" si="17"/>
        <v>19.895070766227398</v>
      </c>
      <c r="H73" s="40">
        <f t="shared" si="18"/>
        <v>21.41874084919484</v>
      </c>
      <c r="I73" s="40">
        <f t="shared" si="19"/>
        <v>25.476085895558857</v>
      </c>
      <c r="J73" s="40">
        <f t="shared" si="20"/>
        <v>23.775256222547434</v>
      </c>
      <c r="K73" s="40">
        <f t="shared" si="21"/>
        <v>21.024646168862937</v>
      </c>
      <c r="L73" s="40">
        <f t="shared" si="22"/>
        <v>22.748169838945806</v>
      </c>
      <c r="M73" s="40">
        <f t="shared" si="23"/>
        <v>17.490239141044398</v>
      </c>
      <c r="N73" s="40">
        <f t="shared" si="24"/>
        <v>16.611761835041349</v>
      </c>
      <c r="O73" s="40"/>
      <c r="P73" s="39">
        <f t="shared" si="25"/>
        <v>16.595656417764545</v>
      </c>
      <c r="Q73" s="39">
        <f t="shared" si="26"/>
        <v>14.383601756954477</v>
      </c>
      <c r="R73" s="39">
        <f t="shared" si="27"/>
        <v>15.987066861883951</v>
      </c>
      <c r="S73" s="39">
        <f t="shared" si="28"/>
        <v>14.584919472913445</v>
      </c>
      <c r="T73" s="39">
        <f t="shared" si="29"/>
        <v>16.352122986823041</v>
      </c>
      <c r="U73" s="39">
        <f t="shared" si="30"/>
        <v>13.581259150805254</v>
      </c>
      <c r="V73" s="39">
        <f t="shared" si="31"/>
        <v>15.995851634943909</v>
      </c>
      <c r="W73" s="39">
        <f t="shared" si="32"/>
        <v>18.199365544167726</v>
      </c>
      <c r="X73" s="39">
        <f t="shared" si="33"/>
        <v>17.339921913128567</v>
      </c>
      <c r="Y73" s="39">
        <f t="shared" si="34"/>
        <v>20.002928257686769</v>
      </c>
      <c r="Z73" s="39">
        <f t="shared" si="35"/>
        <v>17.966081015129291</v>
      </c>
      <c r="AA73" s="39">
        <f t="shared" si="36"/>
        <v>18.594436310395327</v>
      </c>
      <c r="AB73" s="38"/>
      <c r="AE73" s="15">
        <v>4.8148148148148152E-3</v>
      </c>
      <c r="AF73" s="14">
        <f t="shared" si="37"/>
        <v>416</v>
      </c>
      <c r="AG73" s="8">
        <v>2.0808</v>
      </c>
      <c r="AH73" s="8">
        <v>2.0623999999999998</v>
      </c>
      <c r="AI73" s="8">
        <v>2.0712000000000002</v>
      </c>
      <c r="AJ73" s="8">
        <v>2.0554999999999999</v>
      </c>
      <c r="AK73" s="8">
        <v>2.0636999999999999</v>
      </c>
      <c r="AL73" s="8">
        <v>2.0545</v>
      </c>
      <c r="AM73" s="8">
        <v>2.0322</v>
      </c>
      <c r="AN73" s="8">
        <v>2.0358000000000001</v>
      </c>
      <c r="AO73" s="8">
        <v>2.0272999999999999</v>
      </c>
      <c r="AP73" s="8">
        <v>2.0381</v>
      </c>
      <c r="AQ73" s="8">
        <v>2.0489999999999999</v>
      </c>
      <c r="AR73" s="8">
        <v>2.0112000000000001</v>
      </c>
      <c r="AS73" s="8">
        <v>2.0748000000000002</v>
      </c>
      <c r="AT73" s="8">
        <v>2.0752000000000002</v>
      </c>
      <c r="AU73" s="8">
        <v>2.0861999999999998</v>
      </c>
      <c r="AV73" s="8">
        <v>2.0809000000000002</v>
      </c>
      <c r="AW73" s="8">
        <v>2.0813999999999999</v>
      </c>
      <c r="AX73" s="8">
        <v>2.0564</v>
      </c>
      <c r="AY73" s="8">
        <v>2.0720000000000001</v>
      </c>
      <c r="AZ73" s="8">
        <v>2.0676000000000001</v>
      </c>
      <c r="BA73" s="8">
        <v>2.0592999999999999</v>
      </c>
      <c r="BB73" s="8">
        <v>2.0640999999999998</v>
      </c>
      <c r="BC73" s="8">
        <v>2.0684</v>
      </c>
      <c r="BD73" s="8">
        <v>2.0377000000000001</v>
      </c>
    </row>
    <row r="74" spans="2:56" s="13" customFormat="1" x14ac:dyDescent="0.3">
      <c r="B74" s="22">
        <f t="shared" si="12"/>
        <v>424</v>
      </c>
      <c r="C74" s="40">
        <f t="shared" si="13"/>
        <v>11.78062469497308</v>
      </c>
      <c r="D74" s="40">
        <f t="shared" si="14"/>
        <v>12.688628599316791</v>
      </c>
      <c r="E74" s="40">
        <f t="shared" si="15"/>
        <v>17.358711566617881</v>
      </c>
      <c r="F74" s="40">
        <f t="shared" si="16"/>
        <v>19.884333821376266</v>
      </c>
      <c r="G74" s="40">
        <f t="shared" si="17"/>
        <v>20.431918008784578</v>
      </c>
      <c r="H74" s="40">
        <f t="shared" si="18"/>
        <v>21.906783796974192</v>
      </c>
      <c r="I74" s="40">
        <f t="shared" si="19"/>
        <v>26.061737432894077</v>
      </c>
      <c r="J74" s="40">
        <f t="shared" si="20"/>
        <v>24.019277696437218</v>
      </c>
      <c r="K74" s="40">
        <f t="shared" si="21"/>
        <v>21.610297706198157</v>
      </c>
      <c r="L74" s="40">
        <f t="shared" si="22"/>
        <v>22.845778428501678</v>
      </c>
      <c r="M74" s="40">
        <f t="shared" si="23"/>
        <v>17.295021961932655</v>
      </c>
      <c r="N74" s="40">
        <f t="shared" si="24"/>
        <v>17.539043435822222</v>
      </c>
      <c r="O74" s="40"/>
      <c r="P74" s="39">
        <f t="shared" si="25"/>
        <v>16.790873596876498</v>
      </c>
      <c r="Q74" s="39">
        <f t="shared" si="26"/>
        <v>14.676427525622087</v>
      </c>
      <c r="R74" s="39">
        <f t="shared" si="27"/>
        <v>15.547828208882429</v>
      </c>
      <c r="S74" s="39">
        <f t="shared" si="28"/>
        <v>15.609809663250187</v>
      </c>
      <c r="T74" s="39">
        <f t="shared" si="29"/>
        <v>16.69375305026848</v>
      </c>
      <c r="U74" s="39">
        <f t="shared" si="30"/>
        <v>14.166910688140476</v>
      </c>
      <c r="V74" s="39">
        <f t="shared" si="31"/>
        <v>16.386285993167391</v>
      </c>
      <c r="W74" s="39">
        <f t="shared" si="32"/>
        <v>18.980234260614907</v>
      </c>
      <c r="X74" s="39">
        <f t="shared" si="33"/>
        <v>16.217423133235954</v>
      </c>
      <c r="Y74" s="39">
        <f t="shared" si="34"/>
        <v>19.954123962908724</v>
      </c>
      <c r="Z74" s="39">
        <f t="shared" si="35"/>
        <v>19.918252806246908</v>
      </c>
      <c r="AA74" s="39">
        <f t="shared" si="36"/>
        <v>19.082479258174679</v>
      </c>
      <c r="AB74" s="38"/>
      <c r="AE74" s="15">
        <v>4.9074074074074072E-3</v>
      </c>
      <c r="AF74" s="14">
        <f t="shared" si="37"/>
        <v>424</v>
      </c>
      <c r="AG74" s="8">
        <v>2.0802</v>
      </c>
      <c r="AH74" s="8">
        <v>2.0630999999999999</v>
      </c>
      <c r="AI74" s="8">
        <v>2.0709</v>
      </c>
      <c r="AJ74" s="8">
        <v>2.0535000000000001</v>
      </c>
      <c r="AK74" s="8">
        <v>2.0626000000000002</v>
      </c>
      <c r="AL74" s="8">
        <v>2.0535000000000001</v>
      </c>
      <c r="AM74" s="8">
        <v>2.0310000000000001</v>
      </c>
      <c r="AN74" s="8">
        <v>2.0352999999999999</v>
      </c>
      <c r="AO74" s="8">
        <v>2.0261</v>
      </c>
      <c r="AP74" s="8">
        <v>2.0379</v>
      </c>
      <c r="AQ74" s="8">
        <v>2.0493999999999999</v>
      </c>
      <c r="AR74" s="8">
        <v>2.0093000000000001</v>
      </c>
      <c r="AS74" s="8">
        <v>2.0743999999999998</v>
      </c>
      <c r="AT74" s="8">
        <v>2.0746000000000002</v>
      </c>
      <c r="AU74" s="8">
        <v>2.0871</v>
      </c>
      <c r="AV74" s="8">
        <v>2.0788000000000002</v>
      </c>
      <c r="AW74" s="8">
        <v>2.0807000000000002</v>
      </c>
      <c r="AX74" s="8">
        <v>2.0552000000000001</v>
      </c>
      <c r="AY74" s="8">
        <v>2.0712000000000002</v>
      </c>
      <c r="AZ74" s="8">
        <v>2.0659999999999998</v>
      </c>
      <c r="BA74" s="8">
        <v>2.0615999999999999</v>
      </c>
      <c r="BB74" s="8">
        <v>2.0642</v>
      </c>
      <c r="BC74" s="8">
        <v>2.0644</v>
      </c>
      <c r="BD74" s="8">
        <v>2.0367000000000002</v>
      </c>
    </row>
    <row r="75" spans="2:56" s="13" customFormat="1" x14ac:dyDescent="0.3">
      <c r="B75" s="22">
        <f t="shared" si="12"/>
        <v>431.99999999999994</v>
      </c>
      <c r="C75" s="40">
        <f t="shared" si="13"/>
        <v>12.17105905319656</v>
      </c>
      <c r="D75" s="40">
        <f t="shared" si="14"/>
        <v>13.176671547096142</v>
      </c>
      <c r="E75" s="40">
        <f t="shared" si="15"/>
        <v>17.895558809175277</v>
      </c>
      <c r="F75" s="40">
        <f t="shared" si="16"/>
        <v>20.518789653489531</v>
      </c>
      <c r="G75" s="40">
        <f t="shared" si="17"/>
        <v>20.090287945339139</v>
      </c>
      <c r="H75" s="40">
        <f t="shared" si="18"/>
        <v>21.906783796974192</v>
      </c>
      <c r="I75" s="40">
        <f t="shared" si="19"/>
        <v>26.549780380673646</v>
      </c>
      <c r="J75" s="40">
        <f t="shared" si="20"/>
        <v>23.482430453879822</v>
      </c>
      <c r="K75" s="40">
        <f t="shared" si="21"/>
        <v>22.293557833089249</v>
      </c>
      <c r="L75" s="40">
        <f t="shared" si="22"/>
        <v>22.357735480722326</v>
      </c>
      <c r="M75" s="40">
        <f t="shared" si="23"/>
        <v>17.783064909712007</v>
      </c>
      <c r="N75" s="40">
        <f t="shared" si="24"/>
        <v>17.00219619326483</v>
      </c>
      <c r="O75" s="40"/>
      <c r="P75" s="39">
        <f t="shared" si="25"/>
        <v>18.157393850658682</v>
      </c>
      <c r="Q75" s="39">
        <f t="shared" si="26"/>
        <v>15.408491947291221</v>
      </c>
      <c r="R75" s="39">
        <f t="shared" si="27"/>
        <v>16.328696925329389</v>
      </c>
      <c r="S75" s="39">
        <f t="shared" si="28"/>
        <v>16.049048316251714</v>
      </c>
      <c r="T75" s="39">
        <f t="shared" si="29"/>
        <v>16.352122986823041</v>
      </c>
      <c r="U75" s="39">
        <f t="shared" si="30"/>
        <v>14.459736456808086</v>
      </c>
      <c r="V75" s="39">
        <f t="shared" si="31"/>
        <v>16.679111761834999</v>
      </c>
      <c r="W75" s="39">
        <f t="shared" si="32"/>
        <v>18.980234260614907</v>
      </c>
      <c r="X75" s="39">
        <f t="shared" si="33"/>
        <v>16.75427037579313</v>
      </c>
      <c r="Y75" s="39">
        <f t="shared" si="34"/>
        <v>21.515861395802865</v>
      </c>
      <c r="Z75" s="39">
        <f t="shared" si="35"/>
        <v>18.942166910688208</v>
      </c>
      <c r="AA75" s="39">
        <f t="shared" si="36"/>
        <v>20.009760858955552</v>
      </c>
      <c r="AB75" s="38"/>
      <c r="AE75" s="15">
        <v>5.0000000000000001E-3</v>
      </c>
      <c r="AF75" s="14">
        <f t="shared" si="37"/>
        <v>431.99999999999994</v>
      </c>
      <c r="AG75" s="8">
        <v>2.0794000000000001</v>
      </c>
      <c r="AH75" s="8">
        <v>2.0621</v>
      </c>
      <c r="AI75" s="8">
        <v>2.0697999999999999</v>
      </c>
      <c r="AJ75" s="8">
        <v>2.0522</v>
      </c>
      <c r="AK75" s="8">
        <v>2.0632999999999999</v>
      </c>
      <c r="AL75" s="8">
        <v>2.0535000000000001</v>
      </c>
      <c r="AM75" s="8">
        <v>2.0299999999999998</v>
      </c>
      <c r="AN75" s="8">
        <v>2.0364</v>
      </c>
      <c r="AO75" s="8">
        <v>2.0247000000000002</v>
      </c>
      <c r="AP75" s="8">
        <v>2.0388999999999999</v>
      </c>
      <c r="AQ75" s="8">
        <v>2.0484</v>
      </c>
      <c r="AR75" s="8">
        <v>2.0104000000000002</v>
      </c>
      <c r="AS75" s="8">
        <v>2.0716000000000001</v>
      </c>
      <c r="AT75" s="8">
        <v>2.0731000000000002</v>
      </c>
      <c r="AU75" s="8">
        <v>2.0855000000000001</v>
      </c>
      <c r="AV75" s="8">
        <v>2.0779000000000001</v>
      </c>
      <c r="AW75" s="8">
        <v>2.0813999999999999</v>
      </c>
      <c r="AX75" s="8">
        <v>2.0546000000000002</v>
      </c>
      <c r="AY75" s="8">
        <v>2.0706000000000002</v>
      </c>
      <c r="AZ75" s="8">
        <v>2.0659999999999998</v>
      </c>
      <c r="BA75" s="8">
        <v>2.0605000000000002</v>
      </c>
      <c r="BB75" s="8">
        <v>2.0609999999999999</v>
      </c>
      <c r="BC75" s="8">
        <v>2.0663999999999998</v>
      </c>
      <c r="BD75" s="8">
        <v>2.0348000000000002</v>
      </c>
    </row>
    <row r="76" spans="2:56" s="13" customFormat="1" x14ac:dyDescent="0.3">
      <c r="B76" s="22">
        <f t="shared" si="12"/>
        <v>439.99999999999994</v>
      </c>
      <c r="C76" s="40">
        <f t="shared" si="13"/>
        <v>12.17105905319656</v>
      </c>
      <c r="D76" s="40">
        <f t="shared" si="14"/>
        <v>13.274280136652013</v>
      </c>
      <c r="E76" s="40">
        <f t="shared" si="15"/>
        <v>17.749145924841365</v>
      </c>
      <c r="F76" s="40">
        <f t="shared" si="16"/>
        <v>18.908247925817566</v>
      </c>
      <c r="G76" s="40">
        <f t="shared" si="17"/>
        <v>19.40702781844783</v>
      </c>
      <c r="H76" s="40">
        <f t="shared" si="18"/>
        <v>22.541239629087457</v>
      </c>
      <c r="I76" s="40">
        <f t="shared" si="19"/>
        <v>26.98901903367495</v>
      </c>
      <c r="J76" s="40">
        <f t="shared" si="20"/>
        <v>23.970473401659174</v>
      </c>
      <c r="K76" s="40">
        <f t="shared" si="21"/>
        <v>22.439970717423165</v>
      </c>
      <c r="L76" s="40">
        <f t="shared" si="22"/>
        <v>22.748169838945806</v>
      </c>
      <c r="M76" s="40">
        <f t="shared" si="23"/>
        <v>18.173499267935487</v>
      </c>
      <c r="N76" s="40">
        <f t="shared" si="24"/>
        <v>17.148609077598742</v>
      </c>
      <c r="O76" s="40"/>
      <c r="P76" s="39">
        <f t="shared" si="25"/>
        <v>17.474133723767594</v>
      </c>
      <c r="Q76" s="39">
        <f t="shared" si="26"/>
        <v>15.408491947291221</v>
      </c>
      <c r="R76" s="39">
        <f t="shared" si="27"/>
        <v>16.377501220107433</v>
      </c>
      <c r="S76" s="39">
        <f t="shared" si="28"/>
        <v>16.293069790141498</v>
      </c>
      <c r="T76" s="39">
        <f t="shared" si="29"/>
        <v>17.230600292825873</v>
      </c>
      <c r="U76" s="39">
        <f t="shared" si="30"/>
        <v>15.289409468033091</v>
      </c>
      <c r="V76" s="39">
        <f t="shared" si="31"/>
        <v>16.435090287945432</v>
      </c>
      <c r="W76" s="39">
        <f t="shared" si="32"/>
        <v>19.71229868228404</v>
      </c>
      <c r="X76" s="39">
        <f t="shared" si="33"/>
        <v>17.535139092240307</v>
      </c>
      <c r="Y76" s="39">
        <f t="shared" si="34"/>
        <v>20.881405563689601</v>
      </c>
      <c r="Z76" s="39">
        <f t="shared" si="35"/>
        <v>20.503904343582128</v>
      </c>
      <c r="AA76" s="39">
        <f t="shared" si="36"/>
        <v>19.472913616398376</v>
      </c>
      <c r="AB76" s="38"/>
      <c r="AE76" s="15">
        <v>5.0925925925925921E-3</v>
      </c>
      <c r="AF76" s="14">
        <f t="shared" si="37"/>
        <v>439.99999999999994</v>
      </c>
      <c r="AG76" s="8">
        <v>2.0794000000000001</v>
      </c>
      <c r="AH76" s="8">
        <v>2.0619000000000001</v>
      </c>
      <c r="AI76" s="8">
        <v>2.0701000000000001</v>
      </c>
      <c r="AJ76" s="8">
        <v>2.0554999999999999</v>
      </c>
      <c r="AK76" s="8">
        <v>2.0647000000000002</v>
      </c>
      <c r="AL76" s="8">
        <v>2.0522</v>
      </c>
      <c r="AM76" s="8">
        <v>2.0291000000000001</v>
      </c>
      <c r="AN76" s="8">
        <v>2.0354000000000001</v>
      </c>
      <c r="AO76" s="8">
        <v>2.0244</v>
      </c>
      <c r="AP76" s="8">
        <v>2.0381</v>
      </c>
      <c r="AQ76" s="8">
        <v>2.0476000000000001</v>
      </c>
      <c r="AR76" s="8">
        <v>2.0101</v>
      </c>
      <c r="AS76" s="8">
        <v>2.073</v>
      </c>
      <c r="AT76" s="8">
        <v>2.0731000000000002</v>
      </c>
      <c r="AU76" s="8">
        <v>2.0853999999999999</v>
      </c>
      <c r="AV76" s="8">
        <v>2.0773999999999999</v>
      </c>
      <c r="AW76" s="8">
        <v>2.0796000000000001</v>
      </c>
      <c r="AX76" s="8">
        <v>2.0529000000000002</v>
      </c>
      <c r="AY76" s="8">
        <v>2.0710999999999999</v>
      </c>
      <c r="AZ76" s="8">
        <v>2.0644999999999998</v>
      </c>
      <c r="BA76" s="8">
        <v>2.0589</v>
      </c>
      <c r="BB76" s="8">
        <v>2.0623</v>
      </c>
      <c r="BC76" s="8">
        <v>2.0632000000000001</v>
      </c>
      <c r="BD76" s="8">
        <v>2.0358999999999998</v>
      </c>
    </row>
    <row r="77" spans="2:56" s="13" customFormat="1" x14ac:dyDescent="0.3">
      <c r="B77" s="22">
        <f t="shared" si="12"/>
        <v>448</v>
      </c>
      <c r="C77" s="40">
        <f t="shared" si="13"/>
        <v>11.731820400195252</v>
      </c>
      <c r="D77" s="40">
        <f t="shared" si="14"/>
        <v>13.518301610541796</v>
      </c>
      <c r="E77" s="40">
        <f t="shared" si="15"/>
        <v>17.944363103953105</v>
      </c>
      <c r="F77" s="40">
        <f t="shared" si="16"/>
        <v>19.68911664226453</v>
      </c>
      <c r="G77" s="40">
        <f t="shared" si="17"/>
        <v>20.383113714006747</v>
      </c>
      <c r="H77" s="40">
        <f t="shared" si="18"/>
        <v>22.931673987310937</v>
      </c>
      <c r="I77" s="40">
        <f t="shared" si="19"/>
        <v>27.037823328452994</v>
      </c>
      <c r="J77" s="40">
        <f t="shared" si="20"/>
        <v>23.287213274768082</v>
      </c>
      <c r="K77" s="40">
        <f t="shared" si="21"/>
        <v>21.903123474865769</v>
      </c>
      <c r="L77" s="40">
        <f t="shared" si="22"/>
        <v>23.626647144948638</v>
      </c>
      <c r="M77" s="40">
        <f t="shared" si="23"/>
        <v>18.515129331381139</v>
      </c>
      <c r="N77" s="40">
        <f t="shared" si="24"/>
        <v>16.416544655929606</v>
      </c>
      <c r="O77" s="40"/>
      <c r="P77" s="39">
        <f t="shared" si="25"/>
        <v>17.620546608101289</v>
      </c>
      <c r="Q77" s="39">
        <f t="shared" si="26"/>
        <v>15.847730600292744</v>
      </c>
      <c r="R77" s="39">
        <f t="shared" si="27"/>
        <v>16.963152757442653</v>
      </c>
      <c r="S77" s="39">
        <f t="shared" si="28"/>
        <v>16.58589555880911</v>
      </c>
      <c r="T77" s="39">
        <f t="shared" si="29"/>
        <v>17.084187408492173</v>
      </c>
      <c r="U77" s="39">
        <f t="shared" si="30"/>
        <v>14.459736456808086</v>
      </c>
      <c r="V77" s="39">
        <f t="shared" si="31"/>
        <v>16.87432894094696</v>
      </c>
      <c r="W77" s="39">
        <f t="shared" si="32"/>
        <v>20.151537335285347</v>
      </c>
      <c r="X77" s="39">
        <f t="shared" si="33"/>
        <v>17.486334797462263</v>
      </c>
      <c r="Y77" s="39">
        <f t="shared" si="34"/>
        <v>20.393362615910249</v>
      </c>
      <c r="Z77" s="39">
        <f t="shared" si="35"/>
        <v>19.967057101024952</v>
      </c>
      <c r="AA77" s="39">
        <f t="shared" si="36"/>
        <v>19.863347974621853</v>
      </c>
      <c r="AB77" s="38"/>
      <c r="AE77" s="15">
        <v>5.185185185185185E-3</v>
      </c>
      <c r="AF77" s="14">
        <f t="shared" si="37"/>
        <v>448</v>
      </c>
      <c r="AG77" s="8">
        <v>2.0802999999999998</v>
      </c>
      <c r="AH77" s="8">
        <v>2.0613999999999999</v>
      </c>
      <c r="AI77" s="8">
        <v>2.0697000000000001</v>
      </c>
      <c r="AJ77" s="8">
        <v>2.0539000000000001</v>
      </c>
      <c r="AK77" s="8">
        <v>2.0627</v>
      </c>
      <c r="AL77" s="8">
        <v>2.0514000000000001</v>
      </c>
      <c r="AM77" s="8">
        <v>2.0289999999999999</v>
      </c>
      <c r="AN77" s="8">
        <v>2.0367999999999999</v>
      </c>
      <c r="AO77" s="8">
        <v>2.0255000000000001</v>
      </c>
      <c r="AP77" s="8">
        <v>2.0363000000000002</v>
      </c>
      <c r="AQ77" s="8">
        <v>2.0468999999999999</v>
      </c>
      <c r="AR77" s="8">
        <v>2.0116000000000001</v>
      </c>
      <c r="AS77" s="8">
        <v>2.0727000000000002</v>
      </c>
      <c r="AT77" s="8">
        <v>2.0722</v>
      </c>
      <c r="AU77" s="8">
        <v>2.0842000000000001</v>
      </c>
      <c r="AV77" s="8">
        <v>2.0768</v>
      </c>
      <c r="AW77" s="8">
        <v>2.0798999999999999</v>
      </c>
      <c r="AX77" s="8">
        <v>2.0546000000000002</v>
      </c>
      <c r="AY77" s="8">
        <v>2.0701999999999998</v>
      </c>
      <c r="AZ77" s="8">
        <v>2.0636000000000001</v>
      </c>
      <c r="BA77" s="8">
        <v>2.0590000000000002</v>
      </c>
      <c r="BB77" s="8">
        <v>2.0632999999999999</v>
      </c>
      <c r="BC77" s="8">
        <v>2.0642999999999998</v>
      </c>
      <c r="BD77" s="8">
        <v>2.0350999999999999</v>
      </c>
    </row>
    <row r="78" spans="2:56" s="13" customFormat="1" x14ac:dyDescent="0.3">
      <c r="B78" s="22">
        <f t="shared" si="12"/>
        <v>455.99999999999994</v>
      </c>
      <c r="C78" s="40">
        <f t="shared" si="13"/>
        <v>12.805514885309826</v>
      </c>
      <c r="D78" s="40">
        <f t="shared" si="14"/>
        <v>13.469497315763753</v>
      </c>
      <c r="E78" s="40">
        <f t="shared" si="15"/>
        <v>18.627623230844414</v>
      </c>
      <c r="F78" s="40">
        <f t="shared" si="16"/>
        <v>20.518789653489531</v>
      </c>
      <c r="G78" s="40">
        <f t="shared" si="17"/>
        <v>19.895070766227398</v>
      </c>
      <c r="H78" s="40">
        <f t="shared" si="18"/>
        <v>23.029282576866809</v>
      </c>
      <c r="I78" s="40">
        <f t="shared" si="19"/>
        <v>28.013909224011698</v>
      </c>
      <c r="J78" s="40">
        <f t="shared" si="20"/>
        <v>24.214494875548954</v>
      </c>
      <c r="K78" s="40">
        <f t="shared" si="21"/>
        <v>22.586383601757078</v>
      </c>
      <c r="L78" s="40">
        <f t="shared" si="22"/>
        <v>24.261102977061903</v>
      </c>
      <c r="M78" s="40">
        <f t="shared" si="23"/>
        <v>18.807955100048751</v>
      </c>
      <c r="N78" s="40">
        <f t="shared" si="24"/>
        <v>18.368716447047227</v>
      </c>
      <c r="O78" s="40"/>
      <c r="P78" s="39">
        <f t="shared" si="25"/>
        <v>17.766959492435202</v>
      </c>
      <c r="Q78" s="39">
        <f t="shared" si="26"/>
        <v>16.140556368960354</v>
      </c>
      <c r="R78" s="39">
        <f t="shared" si="27"/>
        <v>17.109565641776566</v>
      </c>
      <c r="S78" s="39">
        <f t="shared" si="28"/>
        <v>16.683504148364978</v>
      </c>
      <c r="T78" s="39">
        <f t="shared" si="29"/>
        <v>19.036359199609795</v>
      </c>
      <c r="U78" s="39">
        <f t="shared" si="30"/>
        <v>15.094192288921349</v>
      </c>
      <c r="V78" s="39">
        <f t="shared" si="31"/>
        <v>16.971937530502828</v>
      </c>
      <c r="W78" s="39">
        <f t="shared" si="32"/>
        <v>20.053928745729475</v>
      </c>
      <c r="X78" s="39">
        <f t="shared" si="33"/>
        <v>17.779160566130091</v>
      </c>
      <c r="Y78" s="39">
        <f t="shared" si="34"/>
        <v>21.613469985358734</v>
      </c>
      <c r="Z78" s="39">
        <f t="shared" si="35"/>
        <v>20.503904343582128</v>
      </c>
      <c r="AA78" s="39">
        <f t="shared" si="36"/>
        <v>20.351390922401205</v>
      </c>
      <c r="AB78" s="38"/>
      <c r="AE78" s="15">
        <v>5.2777777777777771E-3</v>
      </c>
      <c r="AF78" s="14">
        <f t="shared" si="37"/>
        <v>455.99999999999994</v>
      </c>
      <c r="AG78" s="8">
        <v>2.0781000000000001</v>
      </c>
      <c r="AH78" s="8">
        <v>2.0615000000000001</v>
      </c>
      <c r="AI78" s="8">
        <v>2.0682999999999998</v>
      </c>
      <c r="AJ78" s="8">
        <v>2.0522</v>
      </c>
      <c r="AK78" s="8">
        <v>2.0636999999999999</v>
      </c>
      <c r="AL78" s="8">
        <v>2.0512000000000001</v>
      </c>
      <c r="AM78" s="8">
        <v>2.0270000000000001</v>
      </c>
      <c r="AN78" s="8">
        <v>2.0348999999999999</v>
      </c>
      <c r="AO78" s="8">
        <v>2.0240999999999998</v>
      </c>
      <c r="AP78" s="8">
        <v>2.0350000000000001</v>
      </c>
      <c r="AQ78" s="8">
        <v>2.0463</v>
      </c>
      <c r="AR78" s="8">
        <v>2.0076000000000001</v>
      </c>
      <c r="AS78" s="8">
        <v>2.0724</v>
      </c>
      <c r="AT78" s="8">
        <v>2.0716000000000001</v>
      </c>
      <c r="AU78" s="8">
        <v>2.0838999999999999</v>
      </c>
      <c r="AV78" s="8">
        <v>2.0766</v>
      </c>
      <c r="AW78" s="8">
        <v>2.0758999999999999</v>
      </c>
      <c r="AX78" s="8">
        <v>2.0533000000000001</v>
      </c>
      <c r="AY78" s="8">
        <v>2.0699999999999998</v>
      </c>
      <c r="AZ78" s="8">
        <v>2.0638000000000001</v>
      </c>
      <c r="BA78" s="8">
        <v>2.0583999999999998</v>
      </c>
      <c r="BB78" s="8">
        <v>2.0608</v>
      </c>
      <c r="BC78" s="8">
        <v>2.0632000000000001</v>
      </c>
      <c r="BD78" s="8">
        <v>2.0341</v>
      </c>
    </row>
    <row r="79" spans="2:56" s="13" customFormat="1" x14ac:dyDescent="0.3">
      <c r="B79" s="22">
        <f t="shared" si="12"/>
        <v>464</v>
      </c>
      <c r="C79" s="40">
        <f t="shared" si="13"/>
        <v>12.366276232308302</v>
      </c>
      <c r="D79" s="40">
        <f t="shared" si="14"/>
        <v>13.420693020985926</v>
      </c>
      <c r="E79" s="40">
        <f t="shared" si="15"/>
        <v>18.090775988287017</v>
      </c>
      <c r="F79" s="40">
        <f t="shared" si="16"/>
        <v>19.445095168374962</v>
      </c>
      <c r="G79" s="40">
        <f t="shared" si="17"/>
        <v>20.236700829672838</v>
      </c>
      <c r="H79" s="40">
        <f t="shared" si="18"/>
        <v>22.199609565641804</v>
      </c>
      <c r="I79" s="40">
        <f t="shared" si="19"/>
        <v>28.648365056124963</v>
      </c>
      <c r="J79" s="40">
        <f t="shared" si="20"/>
        <v>24.409712054660698</v>
      </c>
      <c r="K79" s="40">
        <f t="shared" si="21"/>
        <v>23.318448023425994</v>
      </c>
      <c r="L79" s="40">
        <f t="shared" si="22"/>
        <v>24.456320156173643</v>
      </c>
      <c r="M79" s="40">
        <f t="shared" si="23"/>
        <v>19.10078086871636</v>
      </c>
      <c r="N79" s="40">
        <f t="shared" si="24"/>
        <v>17.539043435822222</v>
      </c>
      <c r="O79" s="40"/>
      <c r="P79" s="39">
        <f t="shared" si="25"/>
        <v>18.010980966324983</v>
      </c>
      <c r="Q79" s="39">
        <f t="shared" si="26"/>
        <v>16.579795021961878</v>
      </c>
      <c r="R79" s="39">
        <f t="shared" si="27"/>
        <v>17.255978526110265</v>
      </c>
      <c r="S79" s="39">
        <f t="shared" si="28"/>
        <v>17.025134211810631</v>
      </c>
      <c r="T79" s="39">
        <f t="shared" si="29"/>
        <v>18.889946315275882</v>
      </c>
      <c r="U79" s="39">
        <f t="shared" si="30"/>
        <v>15.679843826256787</v>
      </c>
      <c r="V79" s="39">
        <f t="shared" si="31"/>
        <v>18.338457784285012</v>
      </c>
      <c r="W79" s="39">
        <f t="shared" si="32"/>
        <v>19.761102977061864</v>
      </c>
      <c r="X79" s="39">
        <f t="shared" si="33"/>
        <v>18.071986334797703</v>
      </c>
      <c r="Y79" s="39">
        <f t="shared" si="34"/>
        <v>21.808687164470477</v>
      </c>
      <c r="Z79" s="39">
        <f t="shared" si="35"/>
        <v>20.79673011224974</v>
      </c>
      <c r="AA79" s="39">
        <f t="shared" si="36"/>
        <v>20.302586627623381</v>
      </c>
      <c r="AB79" s="38"/>
      <c r="AE79" s="15">
        <v>5.37037037037037E-3</v>
      </c>
      <c r="AF79" s="14">
        <f t="shared" si="37"/>
        <v>464</v>
      </c>
      <c r="AG79" s="8">
        <v>2.0790000000000002</v>
      </c>
      <c r="AH79" s="8">
        <v>2.0615999999999999</v>
      </c>
      <c r="AI79" s="8">
        <v>2.0693999999999999</v>
      </c>
      <c r="AJ79" s="8">
        <v>2.0543999999999998</v>
      </c>
      <c r="AK79" s="8">
        <v>2.0630000000000002</v>
      </c>
      <c r="AL79" s="8">
        <v>2.0529000000000002</v>
      </c>
      <c r="AM79" s="8">
        <v>2.0257000000000001</v>
      </c>
      <c r="AN79" s="8">
        <v>2.0345</v>
      </c>
      <c r="AO79" s="8">
        <v>2.0226000000000002</v>
      </c>
      <c r="AP79" s="8">
        <v>2.0346000000000002</v>
      </c>
      <c r="AQ79" s="8">
        <v>2.0457000000000001</v>
      </c>
      <c r="AR79" s="8">
        <v>2.0093000000000001</v>
      </c>
      <c r="AS79" s="8">
        <v>2.0718999999999999</v>
      </c>
      <c r="AT79" s="8">
        <v>2.0707</v>
      </c>
      <c r="AU79" s="8">
        <v>2.0836000000000001</v>
      </c>
      <c r="AV79" s="8">
        <v>2.0758999999999999</v>
      </c>
      <c r="AW79" s="8">
        <v>2.0762</v>
      </c>
      <c r="AX79" s="8">
        <v>2.0520999999999998</v>
      </c>
      <c r="AY79" s="8">
        <v>2.0672000000000001</v>
      </c>
      <c r="AZ79" s="8">
        <v>2.0644</v>
      </c>
      <c r="BA79" s="8">
        <v>2.0577999999999999</v>
      </c>
      <c r="BB79" s="8">
        <v>2.0604</v>
      </c>
      <c r="BC79" s="8">
        <v>2.0626000000000002</v>
      </c>
      <c r="BD79" s="8">
        <v>2.0341999999999998</v>
      </c>
    </row>
    <row r="80" spans="2:56" s="13" customFormat="1" x14ac:dyDescent="0.3">
      <c r="B80" s="22">
        <f t="shared" si="12"/>
        <v>472</v>
      </c>
      <c r="C80" s="40">
        <f t="shared" si="13"/>
        <v>12.756710590531998</v>
      </c>
      <c r="D80" s="40">
        <f t="shared" si="14"/>
        <v>14.299170326988758</v>
      </c>
      <c r="E80" s="40">
        <f t="shared" si="15"/>
        <v>18.237188872620713</v>
      </c>
      <c r="F80" s="40">
        <f t="shared" si="16"/>
        <v>20.421181063933663</v>
      </c>
      <c r="G80" s="40">
        <f t="shared" si="17"/>
        <v>20.18789653489501</v>
      </c>
      <c r="H80" s="40">
        <f t="shared" si="18"/>
        <v>23.46852122986833</v>
      </c>
      <c r="I80" s="40">
        <f t="shared" si="19"/>
        <v>29.575646656905835</v>
      </c>
      <c r="J80" s="40">
        <f t="shared" si="20"/>
        <v>25.48340653977527</v>
      </c>
      <c r="K80" s="40">
        <f t="shared" si="21"/>
        <v>23.806490971205562</v>
      </c>
      <c r="L80" s="40">
        <f t="shared" si="22"/>
        <v>24.261102977061903</v>
      </c>
      <c r="M80" s="40">
        <f t="shared" si="23"/>
        <v>19.295998047828103</v>
      </c>
      <c r="N80" s="40">
        <f t="shared" si="24"/>
        <v>17.636652025378091</v>
      </c>
      <c r="O80" s="40"/>
      <c r="P80" s="39">
        <f t="shared" si="25"/>
        <v>18.157393850658682</v>
      </c>
      <c r="Q80" s="39">
        <f t="shared" si="26"/>
        <v>16.433382137627966</v>
      </c>
      <c r="R80" s="39">
        <f t="shared" si="27"/>
        <v>17.402391410444178</v>
      </c>
      <c r="S80" s="39">
        <f t="shared" si="28"/>
        <v>18.050024402147379</v>
      </c>
      <c r="T80" s="39">
        <f t="shared" si="29"/>
        <v>18.01146900927305</v>
      </c>
      <c r="U80" s="39">
        <f t="shared" si="30"/>
        <v>15.484626647144829</v>
      </c>
      <c r="V80" s="39">
        <f t="shared" si="31"/>
        <v>17.313567593948264</v>
      </c>
      <c r="W80" s="39">
        <f t="shared" si="32"/>
        <v>20.590775988286868</v>
      </c>
      <c r="X80" s="39">
        <f t="shared" si="33"/>
        <v>18.267203513909443</v>
      </c>
      <c r="Y80" s="39">
        <f t="shared" si="34"/>
        <v>22.296730112249829</v>
      </c>
      <c r="Z80" s="39">
        <f t="shared" si="35"/>
        <v>20.747925817471913</v>
      </c>
      <c r="AA80" s="39">
        <f t="shared" si="36"/>
        <v>21.766715470961433</v>
      </c>
      <c r="AB80" s="38"/>
      <c r="AE80" s="15">
        <v>5.4629629629629637E-3</v>
      </c>
      <c r="AF80" s="14">
        <f t="shared" si="37"/>
        <v>472</v>
      </c>
      <c r="AG80" s="8">
        <v>2.0781999999999998</v>
      </c>
      <c r="AH80" s="8">
        <v>2.0598000000000001</v>
      </c>
      <c r="AI80" s="8">
        <v>2.0691000000000002</v>
      </c>
      <c r="AJ80" s="8">
        <v>2.0524</v>
      </c>
      <c r="AK80" s="8">
        <v>2.0630999999999999</v>
      </c>
      <c r="AL80" s="8">
        <v>2.0503</v>
      </c>
      <c r="AM80" s="8">
        <v>2.0238</v>
      </c>
      <c r="AN80" s="8">
        <v>2.0323000000000002</v>
      </c>
      <c r="AO80" s="8">
        <v>2.0215999999999998</v>
      </c>
      <c r="AP80" s="8">
        <v>2.0350000000000001</v>
      </c>
      <c r="AQ80" s="8">
        <v>2.0453000000000001</v>
      </c>
      <c r="AR80" s="8">
        <v>2.0091000000000001</v>
      </c>
      <c r="AS80" s="8">
        <v>2.0716000000000001</v>
      </c>
      <c r="AT80" s="8">
        <v>2.0710000000000002</v>
      </c>
      <c r="AU80" s="8">
        <v>2.0832999999999999</v>
      </c>
      <c r="AV80" s="8">
        <v>2.0737999999999999</v>
      </c>
      <c r="AW80" s="8">
        <v>2.0779999999999998</v>
      </c>
      <c r="AX80" s="8">
        <v>2.0525000000000002</v>
      </c>
      <c r="AY80" s="8">
        <v>2.0693000000000001</v>
      </c>
      <c r="AZ80" s="8">
        <v>2.0627</v>
      </c>
      <c r="BA80" s="8">
        <v>2.0573999999999999</v>
      </c>
      <c r="BB80" s="8">
        <v>2.0594000000000001</v>
      </c>
      <c r="BC80" s="8">
        <v>2.0627</v>
      </c>
      <c r="BD80" s="8">
        <v>2.0312000000000001</v>
      </c>
    </row>
    <row r="81" spans="2:56" s="13" customFormat="1" x14ac:dyDescent="0.3">
      <c r="B81" s="22">
        <f t="shared" si="12"/>
        <v>480</v>
      </c>
      <c r="C81" s="40">
        <f t="shared" si="13"/>
        <v>12.415080527086344</v>
      </c>
      <c r="D81" s="40">
        <f t="shared" si="14"/>
        <v>14.591996095656368</v>
      </c>
      <c r="E81" s="40">
        <f t="shared" si="15"/>
        <v>18.090775988287017</v>
      </c>
      <c r="F81" s="40">
        <f t="shared" si="16"/>
        <v>19.786725231820398</v>
      </c>
      <c r="G81" s="40">
        <f t="shared" si="17"/>
        <v>21.261591020009579</v>
      </c>
      <c r="H81" s="40">
        <f t="shared" si="18"/>
        <v>22.882869692533109</v>
      </c>
      <c r="I81" s="40">
        <f t="shared" si="19"/>
        <v>29.087603709126483</v>
      </c>
      <c r="J81" s="40">
        <f t="shared" si="20"/>
        <v>25.629819424109183</v>
      </c>
      <c r="K81" s="40">
        <f t="shared" si="21"/>
        <v>23.85529526598339</v>
      </c>
      <c r="L81" s="40">
        <f t="shared" si="22"/>
        <v>24.749145924841471</v>
      </c>
      <c r="M81" s="40">
        <f t="shared" si="23"/>
        <v>19.686432406051583</v>
      </c>
      <c r="N81" s="40">
        <f t="shared" si="24"/>
        <v>18.222303562713531</v>
      </c>
      <c r="O81" s="40"/>
      <c r="P81" s="39">
        <f t="shared" si="25"/>
        <v>18.987066861883687</v>
      </c>
      <c r="Q81" s="39">
        <f t="shared" si="26"/>
        <v>16.335773548072094</v>
      </c>
      <c r="R81" s="39">
        <f t="shared" si="27"/>
        <v>17.646412884333746</v>
      </c>
      <c r="S81" s="39">
        <f t="shared" si="28"/>
        <v>17.903611517813463</v>
      </c>
      <c r="T81" s="39">
        <f t="shared" si="29"/>
        <v>18.938750610053923</v>
      </c>
      <c r="U81" s="39">
        <f t="shared" si="30"/>
        <v>15.582235236700917</v>
      </c>
      <c r="V81" s="39">
        <f t="shared" si="31"/>
        <v>18.582479258174793</v>
      </c>
      <c r="W81" s="39">
        <f t="shared" si="32"/>
        <v>20.834797462176653</v>
      </c>
      <c r="X81" s="39">
        <f t="shared" si="33"/>
        <v>18.804050756466836</v>
      </c>
      <c r="Y81" s="39">
        <f t="shared" si="34"/>
        <v>22.052708638360262</v>
      </c>
      <c r="Z81" s="39">
        <f t="shared" si="35"/>
        <v>20.601512933138004</v>
      </c>
      <c r="AA81" s="39">
        <f t="shared" si="36"/>
        <v>21.620302586627734</v>
      </c>
      <c r="AB81" s="38"/>
      <c r="AE81" s="15">
        <v>5.5555555555555558E-3</v>
      </c>
      <c r="AF81" s="14">
        <f t="shared" si="37"/>
        <v>480</v>
      </c>
      <c r="AG81" s="8">
        <v>2.0789</v>
      </c>
      <c r="AH81" s="8">
        <v>2.0592000000000001</v>
      </c>
      <c r="AI81" s="8">
        <v>2.0693999999999999</v>
      </c>
      <c r="AJ81" s="8">
        <v>2.0537000000000001</v>
      </c>
      <c r="AK81" s="8">
        <v>2.0609000000000002</v>
      </c>
      <c r="AL81" s="8">
        <v>2.0514999999999999</v>
      </c>
      <c r="AM81" s="8">
        <v>2.0247999999999999</v>
      </c>
      <c r="AN81" s="8">
        <v>2.032</v>
      </c>
      <c r="AO81" s="8">
        <v>2.0215000000000001</v>
      </c>
      <c r="AP81" s="8">
        <v>2.0339999999999998</v>
      </c>
      <c r="AQ81" s="8">
        <v>2.0445000000000002</v>
      </c>
      <c r="AR81" s="8">
        <v>2.0078999999999998</v>
      </c>
      <c r="AS81" s="8">
        <v>2.0699000000000001</v>
      </c>
      <c r="AT81" s="8">
        <v>2.0712000000000002</v>
      </c>
      <c r="AU81" s="8">
        <v>2.0828000000000002</v>
      </c>
      <c r="AV81" s="8">
        <v>2.0741000000000001</v>
      </c>
      <c r="AW81" s="8">
        <v>2.0760999999999998</v>
      </c>
      <c r="AX81" s="8">
        <v>2.0522999999999998</v>
      </c>
      <c r="AY81" s="8">
        <v>2.0667</v>
      </c>
      <c r="AZ81" s="8">
        <v>2.0621999999999998</v>
      </c>
      <c r="BA81" s="8">
        <v>2.0562999999999998</v>
      </c>
      <c r="BB81" s="8">
        <v>2.0598999999999998</v>
      </c>
      <c r="BC81" s="8">
        <v>2.0630000000000002</v>
      </c>
      <c r="BD81" s="8">
        <v>2.0314999999999999</v>
      </c>
    </row>
    <row r="82" spans="2:56" s="13" customFormat="1" x14ac:dyDescent="0.3">
      <c r="B82" s="22">
        <f t="shared" si="12"/>
        <v>488</v>
      </c>
      <c r="C82" s="40">
        <f t="shared" si="13"/>
        <v>13.195949243533304</v>
      </c>
      <c r="D82" s="40">
        <f t="shared" si="14"/>
        <v>14.201561737432888</v>
      </c>
      <c r="E82" s="40">
        <f t="shared" si="15"/>
        <v>18.578818936066369</v>
      </c>
      <c r="F82" s="40">
        <f t="shared" si="16"/>
        <v>20.372376769155618</v>
      </c>
      <c r="G82" s="40">
        <f t="shared" si="17"/>
        <v>20.578330893118491</v>
      </c>
      <c r="H82" s="40">
        <f t="shared" si="18"/>
        <v>23.370912640312461</v>
      </c>
      <c r="I82" s="40">
        <f t="shared" si="19"/>
        <v>28.941190824792571</v>
      </c>
      <c r="J82" s="40">
        <f t="shared" si="20"/>
        <v>25.678623718887224</v>
      </c>
      <c r="K82" s="40">
        <f t="shared" si="21"/>
        <v>24.636163982430567</v>
      </c>
      <c r="L82" s="40">
        <f t="shared" si="22"/>
        <v>24.993167398731039</v>
      </c>
      <c r="M82" s="40">
        <f t="shared" si="23"/>
        <v>20.27208394338702</v>
      </c>
      <c r="N82" s="40">
        <f t="shared" si="24"/>
        <v>19.10078086871636</v>
      </c>
      <c r="O82" s="40"/>
      <c r="P82" s="39">
        <f t="shared" si="25"/>
        <v>19.182284040995427</v>
      </c>
      <c r="Q82" s="39">
        <f t="shared" si="26"/>
        <v>16.530990727183838</v>
      </c>
      <c r="R82" s="39">
        <f t="shared" si="27"/>
        <v>19.305758906783755</v>
      </c>
      <c r="S82" s="39">
        <f t="shared" si="28"/>
        <v>18.342850170814987</v>
      </c>
      <c r="T82" s="39">
        <f t="shared" si="29"/>
        <v>17.865056124939137</v>
      </c>
      <c r="U82" s="39">
        <f t="shared" si="30"/>
        <v>15.777452415812656</v>
      </c>
      <c r="V82" s="39">
        <f t="shared" si="31"/>
        <v>19.119326500732186</v>
      </c>
      <c r="W82" s="39">
        <f t="shared" si="32"/>
        <v>21.030014641288396</v>
      </c>
      <c r="X82" s="39">
        <f t="shared" si="33"/>
        <v>18.950463640800532</v>
      </c>
      <c r="Y82" s="39">
        <f t="shared" si="34"/>
        <v>22.15031722791613</v>
      </c>
      <c r="Z82" s="39">
        <f t="shared" si="35"/>
        <v>21.675207418252789</v>
      </c>
      <c r="AA82" s="39">
        <f t="shared" si="36"/>
        <v>22.059541239629041</v>
      </c>
      <c r="AB82" s="38"/>
      <c r="AE82" s="15">
        <v>5.6481481481481478E-3</v>
      </c>
      <c r="AF82" s="14">
        <f t="shared" si="37"/>
        <v>488</v>
      </c>
      <c r="AG82" s="8">
        <v>2.0773000000000001</v>
      </c>
      <c r="AH82" s="8">
        <v>2.06</v>
      </c>
      <c r="AI82" s="8">
        <v>2.0684</v>
      </c>
      <c r="AJ82" s="8">
        <v>2.0525000000000002</v>
      </c>
      <c r="AK82" s="8">
        <v>2.0623</v>
      </c>
      <c r="AL82" s="8">
        <v>2.0505</v>
      </c>
      <c r="AM82" s="8">
        <v>2.0251000000000001</v>
      </c>
      <c r="AN82" s="8">
        <v>2.0318999999999998</v>
      </c>
      <c r="AO82" s="8">
        <v>2.0198999999999998</v>
      </c>
      <c r="AP82" s="8">
        <v>2.0335000000000001</v>
      </c>
      <c r="AQ82" s="8">
        <v>2.0432999999999999</v>
      </c>
      <c r="AR82" s="8">
        <v>2.0061</v>
      </c>
      <c r="AS82" s="8">
        <v>2.0695000000000001</v>
      </c>
      <c r="AT82" s="8">
        <v>2.0708000000000002</v>
      </c>
      <c r="AU82" s="8">
        <v>2.0794000000000001</v>
      </c>
      <c r="AV82" s="8">
        <v>2.0731999999999999</v>
      </c>
      <c r="AW82" s="8">
        <v>2.0783</v>
      </c>
      <c r="AX82" s="8">
        <v>2.0518999999999998</v>
      </c>
      <c r="AY82" s="8">
        <v>2.0655999999999999</v>
      </c>
      <c r="AZ82" s="8">
        <v>2.0617999999999999</v>
      </c>
      <c r="BA82" s="8">
        <v>2.056</v>
      </c>
      <c r="BB82" s="8">
        <v>2.0596999999999999</v>
      </c>
      <c r="BC82" s="8">
        <v>2.0608</v>
      </c>
      <c r="BD82" s="8">
        <v>2.0306000000000002</v>
      </c>
    </row>
    <row r="83" spans="2:56" s="13" customFormat="1" x14ac:dyDescent="0.3">
      <c r="B83" s="22">
        <f t="shared" si="12"/>
        <v>496.00000000000006</v>
      </c>
      <c r="C83" s="40">
        <f t="shared" si="13"/>
        <v>13.000732064421564</v>
      </c>
      <c r="D83" s="40">
        <f t="shared" si="14"/>
        <v>14.201561737432888</v>
      </c>
      <c r="E83" s="40">
        <f t="shared" si="15"/>
        <v>18.383601756954629</v>
      </c>
      <c r="F83" s="40">
        <f t="shared" si="16"/>
        <v>20.421181063933663</v>
      </c>
      <c r="G83" s="40">
        <f t="shared" si="17"/>
        <v>19.943875061005226</v>
      </c>
      <c r="H83" s="40">
        <f t="shared" si="18"/>
        <v>22.736456808199197</v>
      </c>
      <c r="I83" s="40">
        <f t="shared" si="19"/>
        <v>30.112493899463232</v>
      </c>
      <c r="J83" s="40">
        <f t="shared" si="20"/>
        <v>26.361883845778319</v>
      </c>
      <c r="K83" s="40">
        <f t="shared" si="21"/>
        <v>23.952903855539258</v>
      </c>
      <c r="L83" s="40">
        <f t="shared" si="22"/>
        <v>25.627623230844303</v>
      </c>
      <c r="M83" s="40">
        <f t="shared" si="23"/>
        <v>20.07686676427528</v>
      </c>
      <c r="N83" s="40">
        <f t="shared" si="24"/>
        <v>19.10078086871636</v>
      </c>
      <c r="O83" s="40"/>
      <c r="P83" s="39">
        <f t="shared" si="25"/>
        <v>19.816739873108695</v>
      </c>
      <c r="Q83" s="39">
        <f t="shared" si="26"/>
        <v>17.116642264519275</v>
      </c>
      <c r="R83" s="39">
        <f t="shared" si="27"/>
        <v>18.280868716447007</v>
      </c>
      <c r="S83" s="39">
        <f t="shared" si="28"/>
        <v>18.538067349926727</v>
      </c>
      <c r="T83" s="39">
        <f t="shared" si="29"/>
        <v>18.401903367496534</v>
      </c>
      <c r="U83" s="39">
        <f t="shared" si="30"/>
        <v>16.85114690092723</v>
      </c>
      <c r="V83" s="39">
        <f t="shared" si="31"/>
        <v>18.924109321620449</v>
      </c>
      <c r="W83" s="39">
        <f t="shared" si="32"/>
        <v>21.371644704733832</v>
      </c>
      <c r="X83" s="39">
        <f t="shared" si="33"/>
        <v>19.731332357247712</v>
      </c>
      <c r="Y83" s="39">
        <f t="shared" si="34"/>
        <v>22.589555880917437</v>
      </c>
      <c r="Z83" s="39">
        <f t="shared" si="35"/>
        <v>22.114446071254314</v>
      </c>
      <c r="AA83" s="39">
        <f t="shared" si="36"/>
        <v>21.717911176183605</v>
      </c>
      <c r="AB83" s="38"/>
      <c r="AE83" s="15">
        <v>5.7407407407407416E-3</v>
      </c>
      <c r="AF83" s="14">
        <f t="shared" si="37"/>
        <v>496.00000000000006</v>
      </c>
      <c r="AG83" s="8">
        <v>2.0777000000000001</v>
      </c>
      <c r="AH83" s="8">
        <v>2.06</v>
      </c>
      <c r="AI83" s="8">
        <v>2.0688</v>
      </c>
      <c r="AJ83" s="8">
        <v>2.0524</v>
      </c>
      <c r="AK83" s="8">
        <v>2.0636000000000001</v>
      </c>
      <c r="AL83" s="8">
        <v>2.0518000000000001</v>
      </c>
      <c r="AM83" s="8">
        <v>2.0226999999999999</v>
      </c>
      <c r="AN83" s="8">
        <v>2.0305</v>
      </c>
      <c r="AO83" s="8">
        <v>2.0213000000000001</v>
      </c>
      <c r="AP83" s="8">
        <v>2.0322</v>
      </c>
      <c r="AQ83" s="8">
        <v>2.0436999999999999</v>
      </c>
      <c r="AR83" s="8">
        <v>2.0061</v>
      </c>
      <c r="AS83" s="8">
        <v>2.0682</v>
      </c>
      <c r="AT83" s="8">
        <v>2.0695999999999999</v>
      </c>
      <c r="AU83" s="8">
        <v>2.0815000000000001</v>
      </c>
      <c r="AV83" s="8">
        <v>2.0728</v>
      </c>
      <c r="AW83" s="8">
        <v>2.0771999999999999</v>
      </c>
      <c r="AX83" s="8">
        <v>2.0497000000000001</v>
      </c>
      <c r="AY83" s="8">
        <v>2.0659999999999998</v>
      </c>
      <c r="AZ83" s="8">
        <v>2.0611000000000002</v>
      </c>
      <c r="BA83" s="8">
        <v>2.0543999999999998</v>
      </c>
      <c r="BB83" s="8">
        <v>2.0588000000000002</v>
      </c>
      <c r="BC83" s="8">
        <v>2.0598999999999998</v>
      </c>
      <c r="BD83" s="8">
        <v>2.0312999999999999</v>
      </c>
    </row>
    <row r="84" spans="2:56" s="13" customFormat="1" x14ac:dyDescent="0.3">
      <c r="B84" s="22">
        <f t="shared" ref="B84:B147" si="38">AF84</f>
        <v>504</v>
      </c>
      <c r="C84" s="40">
        <f t="shared" si="13"/>
        <v>12.854319180087868</v>
      </c>
      <c r="D84" s="40">
        <f t="shared" si="14"/>
        <v>14.201561737432888</v>
      </c>
      <c r="E84" s="40">
        <f t="shared" si="15"/>
        <v>18.432406051732457</v>
      </c>
      <c r="F84" s="40">
        <f t="shared" si="16"/>
        <v>20.762811127379315</v>
      </c>
      <c r="G84" s="40">
        <f t="shared" si="17"/>
        <v>20.578330893118491</v>
      </c>
      <c r="H84" s="40">
        <f t="shared" si="18"/>
        <v>23.761346998535942</v>
      </c>
      <c r="I84" s="40">
        <f t="shared" si="19"/>
        <v>30.99097120546606</v>
      </c>
      <c r="J84" s="40">
        <f t="shared" si="20"/>
        <v>26.703513909223972</v>
      </c>
      <c r="K84" s="40">
        <f t="shared" si="21"/>
        <v>25.709858467545139</v>
      </c>
      <c r="L84" s="40">
        <f t="shared" si="22"/>
        <v>25.578818936066259</v>
      </c>
      <c r="M84" s="40">
        <f t="shared" si="23"/>
        <v>20.808931185944413</v>
      </c>
      <c r="N84" s="40">
        <f t="shared" si="24"/>
        <v>19.003172279160491</v>
      </c>
      <c r="O84" s="40"/>
      <c r="P84" s="39">
        <f t="shared" si="25"/>
        <v>18.889458272327815</v>
      </c>
      <c r="Q84" s="39">
        <f t="shared" si="26"/>
        <v>17.799902391410367</v>
      </c>
      <c r="R84" s="39">
        <f t="shared" si="27"/>
        <v>18.573694485114618</v>
      </c>
      <c r="S84" s="39">
        <f t="shared" si="28"/>
        <v>18.391654465592815</v>
      </c>
      <c r="T84" s="39">
        <f t="shared" si="29"/>
        <v>18.987554904831754</v>
      </c>
      <c r="U84" s="39">
        <f t="shared" si="30"/>
        <v>16.509516837481794</v>
      </c>
      <c r="V84" s="39">
        <f t="shared" si="31"/>
        <v>18.728892142508705</v>
      </c>
      <c r="W84" s="39">
        <f t="shared" si="32"/>
        <v>21.859687652513401</v>
      </c>
      <c r="X84" s="39">
        <f t="shared" si="33"/>
        <v>19.633723767691627</v>
      </c>
      <c r="Y84" s="39">
        <f t="shared" si="34"/>
        <v>23.077598828697003</v>
      </c>
      <c r="Z84" s="39">
        <f t="shared" si="35"/>
        <v>22.944119082479318</v>
      </c>
      <c r="AA84" s="39">
        <f t="shared" si="36"/>
        <v>22.059541239629041</v>
      </c>
      <c r="AB84" s="38"/>
      <c r="AE84" s="15">
        <v>5.8333333333333336E-3</v>
      </c>
      <c r="AF84" s="14">
        <f t="shared" si="37"/>
        <v>504</v>
      </c>
      <c r="AG84" s="8">
        <v>2.0779999999999998</v>
      </c>
      <c r="AH84" s="8">
        <v>2.06</v>
      </c>
      <c r="AI84" s="8">
        <v>2.0687000000000002</v>
      </c>
      <c r="AJ84" s="8">
        <v>2.0516999999999999</v>
      </c>
      <c r="AK84" s="8">
        <v>2.0623</v>
      </c>
      <c r="AL84" s="8">
        <v>2.0497000000000001</v>
      </c>
      <c r="AM84" s="8">
        <v>2.0209000000000001</v>
      </c>
      <c r="AN84" s="8">
        <v>2.0297999999999998</v>
      </c>
      <c r="AO84" s="8">
        <v>2.0177</v>
      </c>
      <c r="AP84" s="8">
        <v>2.0323000000000002</v>
      </c>
      <c r="AQ84" s="8">
        <v>2.0421999999999998</v>
      </c>
      <c r="AR84" s="8">
        <v>2.0063</v>
      </c>
      <c r="AS84" s="8">
        <v>2.0701000000000001</v>
      </c>
      <c r="AT84" s="8">
        <v>2.0682</v>
      </c>
      <c r="AU84" s="8">
        <v>2.0809000000000002</v>
      </c>
      <c r="AV84" s="8">
        <v>2.0731000000000002</v>
      </c>
      <c r="AW84" s="8">
        <v>2.0760000000000001</v>
      </c>
      <c r="AX84" s="8">
        <v>2.0503999999999998</v>
      </c>
      <c r="AY84" s="8">
        <v>2.0663999999999998</v>
      </c>
      <c r="AZ84" s="8">
        <v>2.0600999999999998</v>
      </c>
      <c r="BA84" s="8">
        <v>2.0546000000000002</v>
      </c>
      <c r="BB84" s="8">
        <v>2.0577999999999999</v>
      </c>
      <c r="BC84" s="8">
        <v>2.0581999999999998</v>
      </c>
      <c r="BD84" s="8">
        <v>2.0306000000000002</v>
      </c>
    </row>
    <row r="85" spans="2:56" s="13" customFormat="1" x14ac:dyDescent="0.3">
      <c r="B85" s="22">
        <f t="shared" si="38"/>
        <v>512</v>
      </c>
      <c r="C85" s="40">
        <f t="shared" ref="C85:C148" si="39">((C$9-AG85-($A$5*$A$9*((C$3/10^6)-((C$3/10^6)*EXP(-1*$A$11*$B85)))))/(($A$5+$A$7)*$A$9))*10^6</f>
        <v>14.269643728648095</v>
      </c>
      <c r="D85" s="40">
        <f t="shared" ref="D85:D148" si="40">((D$9-AH85-($A$5*$A$9*((D$3/10^6)-((D$3/10^6)*EXP(-1*$A$11*$B85)))))/(($A$5+$A$7)*$A$9))*10^6</f>
        <v>14.299170326988758</v>
      </c>
      <c r="E85" s="40">
        <f t="shared" ref="E85:E148" si="41">((E$9-AI85-($A$5*$A$9*((E$3/10^6)-((E$3/10^6)*EXP(-1*$A$11*$B85)))))/(($A$5+$A$7)*$A$9))*10^6</f>
        <v>18.676427525622241</v>
      </c>
      <c r="F85" s="40">
        <f t="shared" ref="F85:F148" si="42">((F$9-AJ85-($A$5*$A$9*((F$3/10^6)-((F$3/10^6)*EXP(-1*$A$11*$B85)))))/(($A$5+$A$7)*$A$9))*10^6</f>
        <v>21.299658369936495</v>
      </c>
      <c r="G85" s="40">
        <f t="shared" ref="G85:G148" si="43">((G$9-AK85-($A$5*$A$9*((G$3/10^6)-((G$3/10^6)*EXP(-1*$A$11*$B85)))))/(($A$5+$A$7)*$A$9))*10^6</f>
        <v>20.236700829672838</v>
      </c>
      <c r="H85" s="40">
        <f t="shared" ref="H85:H148" si="44">((H$9-AL85-($A$5*$A$9*((H$3/10^6)-((H$3/10^6)*EXP(-1*$A$11*$B85)))))/(($A$5+$A$7)*$A$9))*10^6</f>
        <v>23.322108345534421</v>
      </c>
      <c r="I85" s="40">
        <f t="shared" ref="I85:I148" si="45">((I$9-AM85-($A$5*$A$9*((I$3/10^6)-((I$3/10^6)*EXP(-1*$A$11*$B85)))))/(($A$5+$A$7)*$A$9))*10^6</f>
        <v>31.234992679355845</v>
      </c>
      <c r="J85" s="40">
        <f t="shared" ref="J85:J148" si="46">((J$9-AN85-($A$5*$A$9*((J$3/10^6)-((J$3/10^6)*EXP(-1*$A$11*$B85)))))/(($A$5+$A$7)*$A$9))*10^6</f>
        <v>26.752318204001796</v>
      </c>
      <c r="K85" s="40">
        <f t="shared" ref="K85:K148" si="47">((K$9-AO85-($A$5*$A$9*((K$3/10^6)-((K$3/10^6)*EXP(-1*$A$11*$B85)))))/(($A$5+$A$7)*$A$9))*10^6</f>
        <v>25.563445583211443</v>
      </c>
      <c r="L85" s="40">
        <f t="shared" ref="L85:L148" si="48">((L$9-AP85-($A$5*$A$9*((L$3/10^6)-((L$3/10^6)*EXP(-1*$A$11*$B85)))))/(($A$5+$A$7)*$A$9))*10^6</f>
        <v>25.676427525622344</v>
      </c>
      <c r="M85" s="40">
        <f t="shared" ref="M85:M148" si="49">((M$9-AQ85-($A$5*$A$9*((M$3/10^6)-((M$3/10^6)*EXP(-1*$A$11*$B85)))))/(($A$5+$A$7)*$A$9))*10^6</f>
        <v>20.369692532942892</v>
      </c>
      <c r="N85" s="40">
        <f t="shared" ref="N85:N148" si="50">((N$9-AR85-($A$5*$A$9*((N$3/10^6)-((N$3/10^6)*EXP(-1*$A$11*$B85)))))/(($A$5+$A$7)*$A$9))*10^6</f>
        <v>19.198389458272235</v>
      </c>
      <c r="O85" s="40"/>
      <c r="P85" s="39">
        <f t="shared" ref="P85:P148" si="51">((P$9-AS85-($A$5*$A$9*((P$3/10^6)-((P$3/10^6)*EXP(-1*$A$13*$B85)))))/(($A$5+$A$7)*$A$9))*10^6</f>
        <v>19.767935578330864</v>
      </c>
      <c r="Q85" s="39">
        <f t="shared" ref="Q85:Q148" si="52">((Q$9-AT85-($A$5*$A$9*((Q$3/10^6)-((Q$3/10^6)*EXP(-1*$A$13*$B85)))))/(($A$5+$A$7)*$A$9))*10^6</f>
        <v>17.946315275744279</v>
      </c>
      <c r="R85" s="39">
        <f t="shared" ref="R85:R148" si="53">((R$9-AU85-($A$5*$A$9*((R$3/10^6)-((R$3/10^6)*EXP(-1*$A$13*$B85)))))/(($A$5+$A$7)*$A$9))*10^6</f>
        <v>19.061737432894187</v>
      </c>
      <c r="S85" s="39">
        <f t="shared" ref="S85:S148" si="54">((S$9-AV85-($A$5*$A$9*((S$3/10^6)-((S$3/10^6)*EXP(-1*$A$13*$B85)))))/(($A$5+$A$7)*$A$9))*10^6</f>
        <v>18.684480234260644</v>
      </c>
      <c r="T85" s="39">
        <f t="shared" ref="T85:T148" si="55">((T$9-AW85-($A$5*$A$9*((T$3/10^6)-((T$3/10^6)*EXP(-1*$A$13*$B85)))))/(($A$5+$A$7)*$A$9))*10^6</f>
        <v>18.694729136164142</v>
      </c>
      <c r="U85" s="39">
        <f t="shared" ref="U85:U148" si="56">((U$9-AX85-($A$5*$A$9*((U$3/10^6)-((U$3/10^6)*EXP(-1*$A$13*$B85)))))/(($A$5+$A$7)*$A$9))*10^6</f>
        <v>16.509516837481794</v>
      </c>
      <c r="V85" s="39">
        <f t="shared" ref="V85:V148" si="57">((V$9-AY85-($A$5*$A$9*((V$3/10^6)-((V$3/10^6)*EXP(-1*$A$13*$B85)))))/(($A$5+$A$7)*$A$9))*10^6</f>
        <v>18.094436310395444</v>
      </c>
      <c r="W85" s="39">
        <f t="shared" ref="W85:W148" si="58">((W$9-AZ85-($A$5*$A$9*((W$3/10^6)-((W$3/10^6)*EXP(-1*$A$13*$B85)))))/(($A$5+$A$7)*$A$9))*10^6</f>
        <v>21.4692532942897</v>
      </c>
      <c r="X85" s="39">
        <f t="shared" ref="X85:X148" si="59">((X$9-BA85-($A$5*$A$9*((X$3/10^6)-((X$3/10^6)*EXP(-1*$A$13*$B85)))))/(($A$5+$A$7)*$A$9))*10^6</f>
        <v>20.17057101024902</v>
      </c>
      <c r="Y85" s="39">
        <f t="shared" ref="Y85:Y148" si="60">((Y$9-BB85-($A$5*$A$9*((Y$3/10^6)-((Y$3/10^6)*EXP(-1*$A$13*$B85)))))/(($A$5+$A$7)*$A$9))*10^6</f>
        <v>23.419228892142439</v>
      </c>
      <c r="Z85" s="39">
        <f t="shared" ref="Z85:Z148" si="61">((Z$9-BC85-($A$5*$A$9*((Z$3/10^6)-((Z$3/10^6)*EXP(-1*$A$13*$B85)))))/(($A$5+$A$7)*$A$9))*10^6</f>
        <v>22.651293313811493</v>
      </c>
      <c r="AA85" s="39">
        <f t="shared" ref="AA85:AA148" si="62">((AA$9-BD85-($A$5*$A$9*((AA$3/10^6)-((AA$3/10^6)*EXP(-1*$A$13*$B85)))))/(($A$5+$A$7)*$A$9))*10^6</f>
        <v>22.74280136652035</v>
      </c>
      <c r="AB85" s="38"/>
      <c r="AE85" s="15">
        <v>5.9259259259259256E-3</v>
      </c>
      <c r="AF85" s="14">
        <f t="shared" si="37"/>
        <v>512</v>
      </c>
      <c r="AG85" s="8">
        <v>2.0750999999999999</v>
      </c>
      <c r="AH85" s="8">
        <v>2.0598000000000001</v>
      </c>
      <c r="AI85" s="8">
        <v>2.0682</v>
      </c>
      <c r="AJ85" s="8">
        <v>2.0506000000000002</v>
      </c>
      <c r="AK85" s="8">
        <v>2.0630000000000002</v>
      </c>
      <c r="AL85" s="8">
        <v>2.0506000000000002</v>
      </c>
      <c r="AM85" s="8">
        <v>2.0204</v>
      </c>
      <c r="AN85" s="8">
        <v>2.0297000000000001</v>
      </c>
      <c r="AO85" s="8">
        <v>2.0179999999999998</v>
      </c>
      <c r="AP85" s="8">
        <v>2.0320999999999998</v>
      </c>
      <c r="AQ85" s="8">
        <v>2.0430999999999999</v>
      </c>
      <c r="AR85" s="8">
        <v>2.0059</v>
      </c>
      <c r="AS85" s="8">
        <v>2.0682999999999998</v>
      </c>
      <c r="AT85" s="8">
        <v>2.0678999999999998</v>
      </c>
      <c r="AU85" s="8">
        <v>2.0798999999999999</v>
      </c>
      <c r="AV85" s="8">
        <v>2.0724999999999998</v>
      </c>
      <c r="AW85" s="8">
        <v>2.0766</v>
      </c>
      <c r="AX85" s="8">
        <v>2.0503999999999998</v>
      </c>
      <c r="AY85" s="8">
        <v>2.0676999999999999</v>
      </c>
      <c r="AZ85" s="8">
        <v>2.0609000000000002</v>
      </c>
      <c r="BA85" s="8">
        <v>2.0535000000000001</v>
      </c>
      <c r="BB85" s="8">
        <v>2.0571000000000002</v>
      </c>
      <c r="BC85" s="8">
        <v>2.0588000000000002</v>
      </c>
      <c r="BD85" s="8">
        <v>2.0291999999999999</v>
      </c>
    </row>
    <row r="86" spans="2:56" s="13" customFormat="1" x14ac:dyDescent="0.3">
      <c r="B86" s="22">
        <f t="shared" si="38"/>
        <v>520</v>
      </c>
      <c r="C86" s="40">
        <f t="shared" si="39"/>
        <v>14.611273792093748</v>
      </c>
      <c r="D86" s="40">
        <f t="shared" si="40"/>
        <v>15.568081991215287</v>
      </c>
      <c r="E86" s="40">
        <f t="shared" si="41"/>
        <v>19.213274768179634</v>
      </c>
      <c r="F86" s="40">
        <f t="shared" si="42"/>
        <v>21.153245485602799</v>
      </c>
      <c r="G86" s="40">
        <f t="shared" si="43"/>
        <v>21.163982430453711</v>
      </c>
      <c r="H86" s="40">
        <f t="shared" si="44"/>
        <v>23.517325524646374</v>
      </c>
      <c r="I86" s="40">
        <f t="shared" si="45"/>
        <v>31.186188384577804</v>
      </c>
      <c r="J86" s="40">
        <f t="shared" si="46"/>
        <v>27.777208394338544</v>
      </c>
      <c r="K86" s="40">
        <f t="shared" si="47"/>
        <v>26.734748657881887</v>
      </c>
      <c r="L86" s="40">
        <f t="shared" si="48"/>
        <v>25.43240605173256</v>
      </c>
      <c r="M86" s="40">
        <f t="shared" si="49"/>
        <v>21.248169838945724</v>
      </c>
      <c r="N86" s="40">
        <f t="shared" si="50"/>
        <v>19.344802342606144</v>
      </c>
      <c r="O86" s="40"/>
      <c r="P86" s="39">
        <f t="shared" si="51"/>
        <v>20.402391410443915</v>
      </c>
      <c r="Q86" s="39">
        <f t="shared" si="52"/>
        <v>17.604685212298623</v>
      </c>
      <c r="R86" s="39">
        <f t="shared" si="53"/>
        <v>19.110541727672015</v>
      </c>
      <c r="S86" s="39">
        <f t="shared" si="54"/>
        <v>18.245241581259116</v>
      </c>
      <c r="T86" s="39">
        <f t="shared" si="55"/>
        <v>19.670815031722842</v>
      </c>
      <c r="U86" s="39">
        <f t="shared" si="56"/>
        <v>16.997559785261142</v>
      </c>
      <c r="V86" s="39">
        <f t="shared" si="57"/>
        <v>19.070522205954145</v>
      </c>
      <c r="W86" s="39">
        <f t="shared" si="58"/>
        <v>21.908491947291228</v>
      </c>
      <c r="X86" s="39">
        <f t="shared" si="59"/>
        <v>20.463396778916632</v>
      </c>
      <c r="Y86" s="39">
        <f t="shared" si="60"/>
        <v>23.32162030258657</v>
      </c>
      <c r="Z86" s="39">
        <f t="shared" si="61"/>
        <v>22.260858955588009</v>
      </c>
      <c r="AA86" s="39">
        <f t="shared" si="62"/>
        <v>22.547584187408606</v>
      </c>
      <c r="AB86" s="38"/>
      <c r="AE86" s="15">
        <v>6.0185185185185177E-3</v>
      </c>
      <c r="AF86" s="14">
        <f t="shared" ref="AF86:AF149" si="63">AE86*24*60*60</f>
        <v>520</v>
      </c>
      <c r="AG86" s="8">
        <v>2.0743999999999998</v>
      </c>
      <c r="AH86" s="8">
        <v>2.0571999999999999</v>
      </c>
      <c r="AI86" s="8">
        <v>2.0670999999999999</v>
      </c>
      <c r="AJ86" s="8">
        <v>2.0508999999999999</v>
      </c>
      <c r="AK86" s="8">
        <v>2.0611000000000002</v>
      </c>
      <c r="AL86" s="8">
        <v>2.0501999999999998</v>
      </c>
      <c r="AM86" s="8">
        <v>2.0205000000000002</v>
      </c>
      <c r="AN86" s="8">
        <v>2.0276000000000001</v>
      </c>
      <c r="AO86" s="8">
        <v>2.0156000000000001</v>
      </c>
      <c r="AP86" s="8">
        <v>2.0326</v>
      </c>
      <c r="AQ86" s="8">
        <v>2.0413000000000001</v>
      </c>
      <c r="AR86" s="8">
        <v>2.0055999999999998</v>
      </c>
      <c r="AS86" s="8">
        <v>2.0670000000000002</v>
      </c>
      <c r="AT86" s="8">
        <v>2.0686</v>
      </c>
      <c r="AU86" s="8">
        <v>2.0798000000000001</v>
      </c>
      <c r="AV86" s="8">
        <v>2.0733999999999999</v>
      </c>
      <c r="AW86" s="8">
        <v>2.0746000000000002</v>
      </c>
      <c r="AX86" s="8">
        <v>2.0493999999999999</v>
      </c>
      <c r="AY86" s="8">
        <v>2.0657000000000001</v>
      </c>
      <c r="AZ86" s="8">
        <v>2.06</v>
      </c>
      <c r="BA86" s="8">
        <v>2.0529000000000002</v>
      </c>
      <c r="BB86" s="8">
        <v>2.0573000000000001</v>
      </c>
      <c r="BC86" s="8">
        <v>2.0596000000000001</v>
      </c>
      <c r="BD86" s="8">
        <v>2.0295999999999998</v>
      </c>
    </row>
    <row r="87" spans="2:56" s="13" customFormat="1" x14ac:dyDescent="0.3">
      <c r="B87" s="22">
        <f t="shared" si="38"/>
        <v>528</v>
      </c>
      <c r="C87" s="40">
        <f t="shared" si="39"/>
        <v>13.879209370424613</v>
      </c>
      <c r="D87" s="40">
        <f t="shared" si="40"/>
        <v>14.591996095656368</v>
      </c>
      <c r="E87" s="40">
        <f t="shared" si="41"/>
        <v>19.066861883845718</v>
      </c>
      <c r="F87" s="40">
        <f t="shared" si="42"/>
        <v>21.104441190824751</v>
      </c>
      <c r="G87" s="40">
        <f t="shared" si="43"/>
        <v>21.749633967789148</v>
      </c>
      <c r="H87" s="40">
        <f t="shared" si="44"/>
        <v>23.46852122986833</v>
      </c>
      <c r="I87" s="40">
        <f t="shared" si="45"/>
        <v>32.113469985358677</v>
      </c>
      <c r="J87" s="40">
        <f t="shared" si="46"/>
        <v>27.972425573450284</v>
      </c>
      <c r="K87" s="40">
        <f t="shared" si="47"/>
        <v>26.832357247437756</v>
      </c>
      <c r="L87" s="40">
        <f t="shared" si="48"/>
        <v>27.091752074182573</v>
      </c>
      <c r="M87" s="40">
        <f t="shared" si="49"/>
        <v>21.150561249389852</v>
      </c>
      <c r="N87" s="40">
        <f t="shared" si="50"/>
        <v>19.686432406051583</v>
      </c>
      <c r="O87" s="40"/>
      <c r="P87" s="39">
        <f t="shared" si="51"/>
        <v>20.158369936554347</v>
      </c>
      <c r="Q87" s="39">
        <f t="shared" si="52"/>
        <v>17.799902391410367</v>
      </c>
      <c r="R87" s="39">
        <f t="shared" si="53"/>
        <v>19.549780380673539</v>
      </c>
      <c r="S87" s="39">
        <f t="shared" si="54"/>
        <v>18.830893118594336</v>
      </c>
      <c r="T87" s="39">
        <f t="shared" si="55"/>
        <v>19.377989263055234</v>
      </c>
      <c r="U87" s="39">
        <f t="shared" si="56"/>
        <v>17.143972669594838</v>
      </c>
      <c r="V87" s="39">
        <f t="shared" si="57"/>
        <v>18.924109321620449</v>
      </c>
      <c r="W87" s="39">
        <f t="shared" si="58"/>
        <v>22.640556368960361</v>
      </c>
      <c r="X87" s="39">
        <f t="shared" si="59"/>
        <v>21.049048316252069</v>
      </c>
      <c r="Y87" s="39">
        <f t="shared" si="60"/>
        <v>23.907271839922007</v>
      </c>
      <c r="Z87" s="39">
        <f t="shared" si="61"/>
        <v>22.45607613469975</v>
      </c>
      <c r="AA87" s="39">
        <f t="shared" si="62"/>
        <v>22.791605661298174</v>
      </c>
      <c r="AB87" s="38"/>
      <c r="AE87" s="15">
        <v>6.1111111111111114E-3</v>
      </c>
      <c r="AF87" s="14">
        <f t="shared" si="63"/>
        <v>528</v>
      </c>
      <c r="AG87" s="8">
        <v>2.0758999999999999</v>
      </c>
      <c r="AH87" s="8">
        <v>2.0592000000000001</v>
      </c>
      <c r="AI87" s="8">
        <v>2.0674000000000001</v>
      </c>
      <c r="AJ87" s="8">
        <v>2.0510000000000002</v>
      </c>
      <c r="AK87" s="8">
        <v>2.0598999999999998</v>
      </c>
      <c r="AL87" s="8">
        <v>2.0503</v>
      </c>
      <c r="AM87" s="8">
        <v>2.0186000000000002</v>
      </c>
      <c r="AN87" s="8">
        <v>2.0272000000000001</v>
      </c>
      <c r="AO87" s="8">
        <v>2.0154000000000001</v>
      </c>
      <c r="AP87" s="8">
        <v>2.0291999999999999</v>
      </c>
      <c r="AQ87" s="8">
        <v>2.0415000000000001</v>
      </c>
      <c r="AR87" s="8">
        <v>2.0049000000000001</v>
      </c>
      <c r="AS87" s="8">
        <v>2.0674999999999999</v>
      </c>
      <c r="AT87" s="8">
        <v>2.0682</v>
      </c>
      <c r="AU87" s="8">
        <v>2.0789</v>
      </c>
      <c r="AV87" s="8">
        <v>2.0722</v>
      </c>
      <c r="AW87" s="8">
        <v>2.0752000000000002</v>
      </c>
      <c r="AX87" s="8">
        <v>2.0491000000000001</v>
      </c>
      <c r="AY87" s="8">
        <v>2.0659999999999998</v>
      </c>
      <c r="AZ87" s="8">
        <v>2.0585</v>
      </c>
      <c r="BA87" s="8">
        <v>2.0516999999999999</v>
      </c>
      <c r="BB87" s="8">
        <v>2.0560999999999998</v>
      </c>
      <c r="BC87" s="8">
        <v>2.0592000000000001</v>
      </c>
      <c r="BD87" s="8">
        <v>2.0291000000000001</v>
      </c>
    </row>
    <row r="88" spans="2:56" s="13" customFormat="1" x14ac:dyDescent="0.3">
      <c r="B88" s="22">
        <f t="shared" si="38"/>
        <v>536</v>
      </c>
      <c r="C88" s="40">
        <f t="shared" si="39"/>
        <v>14.025622254758311</v>
      </c>
      <c r="D88" s="40">
        <f t="shared" si="40"/>
        <v>13.664714494875492</v>
      </c>
      <c r="E88" s="40">
        <f t="shared" si="41"/>
        <v>19.35968765251333</v>
      </c>
      <c r="F88" s="40">
        <f t="shared" si="42"/>
        <v>21.641288433382147</v>
      </c>
      <c r="G88" s="40">
        <f t="shared" si="43"/>
        <v>21.212786725231755</v>
      </c>
      <c r="H88" s="40">
        <f t="shared" si="44"/>
        <v>22.590043923865501</v>
      </c>
      <c r="I88" s="40">
        <f t="shared" si="45"/>
        <v>32.552708638360201</v>
      </c>
      <c r="J88" s="40">
        <f t="shared" si="46"/>
        <v>28.411664226451808</v>
      </c>
      <c r="K88" s="40">
        <f t="shared" si="47"/>
        <v>26.441922889214275</v>
      </c>
      <c r="L88" s="40">
        <f t="shared" si="48"/>
        <v>26.798926305514961</v>
      </c>
      <c r="M88" s="40">
        <f t="shared" si="49"/>
        <v>22.32186432406051</v>
      </c>
      <c r="N88" s="40">
        <f t="shared" si="50"/>
        <v>20.125671059053108</v>
      </c>
      <c r="O88" s="40"/>
      <c r="P88" s="39">
        <f t="shared" si="51"/>
        <v>19.767935578330864</v>
      </c>
      <c r="Q88" s="39">
        <f t="shared" si="52"/>
        <v>18.239141044411891</v>
      </c>
      <c r="R88" s="39">
        <f t="shared" si="53"/>
        <v>19.549780380673539</v>
      </c>
      <c r="S88" s="39">
        <f t="shared" si="54"/>
        <v>18.830893118594336</v>
      </c>
      <c r="T88" s="39">
        <f t="shared" si="55"/>
        <v>19.622010736945018</v>
      </c>
      <c r="U88" s="39">
        <f t="shared" si="56"/>
        <v>17.143972669594838</v>
      </c>
      <c r="V88" s="39">
        <f t="shared" si="57"/>
        <v>19.314543679843929</v>
      </c>
      <c r="W88" s="39">
        <f t="shared" si="58"/>
        <v>22.542947779404489</v>
      </c>
      <c r="X88" s="39">
        <f t="shared" si="59"/>
        <v>21.683504148365333</v>
      </c>
      <c r="Y88" s="39">
        <f t="shared" si="60"/>
        <v>23.614446071254182</v>
      </c>
      <c r="Z88" s="39">
        <f t="shared" si="61"/>
        <v>23.139336261591058</v>
      </c>
      <c r="AA88" s="39">
        <f t="shared" si="62"/>
        <v>23.670082967301223</v>
      </c>
      <c r="AB88" s="38"/>
      <c r="AE88" s="15">
        <v>6.2037037037037043E-3</v>
      </c>
      <c r="AF88" s="14">
        <f t="shared" si="63"/>
        <v>536</v>
      </c>
      <c r="AG88" s="8">
        <v>2.0756000000000001</v>
      </c>
      <c r="AH88" s="8">
        <v>2.0611000000000002</v>
      </c>
      <c r="AI88" s="8">
        <v>2.0668000000000002</v>
      </c>
      <c r="AJ88" s="8">
        <v>2.0499000000000001</v>
      </c>
      <c r="AK88" s="8">
        <v>2.0609999999999999</v>
      </c>
      <c r="AL88" s="8">
        <v>2.0520999999999998</v>
      </c>
      <c r="AM88" s="8">
        <v>2.0177</v>
      </c>
      <c r="AN88" s="8">
        <v>2.0263</v>
      </c>
      <c r="AO88" s="8">
        <v>2.0162</v>
      </c>
      <c r="AP88" s="8">
        <v>2.0297999999999998</v>
      </c>
      <c r="AQ88" s="8">
        <v>2.0390999999999999</v>
      </c>
      <c r="AR88" s="8">
        <v>2.004</v>
      </c>
      <c r="AS88" s="8">
        <v>2.0682999999999998</v>
      </c>
      <c r="AT88" s="8">
        <v>2.0672999999999999</v>
      </c>
      <c r="AU88" s="8">
        <v>2.0789</v>
      </c>
      <c r="AV88" s="8">
        <v>2.0722</v>
      </c>
      <c r="AW88" s="8">
        <v>2.0747</v>
      </c>
      <c r="AX88" s="8">
        <v>2.0491000000000001</v>
      </c>
      <c r="AY88" s="8">
        <v>2.0651999999999999</v>
      </c>
      <c r="AZ88" s="8">
        <v>2.0587</v>
      </c>
      <c r="BA88" s="8">
        <v>2.0503999999999998</v>
      </c>
      <c r="BB88" s="8">
        <v>2.0567000000000002</v>
      </c>
      <c r="BC88" s="8">
        <v>2.0577999999999999</v>
      </c>
      <c r="BD88" s="8">
        <v>2.0272999999999999</v>
      </c>
    </row>
    <row r="89" spans="2:56" s="13" customFormat="1" x14ac:dyDescent="0.3">
      <c r="B89" s="22">
        <f t="shared" si="38"/>
        <v>544</v>
      </c>
      <c r="C89" s="40">
        <f t="shared" si="39"/>
        <v>14.123230844314181</v>
      </c>
      <c r="D89" s="40">
        <f t="shared" si="40"/>
        <v>14.982430453880065</v>
      </c>
      <c r="E89" s="40">
        <f t="shared" si="41"/>
        <v>19.652513421181158</v>
      </c>
      <c r="F89" s="40">
        <f t="shared" si="42"/>
        <v>21.202049780380623</v>
      </c>
      <c r="G89" s="40">
        <f t="shared" si="43"/>
        <v>22.04245973645676</v>
      </c>
      <c r="H89" s="40">
        <f t="shared" si="44"/>
        <v>23.907759882869858</v>
      </c>
      <c r="I89" s="40">
        <f t="shared" si="45"/>
        <v>32.845534407027813</v>
      </c>
      <c r="J89" s="40">
        <f t="shared" si="46"/>
        <v>28.314055636895937</v>
      </c>
      <c r="K89" s="40">
        <f t="shared" si="47"/>
        <v>26.832357247437756</v>
      </c>
      <c r="L89" s="40">
        <f t="shared" si="48"/>
        <v>26.603709126403221</v>
      </c>
      <c r="M89" s="40">
        <f t="shared" si="49"/>
        <v>21.687408491947245</v>
      </c>
      <c r="N89" s="40">
        <f t="shared" si="50"/>
        <v>20.076866764275064</v>
      </c>
      <c r="O89" s="40"/>
      <c r="P89" s="39">
        <f t="shared" si="51"/>
        <v>20.69521717911174</v>
      </c>
      <c r="Q89" s="39">
        <f t="shared" si="52"/>
        <v>18.141532454856019</v>
      </c>
      <c r="R89" s="39">
        <f t="shared" si="53"/>
        <v>19.549780380673539</v>
      </c>
      <c r="S89" s="39">
        <f t="shared" si="54"/>
        <v>19.22132747681782</v>
      </c>
      <c r="T89" s="39">
        <f t="shared" si="55"/>
        <v>19.719619326500887</v>
      </c>
      <c r="U89" s="39">
        <f t="shared" si="56"/>
        <v>17.729624206930279</v>
      </c>
      <c r="V89" s="39">
        <f t="shared" si="57"/>
        <v>20.48584675451437</v>
      </c>
      <c r="W89" s="39">
        <f t="shared" si="58"/>
        <v>22.933382137627969</v>
      </c>
      <c r="X89" s="39">
        <f t="shared" si="59"/>
        <v>21.293069790141633</v>
      </c>
      <c r="Y89" s="39">
        <f t="shared" si="60"/>
        <v>23.956076134699835</v>
      </c>
      <c r="Z89" s="39">
        <f t="shared" si="61"/>
        <v>22.944119082479318</v>
      </c>
      <c r="AA89" s="39">
        <f t="shared" si="62"/>
        <v>23.572474377745355</v>
      </c>
      <c r="AB89" s="38"/>
      <c r="AE89" s="15">
        <v>6.2962962962962964E-3</v>
      </c>
      <c r="AF89" s="14">
        <f t="shared" si="63"/>
        <v>544</v>
      </c>
      <c r="AG89" s="8">
        <v>2.0754000000000001</v>
      </c>
      <c r="AH89" s="8">
        <v>2.0583999999999998</v>
      </c>
      <c r="AI89" s="8">
        <v>2.0661999999999998</v>
      </c>
      <c r="AJ89" s="8">
        <v>2.0508000000000002</v>
      </c>
      <c r="AK89" s="8">
        <v>2.0592999999999999</v>
      </c>
      <c r="AL89" s="8">
        <v>2.0493999999999999</v>
      </c>
      <c r="AM89" s="8">
        <v>2.0171000000000001</v>
      </c>
      <c r="AN89" s="8">
        <v>2.0265</v>
      </c>
      <c r="AO89" s="8">
        <v>2.0154000000000001</v>
      </c>
      <c r="AP89" s="8">
        <v>2.0301999999999998</v>
      </c>
      <c r="AQ89" s="8">
        <v>2.0404</v>
      </c>
      <c r="AR89" s="8">
        <v>2.0041000000000002</v>
      </c>
      <c r="AS89" s="8">
        <v>2.0663999999999998</v>
      </c>
      <c r="AT89" s="8">
        <v>2.0674999999999999</v>
      </c>
      <c r="AU89" s="8">
        <v>2.0789</v>
      </c>
      <c r="AV89" s="8">
        <v>2.0714000000000001</v>
      </c>
      <c r="AW89" s="8">
        <v>2.0745</v>
      </c>
      <c r="AX89" s="8">
        <v>2.0478999999999998</v>
      </c>
      <c r="AY89" s="8">
        <v>2.0628000000000002</v>
      </c>
      <c r="AZ89" s="8">
        <v>2.0579000000000001</v>
      </c>
      <c r="BA89" s="8">
        <v>2.0512000000000001</v>
      </c>
      <c r="BB89" s="8">
        <v>2.056</v>
      </c>
      <c r="BC89" s="8">
        <v>2.0581999999999998</v>
      </c>
      <c r="BD89" s="8">
        <v>2.0274999999999999</v>
      </c>
    </row>
    <row r="90" spans="2:56" s="13" customFormat="1" x14ac:dyDescent="0.3">
      <c r="B90" s="22">
        <f t="shared" si="38"/>
        <v>552</v>
      </c>
      <c r="C90" s="40">
        <f t="shared" si="39"/>
        <v>13.586383601757003</v>
      </c>
      <c r="D90" s="40">
        <f t="shared" si="40"/>
        <v>15.031234748657893</v>
      </c>
      <c r="E90" s="40">
        <f t="shared" si="41"/>
        <v>19.066861883845718</v>
      </c>
      <c r="F90" s="40">
        <f t="shared" si="42"/>
        <v>21.690092728160192</v>
      </c>
      <c r="G90" s="40">
        <f t="shared" si="43"/>
        <v>21.066373840897842</v>
      </c>
      <c r="H90" s="40">
        <f t="shared" si="44"/>
        <v>23.175695461200721</v>
      </c>
      <c r="I90" s="40">
        <f t="shared" si="45"/>
        <v>32.943142996583681</v>
      </c>
      <c r="J90" s="40">
        <f t="shared" si="46"/>
        <v>27.679599804782672</v>
      </c>
      <c r="K90" s="40">
        <f t="shared" si="47"/>
        <v>26.929965836993624</v>
      </c>
      <c r="L90" s="40">
        <f t="shared" si="48"/>
        <v>27.238164958516268</v>
      </c>
      <c r="M90" s="40">
        <f t="shared" si="49"/>
        <v>23.005124450951602</v>
      </c>
      <c r="N90" s="40">
        <f t="shared" si="50"/>
        <v>20.223279648608976</v>
      </c>
      <c r="O90" s="40"/>
      <c r="P90" s="39">
        <f t="shared" si="51"/>
        <v>20.744021473889568</v>
      </c>
      <c r="Q90" s="39">
        <f t="shared" si="52"/>
        <v>18.287945339189715</v>
      </c>
      <c r="R90" s="39">
        <f t="shared" si="53"/>
        <v>20.037823328452887</v>
      </c>
      <c r="S90" s="39">
        <f t="shared" si="54"/>
        <v>19.562957540263472</v>
      </c>
      <c r="T90" s="39">
        <f t="shared" si="55"/>
        <v>20.646900927281759</v>
      </c>
      <c r="U90" s="39">
        <f t="shared" si="56"/>
        <v>17.095168374817014</v>
      </c>
      <c r="V90" s="39">
        <f t="shared" si="57"/>
        <v>20.388238164958501</v>
      </c>
      <c r="W90" s="39">
        <f t="shared" si="58"/>
        <v>22.884577842850145</v>
      </c>
      <c r="X90" s="39">
        <f t="shared" si="59"/>
        <v>23.538067349926866</v>
      </c>
      <c r="Y90" s="39">
        <f t="shared" si="60"/>
        <v>24.785749145924839</v>
      </c>
      <c r="Z90" s="39">
        <f t="shared" si="61"/>
        <v>23.480966325036498</v>
      </c>
      <c r="AA90" s="39">
        <f t="shared" si="62"/>
        <v>23.32845290385557</v>
      </c>
      <c r="AB90" s="38"/>
      <c r="AE90" s="15">
        <v>6.3888888888888884E-3</v>
      </c>
      <c r="AF90" s="14">
        <f t="shared" si="63"/>
        <v>552</v>
      </c>
      <c r="AG90" s="8">
        <v>2.0764999999999998</v>
      </c>
      <c r="AH90" s="8">
        <v>2.0583</v>
      </c>
      <c r="AI90" s="8">
        <v>2.0674000000000001</v>
      </c>
      <c r="AJ90" s="8">
        <v>2.0497999999999998</v>
      </c>
      <c r="AK90" s="8">
        <v>2.0613000000000001</v>
      </c>
      <c r="AL90" s="8">
        <v>2.0508999999999999</v>
      </c>
      <c r="AM90" s="8">
        <v>2.0169000000000001</v>
      </c>
      <c r="AN90" s="8">
        <v>2.0278</v>
      </c>
      <c r="AO90" s="8">
        <v>2.0152000000000001</v>
      </c>
      <c r="AP90" s="8">
        <v>2.0289000000000001</v>
      </c>
      <c r="AQ90" s="8">
        <v>2.0377000000000001</v>
      </c>
      <c r="AR90" s="8">
        <v>2.0038</v>
      </c>
      <c r="AS90" s="8">
        <v>2.0663</v>
      </c>
      <c r="AT90" s="8">
        <v>2.0672000000000001</v>
      </c>
      <c r="AU90" s="8">
        <v>2.0779000000000001</v>
      </c>
      <c r="AV90" s="8">
        <v>2.0707</v>
      </c>
      <c r="AW90" s="8">
        <v>2.0726</v>
      </c>
      <c r="AX90" s="8">
        <v>2.0491999999999999</v>
      </c>
      <c r="AY90" s="8">
        <v>2.0630000000000002</v>
      </c>
      <c r="AZ90" s="8">
        <v>2.0579999999999998</v>
      </c>
      <c r="BA90" s="8">
        <v>2.0466000000000002</v>
      </c>
      <c r="BB90" s="8">
        <v>2.0543</v>
      </c>
      <c r="BC90" s="8">
        <v>2.0571000000000002</v>
      </c>
      <c r="BD90" s="8">
        <v>2.028</v>
      </c>
    </row>
    <row r="91" spans="2:56" s="13" customFormat="1" x14ac:dyDescent="0.3">
      <c r="B91" s="22">
        <f t="shared" si="38"/>
        <v>560</v>
      </c>
      <c r="C91" s="40">
        <f t="shared" si="39"/>
        <v>14.904099560761358</v>
      </c>
      <c r="D91" s="40">
        <f t="shared" si="40"/>
        <v>14.25036603221093</v>
      </c>
      <c r="E91" s="40">
        <f t="shared" si="41"/>
        <v>20.042947779404638</v>
      </c>
      <c r="F91" s="40">
        <f t="shared" si="42"/>
        <v>21.348462664714535</v>
      </c>
      <c r="G91" s="40">
        <f t="shared" si="43"/>
        <v>21.700829673011107</v>
      </c>
      <c r="H91" s="40">
        <f t="shared" si="44"/>
        <v>24.102977061981594</v>
      </c>
      <c r="I91" s="40">
        <f t="shared" si="45"/>
        <v>33.96803318692043</v>
      </c>
      <c r="J91" s="40">
        <f t="shared" si="46"/>
        <v>29.290141532454641</v>
      </c>
      <c r="K91" s="40">
        <f t="shared" si="47"/>
        <v>27.222791605661236</v>
      </c>
      <c r="L91" s="40">
        <f t="shared" si="48"/>
        <v>27.921425085407577</v>
      </c>
      <c r="M91" s="40">
        <f t="shared" si="49"/>
        <v>22.126647144948773</v>
      </c>
      <c r="N91" s="40">
        <f t="shared" si="50"/>
        <v>20.46730112249876</v>
      </c>
      <c r="O91" s="40"/>
      <c r="P91" s="39">
        <f t="shared" si="51"/>
        <v>21.183260126891089</v>
      </c>
      <c r="Q91" s="39">
        <f t="shared" si="52"/>
        <v>18.434358223523628</v>
      </c>
      <c r="R91" s="39">
        <f t="shared" si="53"/>
        <v>20.281844802342672</v>
      </c>
      <c r="S91" s="39">
        <f t="shared" si="54"/>
        <v>19.904587603709128</v>
      </c>
      <c r="T91" s="39">
        <f t="shared" si="55"/>
        <v>20.500488042947847</v>
      </c>
      <c r="U91" s="39">
        <f t="shared" si="56"/>
        <v>18.559297218155283</v>
      </c>
      <c r="V91" s="39">
        <f t="shared" si="57"/>
        <v>20.534651049292414</v>
      </c>
      <c r="W91" s="39">
        <f t="shared" si="58"/>
        <v>23.128599316739713</v>
      </c>
      <c r="X91" s="39">
        <f t="shared" si="59"/>
        <v>21.927525622254901</v>
      </c>
      <c r="Y91" s="39">
        <f t="shared" si="60"/>
        <v>25.517813567593976</v>
      </c>
      <c r="Z91" s="39">
        <f t="shared" si="61"/>
        <v>24.115422157149762</v>
      </c>
      <c r="AA91" s="39">
        <f t="shared" si="62"/>
        <v>24.109321620302534</v>
      </c>
      <c r="AB91" s="38"/>
      <c r="AE91" s="15">
        <v>6.4814814814814813E-3</v>
      </c>
      <c r="AF91" s="14">
        <f t="shared" si="63"/>
        <v>560</v>
      </c>
      <c r="AG91" s="8">
        <v>2.0737999999999999</v>
      </c>
      <c r="AH91" s="8">
        <v>2.0598999999999998</v>
      </c>
      <c r="AI91" s="8">
        <v>2.0653999999999999</v>
      </c>
      <c r="AJ91" s="8">
        <v>2.0505</v>
      </c>
      <c r="AK91" s="8">
        <v>2.06</v>
      </c>
      <c r="AL91" s="8">
        <v>2.0489999999999999</v>
      </c>
      <c r="AM91" s="8">
        <v>2.0148000000000001</v>
      </c>
      <c r="AN91" s="8">
        <v>2.0245000000000002</v>
      </c>
      <c r="AO91" s="8">
        <v>2.0146000000000002</v>
      </c>
      <c r="AP91" s="8">
        <v>2.0274999999999999</v>
      </c>
      <c r="AQ91" s="8">
        <v>2.0394999999999999</v>
      </c>
      <c r="AR91" s="8">
        <v>2.0032999999999999</v>
      </c>
      <c r="AS91" s="8">
        <v>2.0653999999999999</v>
      </c>
      <c r="AT91" s="8">
        <v>2.0669</v>
      </c>
      <c r="AU91" s="8">
        <v>2.0773999999999999</v>
      </c>
      <c r="AV91" s="8">
        <v>2.0699999999999998</v>
      </c>
      <c r="AW91" s="8">
        <v>2.0729000000000002</v>
      </c>
      <c r="AX91" s="8">
        <v>2.0461999999999998</v>
      </c>
      <c r="AY91" s="8">
        <v>2.0627</v>
      </c>
      <c r="AZ91" s="8">
        <v>2.0575000000000001</v>
      </c>
      <c r="BA91" s="8">
        <v>2.0499000000000001</v>
      </c>
      <c r="BB91" s="8">
        <v>2.0528</v>
      </c>
      <c r="BC91" s="8">
        <v>2.0558000000000001</v>
      </c>
      <c r="BD91" s="8">
        <v>2.0264000000000002</v>
      </c>
    </row>
    <row r="92" spans="2:56" s="13" customFormat="1" x14ac:dyDescent="0.3">
      <c r="B92" s="22">
        <f t="shared" si="38"/>
        <v>568</v>
      </c>
      <c r="C92" s="40">
        <f t="shared" si="39"/>
        <v>13.781600780868743</v>
      </c>
      <c r="D92" s="40">
        <f t="shared" si="40"/>
        <v>15.616886285993113</v>
      </c>
      <c r="E92" s="40">
        <f t="shared" si="41"/>
        <v>19.213274768179634</v>
      </c>
      <c r="F92" s="40">
        <f t="shared" si="42"/>
        <v>21.934114202049759</v>
      </c>
      <c r="G92" s="40">
        <f t="shared" si="43"/>
        <v>22.091264031234584</v>
      </c>
      <c r="H92" s="40">
        <f t="shared" si="44"/>
        <v>23.614934114202246</v>
      </c>
      <c r="I92" s="40">
        <f t="shared" si="45"/>
        <v>33.577598828696942</v>
      </c>
      <c r="J92" s="40">
        <f t="shared" si="46"/>
        <v>29.680575890678337</v>
      </c>
      <c r="K92" s="40">
        <f t="shared" si="47"/>
        <v>27.271595900439277</v>
      </c>
      <c r="L92" s="40">
        <f t="shared" si="48"/>
        <v>28.263055148853013</v>
      </c>
      <c r="M92" s="40">
        <f t="shared" si="49"/>
        <v>23.297950219619214</v>
      </c>
      <c r="N92" s="40">
        <f t="shared" si="50"/>
        <v>20.125671059053108</v>
      </c>
      <c r="O92" s="40"/>
      <c r="P92" s="39">
        <f t="shared" si="51"/>
        <v>21.378477306002832</v>
      </c>
      <c r="Q92" s="39">
        <f t="shared" si="52"/>
        <v>19.117618350414723</v>
      </c>
      <c r="R92" s="39">
        <f t="shared" si="53"/>
        <v>20.867496339677892</v>
      </c>
      <c r="S92" s="39">
        <f t="shared" si="54"/>
        <v>19.41654465592956</v>
      </c>
      <c r="T92" s="39">
        <f t="shared" si="55"/>
        <v>20.890922401171544</v>
      </c>
      <c r="U92" s="39">
        <f t="shared" si="56"/>
        <v>18.071254270375714</v>
      </c>
      <c r="V92" s="39">
        <f t="shared" si="57"/>
        <v>20.681063933626326</v>
      </c>
      <c r="W92" s="39">
        <f t="shared" si="58"/>
        <v>22.786969253294274</v>
      </c>
      <c r="X92" s="39">
        <f t="shared" si="59"/>
        <v>21.488286969253373</v>
      </c>
      <c r="Y92" s="39">
        <f t="shared" si="60"/>
        <v>25.127379209370492</v>
      </c>
      <c r="Z92" s="39">
        <f t="shared" si="61"/>
        <v>25.48194241093216</v>
      </c>
      <c r="AA92" s="39">
        <f t="shared" si="62"/>
        <v>23.914104441190791</v>
      </c>
      <c r="AB92" s="38"/>
      <c r="AE92" s="15">
        <v>6.5740740740740733E-3</v>
      </c>
      <c r="AF92" s="14">
        <f t="shared" si="63"/>
        <v>568</v>
      </c>
      <c r="AG92" s="8">
        <v>2.0760999999999998</v>
      </c>
      <c r="AH92" s="8">
        <v>2.0571000000000002</v>
      </c>
      <c r="AI92" s="8">
        <v>2.0670999999999999</v>
      </c>
      <c r="AJ92" s="8">
        <v>2.0493000000000001</v>
      </c>
      <c r="AK92" s="8">
        <v>2.0592000000000001</v>
      </c>
      <c r="AL92" s="8">
        <v>2.0499999999999998</v>
      </c>
      <c r="AM92" s="8">
        <v>2.0156000000000001</v>
      </c>
      <c r="AN92" s="8">
        <v>2.0236999999999998</v>
      </c>
      <c r="AO92" s="8">
        <v>2.0145</v>
      </c>
      <c r="AP92" s="8">
        <v>2.0268000000000002</v>
      </c>
      <c r="AQ92" s="8">
        <v>2.0371000000000001</v>
      </c>
      <c r="AR92" s="8">
        <v>2.004</v>
      </c>
      <c r="AS92" s="8">
        <v>2.0649999999999999</v>
      </c>
      <c r="AT92" s="8">
        <v>2.0655000000000001</v>
      </c>
      <c r="AU92" s="8">
        <v>2.0762</v>
      </c>
      <c r="AV92" s="8">
        <v>2.0710000000000002</v>
      </c>
      <c r="AW92" s="8">
        <v>2.0720999999999998</v>
      </c>
      <c r="AX92" s="8">
        <v>2.0472000000000001</v>
      </c>
      <c r="AY92" s="8">
        <v>2.0623999999999998</v>
      </c>
      <c r="AZ92" s="8">
        <v>2.0581999999999998</v>
      </c>
      <c r="BA92" s="8">
        <v>2.0508000000000002</v>
      </c>
      <c r="BB92" s="8">
        <v>2.0535999999999999</v>
      </c>
      <c r="BC92" s="8">
        <v>2.0529999999999999</v>
      </c>
      <c r="BD92" s="8">
        <v>2.0268000000000002</v>
      </c>
    </row>
    <row r="93" spans="2:56" s="13" customFormat="1" x14ac:dyDescent="0.3">
      <c r="B93" s="22">
        <f t="shared" si="38"/>
        <v>576</v>
      </c>
      <c r="C93" s="40">
        <f t="shared" si="39"/>
        <v>14.318448023425921</v>
      </c>
      <c r="D93" s="40">
        <f t="shared" si="40"/>
        <v>15.421669106881373</v>
      </c>
      <c r="E93" s="40">
        <f t="shared" si="41"/>
        <v>20.384577842850078</v>
      </c>
      <c r="F93" s="40">
        <f t="shared" si="42"/>
        <v>21.39726695949258</v>
      </c>
      <c r="G93" s="40">
        <f t="shared" si="43"/>
        <v>22.091264031234584</v>
      </c>
      <c r="H93" s="40">
        <f t="shared" si="44"/>
        <v>23.907759882869858</v>
      </c>
      <c r="I93" s="40">
        <f t="shared" si="45"/>
        <v>35.33455344070282</v>
      </c>
      <c r="J93" s="40">
        <f t="shared" si="46"/>
        <v>29.826988775012033</v>
      </c>
      <c r="K93" s="40">
        <f t="shared" si="47"/>
        <v>28.638116154221677</v>
      </c>
      <c r="L93" s="40">
        <f t="shared" si="48"/>
        <v>28.165446559297141</v>
      </c>
      <c r="M93" s="40">
        <f t="shared" si="49"/>
        <v>23.249145924841383</v>
      </c>
      <c r="N93" s="40">
        <f t="shared" si="50"/>
        <v>20.760126891166372</v>
      </c>
      <c r="O93" s="40"/>
      <c r="P93" s="39">
        <f t="shared" si="51"/>
        <v>22.012933138116097</v>
      </c>
      <c r="Q93" s="39">
        <f t="shared" si="52"/>
        <v>19.459248413860376</v>
      </c>
      <c r="R93" s="39">
        <f t="shared" si="53"/>
        <v>20.818692044900068</v>
      </c>
      <c r="S93" s="39">
        <f t="shared" si="54"/>
        <v>19.953391898486952</v>
      </c>
      <c r="T93" s="39">
        <f t="shared" si="55"/>
        <v>20.549292337725891</v>
      </c>
      <c r="U93" s="39">
        <f t="shared" si="56"/>
        <v>18.461688628599198</v>
      </c>
      <c r="V93" s="39">
        <f t="shared" si="57"/>
        <v>21.364324060517419</v>
      </c>
      <c r="W93" s="39">
        <f t="shared" si="58"/>
        <v>23.567837969741234</v>
      </c>
      <c r="X93" s="39">
        <f t="shared" si="59"/>
        <v>22.220351390922509</v>
      </c>
      <c r="Y93" s="39">
        <f t="shared" si="60"/>
        <v>24.980966325036583</v>
      </c>
      <c r="Z93" s="39">
        <f t="shared" si="61"/>
        <v>24.21303074670563</v>
      </c>
      <c r="AA93" s="39">
        <f t="shared" si="62"/>
        <v>24.743777452415795</v>
      </c>
      <c r="AB93" s="38"/>
      <c r="AE93" s="15">
        <v>6.6666666666666671E-3</v>
      </c>
      <c r="AF93" s="14">
        <f t="shared" si="63"/>
        <v>576</v>
      </c>
      <c r="AG93" s="8">
        <v>2.0750000000000002</v>
      </c>
      <c r="AH93" s="8">
        <v>2.0575000000000001</v>
      </c>
      <c r="AI93" s="8">
        <v>2.0647000000000002</v>
      </c>
      <c r="AJ93" s="8">
        <v>2.0503999999999998</v>
      </c>
      <c r="AK93" s="8">
        <v>2.0592000000000001</v>
      </c>
      <c r="AL93" s="8">
        <v>2.0493999999999999</v>
      </c>
      <c r="AM93" s="8">
        <v>2.012</v>
      </c>
      <c r="AN93" s="8">
        <v>2.0234000000000001</v>
      </c>
      <c r="AO93" s="8">
        <v>2.0116999999999998</v>
      </c>
      <c r="AP93" s="8">
        <v>2.0270000000000001</v>
      </c>
      <c r="AQ93" s="8">
        <v>2.0371999999999999</v>
      </c>
      <c r="AR93" s="8">
        <v>2.0026999999999999</v>
      </c>
      <c r="AS93" s="8">
        <v>2.0636999999999999</v>
      </c>
      <c r="AT93" s="8">
        <v>2.0648</v>
      </c>
      <c r="AU93" s="8">
        <v>2.0762999999999998</v>
      </c>
      <c r="AV93" s="8">
        <v>2.0699000000000001</v>
      </c>
      <c r="AW93" s="8">
        <v>2.0728</v>
      </c>
      <c r="AX93" s="8">
        <v>2.0464000000000002</v>
      </c>
      <c r="AY93" s="8">
        <v>2.0609999999999999</v>
      </c>
      <c r="AZ93" s="8">
        <v>2.0566</v>
      </c>
      <c r="BA93" s="8">
        <v>2.0493000000000001</v>
      </c>
      <c r="BB93" s="8">
        <v>2.0539000000000001</v>
      </c>
      <c r="BC93" s="8">
        <v>2.0556000000000001</v>
      </c>
      <c r="BD93" s="8">
        <v>2.0251000000000001</v>
      </c>
    </row>
    <row r="94" spans="2:56" s="13" customFormat="1" x14ac:dyDescent="0.3">
      <c r="B94" s="22">
        <f t="shared" si="38"/>
        <v>584</v>
      </c>
      <c r="C94" s="40">
        <f t="shared" si="39"/>
        <v>14.660078086871575</v>
      </c>
      <c r="D94" s="40">
        <f t="shared" si="40"/>
        <v>14.836017569546151</v>
      </c>
      <c r="E94" s="40">
        <f t="shared" si="41"/>
        <v>19.554904831625286</v>
      </c>
      <c r="F94" s="40">
        <f t="shared" si="42"/>
        <v>21.250854075158667</v>
      </c>
      <c r="G94" s="40">
        <f t="shared" si="43"/>
        <v>22.335285505124368</v>
      </c>
      <c r="H94" s="40">
        <f t="shared" si="44"/>
        <v>23.370912640312461</v>
      </c>
      <c r="I94" s="40">
        <f t="shared" si="45"/>
        <v>35.383357735480871</v>
      </c>
      <c r="J94" s="40">
        <f t="shared" si="46"/>
        <v>30.315031722791382</v>
      </c>
      <c r="K94" s="40">
        <f t="shared" si="47"/>
        <v>28.05246461688624</v>
      </c>
      <c r="L94" s="40">
        <f t="shared" si="48"/>
        <v>28.799902391410409</v>
      </c>
      <c r="M94" s="40">
        <f t="shared" si="49"/>
        <v>23.005124450951602</v>
      </c>
      <c r="N94" s="40">
        <f t="shared" si="50"/>
        <v>20.808931185944196</v>
      </c>
      <c r="O94" s="40"/>
      <c r="P94" s="39">
        <f t="shared" si="51"/>
        <v>21.622498779892616</v>
      </c>
      <c r="Q94" s="39">
        <f t="shared" si="52"/>
        <v>19.508052708638203</v>
      </c>
      <c r="R94" s="39">
        <f t="shared" si="53"/>
        <v>20.818692044900068</v>
      </c>
      <c r="S94" s="39">
        <f t="shared" si="54"/>
        <v>20.734260614934133</v>
      </c>
      <c r="T94" s="39">
        <f t="shared" si="55"/>
        <v>21.622986822840463</v>
      </c>
      <c r="U94" s="39">
        <f t="shared" si="56"/>
        <v>18.656905807711151</v>
      </c>
      <c r="V94" s="39">
        <f t="shared" si="57"/>
        <v>21.26671547096155</v>
      </c>
      <c r="W94" s="39">
        <f t="shared" si="58"/>
        <v>24.10468521229863</v>
      </c>
      <c r="X94" s="39">
        <f t="shared" si="59"/>
        <v>23.342850170815122</v>
      </c>
      <c r="Y94" s="39">
        <f t="shared" si="60"/>
        <v>24.932162030258755</v>
      </c>
      <c r="Z94" s="39">
        <f t="shared" si="61"/>
        <v>24.749877989263027</v>
      </c>
      <c r="AA94" s="39">
        <f t="shared" si="62"/>
        <v>24.841386041971667</v>
      </c>
      <c r="AB94" s="38"/>
      <c r="AE94" s="15">
        <v>6.7592592592592591E-3</v>
      </c>
      <c r="AF94" s="14">
        <f t="shared" si="63"/>
        <v>584</v>
      </c>
      <c r="AG94" s="8">
        <v>2.0743</v>
      </c>
      <c r="AH94" s="8">
        <v>2.0587</v>
      </c>
      <c r="AI94" s="8">
        <v>2.0663999999999998</v>
      </c>
      <c r="AJ94" s="8">
        <v>2.0507</v>
      </c>
      <c r="AK94" s="8">
        <v>2.0587</v>
      </c>
      <c r="AL94" s="8">
        <v>2.0505</v>
      </c>
      <c r="AM94" s="8">
        <v>2.0118999999999998</v>
      </c>
      <c r="AN94" s="8">
        <v>2.0224000000000002</v>
      </c>
      <c r="AO94" s="8">
        <v>2.0129000000000001</v>
      </c>
      <c r="AP94" s="8">
        <v>2.0257000000000001</v>
      </c>
      <c r="AQ94" s="8">
        <v>2.0377000000000001</v>
      </c>
      <c r="AR94" s="8">
        <v>2.0026000000000002</v>
      </c>
      <c r="AS94" s="8">
        <v>2.0644999999999998</v>
      </c>
      <c r="AT94" s="8">
        <v>2.0647000000000002</v>
      </c>
      <c r="AU94" s="8">
        <v>2.0762999999999998</v>
      </c>
      <c r="AV94" s="8">
        <v>2.0682999999999998</v>
      </c>
      <c r="AW94" s="8">
        <v>2.0706000000000002</v>
      </c>
      <c r="AX94" s="8">
        <v>2.0459999999999998</v>
      </c>
      <c r="AY94" s="8">
        <v>2.0611999999999999</v>
      </c>
      <c r="AZ94" s="8">
        <v>2.0554999999999999</v>
      </c>
      <c r="BA94" s="8">
        <v>2.0470000000000002</v>
      </c>
      <c r="BB94" s="8">
        <v>2.0539999999999998</v>
      </c>
      <c r="BC94" s="8">
        <v>2.0545</v>
      </c>
      <c r="BD94" s="8">
        <v>2.0249000000000001</v>
      </c>
    </row>
    <row r="95" spans="2:56" s="13" customFormat="1" x14ac:dyDescent="0.3">
      <c r="B95" s="22">
        <f t="shared" si="38"/>
        <v>592</v>
      </c>
      <c r="C95" s="40">
        <f t="shared" si="39"/>
        <v>14.757686676427445</v>
      </c>
      <c r="D95" s="40">
        <f t="shared" si="40"/>
        <v>15.763299170327025</v>
      </c>
      <c r="E95" s="40">
        <f t="shared" si="41"/>
        <v>20.14055636896051</v>
      </c>
      <c r="F95" s="40">
        <f t="shared" si="42"/>
        <v>21.641288433382147</v>
      </c>
      <c r="G95" s="40">
        <f t="shared" si="43"/>
        <v>21.847242557345016</v>
      </c>
      <c r="H95" s="40">
        <f t="shared" si="44"/>
        <v>24.78623718887269</v>
      </c>
      <c r="I95" s="40">
        <f t="shared" si="45"/>
        <v>36.164226451927831</v>
      </c>
      <c r="J95" s="40">
        <f t="shared" si="46"/>
        <v>29.875793069790078</v>
      </c>
      <c r="K95" s="40">
        <f t="shared" si="47"/>
        <v>28.491703269887765</v>
      </c>
      <c r="L95" s="40">
        <f t="shared" si="48"/>
        <v>28.360663738408881</v>
      </c>
      <c r="M95" s="40">
        <f t="shared" si="49"/>
        <v>23.151537335285514</v>
      </c>
      <c r="N95" s="40">
        <f t="shared" si="50"/>
        <v>21.248169838945724</v>
      </c>
      <c r="O95" s="40"/>
      <c r="P95" s="39">
        <f t="shared" si="51"/>
        <v>22.305758906783705</v>
      </c>
      <c r="Q95" s="39">
        <f t="shared" si="52"/>
        <v>20.044899951195596</v>
      </c>
      <c r="R95" s="39">
        <f t="shared" si="53"/>
        <v>20.916300634455936</v>
      </c>
      <c r="S95" s="39">
        <f t="shared" si="54"/>
        <v>20.734260614934133</v>
      </c>
      <c r="T95" s="39">
        <f t="shared" si="55"/>
        <v>21.037335285505243</v>
      </c>
      <c r="U95" s="39">
        <f t="shared" si="56"/>
        <v>18.510492923377239</v>
      </c>
      <c r="V95" s="39">
        <f t="shared" si="57"/>
        <v>20.973889702293938</v>
      </c>
      <c r="W95" s="39">
        <f t="shared" si="58"/>
        <v>24.49511957052211</v>
      </c>
      <c r="X95" s="39">
        <f t="shared" si="59"/>
        <v>23.245241581259254</v>
      </c>
      <c r="Y95" s="39">
        <f t="shared" si="60"/>
        <v>25.224987798926367</v>
      </c>
      <c r="Z95" s="39">
        <f t="shared" si="61"/>
        <v>24.993899463152811</v>
      </c>
      <c r="AA95" s="39">
        <f t="shared" si="62"/>
        <v>25.085407515861451</v>
      </c>
      <c r="AB95" s="38"/>
      <c r="AE95" s="15">
        <v>6.851851851851852E-3</v>
      </c>
      <c r="AF95" s="14">
        <f t="shared" si="63"/>
        <v>592</v>
      </c>
      <c r="AG95" s="8">
        <v>2.0741000000000001</v>
      </c>
      <c r="AH95" s="8">
        <v>2.0568</v>
      </c>
      <c r="AI95" s="8">
        <v>2.0651999999999999</v>
      </c>
      <c r="AJ95" s="8">
        <v>2.0499000000000001</v>
      </c>
      <c r="AK95" s="8">
        <v>2.0596999999999999</v>
      </c>
      <c r="AL95" s="8">
        <v>2.0476000000000001</v>
      </c>
      <c r="AM95" s="8">
        <v>2.0103</v>
      </c>
      <c r="AN95" s="8">
        <v>2.0232999999999999</v>
      </c>
      <c r="AO95" s="8">
        <v>2.012</v>
      </c>
      <c r="AP95" s="8">
        <v>2.0266000000000002</v>
      </c>
      <c r="AQ95" s="8">
        <v>2.0373999999999999</v>
      </c>
      <c r="AR95" s="8">
        <v>2.0017</v>
      </c>
      <c r="AS95" s="8">
        <v>2.0630999999999999</v>
      </c>
      <c r="AT95" s="8">
        <v>2.0636000000000001</v>
      </c>
      <c r="AU95" s="8">
        <v>2.0760999999999998</v>
      </c>
      <c r="AV95" s="8">
        <v>2.0682999999999998</v>
      </c>
      <c r="AW95" s="8">
        <v>2.0718000000000001</v>
      </c>
      <c r="AX95" s="8">
        <v>2.0463</v>
      </c>
      <c r="AY95" s="8">
        <v>2.0617999999999999</v>
      </c>
      <c r="AZ95" s="8">
        <v>2.0547</v>
      </c>
      <c r="BA95" s="8">
        <v>2.0472000000000001</v>
      </c>
      <c r="BB95" s="8">
        <v>2.0533999999999999</v>
      </c>
      <c r="BC95" s="8">
        <v>2.0539999999999998</v>
      </c>
      <c r="BD95" s="8">
        <v>2.0244</v>
      </c>
    </row>
    <row r="96" spans="2:56" s="13" customFormat="1" x14ac:dyDescent="0.3">
      <c r="B96" s="22">
        <f t="shared" si="38"/>
        <v>600</v>
      </c>
      <c r="C96" s="40">
        <f t="shared" si="39"/>
        <v>14.318448023425921</v>
      </c>
      <c r="D96" s="40">
        <f t="shared" si="40"/>
        <v>14.933626159102023</v>
      </c>
      <c r="E96" s="40">
        <f t="shared" si="41"/>
        <v>20.384577842850078</v>
      </c>
      <c r="F96" s="40">
        <f t="shared" si="42"/>
        <v>22.226939970717368</v>
      </c>
      <c r="G96" s="40">
        <f t="shared" si="43"/>
        <v>23.2137628111272</v>
      </c>
      <c r="H96" s="40">
        <f t="shared" si="44"/>
        <v>23.810151293313986</v>
      </c>
      <c r="I96" s="40">
        <f t="shared" si="45"/>
        <v>36.701073694485224</v>
      </c>
      <c r="J96" s="40">
        <f t="shared" si="46"/>
        <v>31.242313323572258</v>
      </c>
      <c r="K96" s="40">
        <f t="shared" si="47"/>
        <v>28.394094680331893</v>
      </c>
      <c r="L96" s="40">
        <f t="shared" si="48"/>
        <v>28.995119570522146</v>
      </c>
      <c r="M96" s="40">
        <f t="shared" si="49"/>
        <v>23.590775988286826</v>
      </c>
      <c r="N96" s="40">
        <f t="shared" si="50"/>
        <v>21.638604197169204</v>
      </c>
      <c r="O96" s="40"/>
      <c r="P96" s="39">
        <f t="shared" si="51"/>
        <v>22.208150317227837</v>
      </c>
      <c r="Q96" s="39">
        <f t="shared" si="52"/>
        <v>19.849682772083856</v>
      </c>
      <c r="R96" s="39">
        <f t="shared" si="53"/>
        <v>21.599560761347028</v>
      </c>
      <c r="S96" s="39">
        <f t="shared" si="54"/>
        <v>20.783064909711957</v>
      </c>
      <c r="T96" s="39">
        <f t="shared" si="55"/>
        <v>21.476573938506768</v>
      </c>
      <c r="U96" s="39">
        <f t="shared" si="56"/>
        <v>19.144948755490503</v>
      </c>
      <c r="V96" s="39">
        <f t="shared" si="57"/>
        <v>22.145192776964379</v>
      </c>
      <c r="W96" s="39">
        <f t="shared" si="58"/>
        <v>24.446315275744066</v>
      </c>
      <c r="X96" s="39">
        <f t="shared" si="59"/>
        <v>24.416544655929915</v>
      </c>
      <c r="Y96" s="39">
        <f t="shared" si="60"/>
        <v>25.9570522205955</v>
      </c>
      <c r="Z96" s="39">
        <f t="shared" si="61"/>
        <v>25.433138116154115</v>
      </c>
      <c r="AA96" s="39">
        <f t="shared" si="62"/>
        <v>25.329428989751236</v>
      </c>
      <c r="AB96" s="38"/>
      <c r="AE96" s="15">
        <v>6.9444444444444441E-3</v>
      </c>
      <c r="AF96" s="14">
        <f t="shared" si="63"/>
        <v>600</v>
      </c>
      <c r="AG96" s="8">
        <v>2.0750000000000002</v>
      </c>
      <c r="AH96" s="8">
        <v>2.0585</v>
      </c>
      <c r="AI96" s="8">
        <v>2.0647000000000002</v>
      </c>
      <c r="AJ96" s="8">
        <v>2.0487000000000002</v>
      </c>
      <c r="AK96" s="8">
        <v>2.0569000000000002</v>
      </c>
      <c r="AL96" s="8">
        <v>2.0495999999999999</v>
      </c>
      <c r="AM96" s="8">
        <v>2.0091999999999999</v>
      </c>
      <c r="AN96" s="8">
        <v>2.0205000000000002</v>
      </c>
      <c r="AO96" s="8">
        <v>2.0122</v>
      </c>
      <c r="AP96" s="8">
        <v>2.0253000000000001</v>
      </c>
      <c r="AQ96" s="8">
        <v>2.0365000000000002</v>
      </c>
      <c r="AR96" s="8">
        <v>2.0009000000000001</v>
      </c>
      <c r="AS96" s="8">
        <v>2.0632999999999999</v>
      </c>
      <c r="AT96" s="8">
        <v>2.0640000000000001</v>
      </c>
      <c r="AU96" s="8">
        <v>2.0747</v>
      </c>
      <c r="AV96" s="8">
        <v>2.0682</v>
      </c>
      <c r="AW96" s="8">
        <v>2.0709</v>
      </c>
      <c r="AX96" s="8">
        <v>2.0449999999999999</v>
      </c>
      <c r="AY96" s="8">
        <v>2.0594000000000001</v>
      </c>
      <c r="AZ96" s="8">
        <v>2.0548000000000002</v>
      </c>
      <c r="BA96" s="8">
        <v>2.0448</v>
      </c>
      <c r="BB96" s="8">
        <v>2.0518999999999998</v>
      </c>
      <c r="BC96" s="8">
        <v>2.0531000000000001</v>
      </c>
      <c r="BD96" s="8">
        <v>2.0238999999999998</v>
      </c>
    </row>
    <row r="97" spans="2:56" s="13" customFormat="1" x14ac:dyDescent="0.3">
      <c r="B97" s="22">
        <f t="shared" si="38"/>
        <v>608</v>
      </c>
      <c r="C97" s="40">
        <f t="shared" si="39"/>
        <v>15.050512445095055</v>
      </c>
      <c r="D97" s="40">
        <f t="shared" si="40"/>
        <v>15.909712054660725</v>
      </c>
      <c r="E97" s="40">
        <f t="shared" si="41"/>
        <v>19.896534895070726</v>
      </c>
      <c r="F97" s="40">
        <f t="shared" si="42"/>
        <v>22.178135675939544</v>
      </c>
      <c r="G97" s="40">
        <f t="shared" si="43"/>
        <v>22.872132747681764</v>
      </c>
      <c r="H97" s="40">
        <f t="shared" si="44"/>
        <v>23.907759882869858</v>
      </c>
      <c r="I97" s="40">
        <f t="shared" si="45"/>
        <v>37.091508052708704</v>
      </c>
      <c r="J97" s="40">
        <f t="shared" si="46"/>
        <v>31.242313323572258</v>
      </c>
      <c r="K97" s="40">
        <f t="shared" si="47"/>
        <v>29.077354807222985</v>
      </c>
      <c r="L97" s="40">
        <f t="shared" si="48"/>
        <v>29.23914104441193</v>
      </c>
      <c r="M97" s="40">
        <f t="shared" si="49"/>
        <v>23.49316739873095</v>
      </c>
      <c r="N97" s="40">
        <f t="shared" si="50"/>
        <v>21.980234260614857</v>
      </c>
      <c r="O97" s="40"/>
      <c r="P97" s="39">
        <f t="shared" si="51"/>
        <v>22.500976085895449</v>
      </c>
      <c r="Q97" s="39">
        <f t="shared" si="52"/>
        <v>20.874572962420601</v>
      </c>
      <c r="R97" s="39">
        <f t="shared" si="53"/>
        <v>21.550756466568984</v>
      </c>
      <c r="S97" s="39">
        <f t="shared" si="54"/>
        <v>21.124694973157613</v>
      </c>
      <c r="T97" s="39">
        <f t="shared" si="55"/>
        <v>21.574182528062636</v>
      </c>
      <c r="U97" s="39">
        <f t="shared" si="56"/>
        <v>19.388970229380071</v>
      </c>
      <c r="V97" s="39">
        <f t="shared" si="57"/>
        <v>22.242801366520251</v>
      </c>
      <c r="W97" s="39">
        <f t="shared" si="58"/>
        <v>25.568814055636683</v>
      </c>
      <c r="X97" s="39">
        <f t="shared" si="59"/>
        <v>24.367740361151871</v>
      </c>
      <c r="Y97" s="39">
        <f t="shared" si="60"/>
        <v>25.908247925817456</v>
      </c>
      <c r="Z97" s="39">
        <f t="shared" si="61"/>
        <v>25.433138116154115</v>
      </c>
      <c r="AA97" s="39">
        <f t="shared" si="62"/>
        <v>25.622254758418844</v>
      </c>
      <c r="AB97" s="38"/>
      <c r="AE97" s="15">
        <v>7.037037037037037E-3</v>
      </c>
      <c r="AF97" s="14">
        <f t="shared" si="63"/>
        <v>608</v>
      </c>
      <c r="AG97" s="8">
        <v>2.0735000000000001</v>
      </c>
      <c r="AH97" s="8">
        <v>2.0565000000000002</v>
      </c>
      <c r="AI97" s="8">
        <v>2.0657000000000001</v>
      </c>
      <c r="AJ97" s="8">
        <v>2.0488</v>
      </c>
      <c r="AK97" s="8">
        <v>2.0575999999999999</v>
      </c>
      <c r="AL97" s="8">
        <v>2.0493999999999999</v>
      </c>
      <c r="AM97" s="8">
        <v>2.0084</v>
      </c>
      <c r="AN97" s="8">
        <v>2.0205000000000002</v>
      </c>
      <c r="AO97" s="8">
        <v>2.0108000000000001</v>
      </c>
      <c r="AP97" s="8">
        <v>2.0247999999999999</v>
      </c>
      <c r="AQ97" s="8">
        <v>2.0367000000000002</v>
      </c>
      <c r="AR97" s="8">
        <v>2.0002</v>
      </c>
      <c r="AS97" s="8">
        <v>2.0627</v>
      </c>
      <c r="AT97" s="8">
        <v>2.0619000000000001</v>
      </c>
      <c r="AU97" s="8">
        <v>2.0748000000000002</v>
      </c>
      <c r="AV97" s="8">
        <v>2.0674999999999999</v>
      </c>
      <c r="AW97" s="8">
        <v>2.0707</v>
      </c>
      <c r="AX97" s="8">
        <v>2.0445000000000002</v>
      </c>
      <c r="AY97" s="8">
        <v>2.0592000000000001</v>
      </c>
      <c r="AZ97" s="8">
        <v>2.0525000000000002</v>
      </c>
      <c r="BA97" s="8">
        <v>2.0449000000000002</v>
      </c>
      <c r="BB97" s="8">
        <v>2.052</v>
      </c>
      <c r="BC97" s="8">
        <v>2.0531000000000001</v>
      </c>
      <c r="BD97" s="8">
        <v>2.0232999999999999</v>
      </c>
    </row>
    <row r="98" spans="2:56" s="13" customFormat="1" x14ac:dyDescent="0.3">
      <c r="B98" s="22">
        <f t="shared" si="38"/>
        <v>616</v>
      </c>
      <c r="C98" s="40">
        <f t="shared" si="39"/>
        <v>15.392142508540708</v>
      </c>
      <c r="D98" s="40">
        <f t="shared" si="40"/>
        <v>15.421669106881373</v>
      </c>
      <c r="E98" s="40">
        <f t="shared" si="41"/>
        <v>20.238164958516379</v>
      </c>
      <c r="F98" s="40">
        <f t="shared" si="42"/>
        <v>21.494875549048452</v>
      </c>
      <c r="G98" s="40">
        <f t="shared" si="43"/>
        <v>21.700829673011107</v>
      </c>
      <c r="H98" s="40">
        <f t="shared" si="44"/>
        <v>24.542215714983122</v>
      </c>
      <c r="I98" s="40">
        <f t="shared" si="45"/>
        <v>36.993899463152836</v>
      </c>
      <c r="J98" s="40">
        <f t="shared" si="46"/>
        <v>31.827964860907695</v>
      </c>
      <c r="K98" s="40">
        <f t="shared" si="47"/>
        <v>30.199853587115602</v>
      </c>
      <c r="L98" s="40">
        <f t="shared" si="48"/>
        <v>29.483162518301498</v>
      </c>
      <c r="M98" s="40">
        <f t="shared" si="49"/>
        <v>23.981210346510519</v>
      </c>
      <c r="N98" s="40">
        <f t="shared" si="50"/>
        <v>22.273060029282465</v>
      </c>
      <c r="O98" s="40"/>
      <c r="P98" s="39">
        <f t="shared" si="51"/>
        <v>22.452171791117404</v>
      </c>
      <c r="Q98" s="39">
        <f t="shared" si="52"/>
        <v>20.484138604197121</v>
      </c>
      <c r="R98" s="39">
        <f t="shared" si="53"/>
        <v>22.526842362127905</v>
      </c>
      <c r="S98" s="39">
        <f t="shared" si="54"/>
        <v>21.417520741825221</v>
      </c>
      <c r="T98" s="39">
        <f t="shared" si="55"/>
        <v>21.915812591508292</v>
      </c>
      <c r="U98" s="39">
        <f t="shared" si="56"/>
        <v>19.632991703269855</v>
      </c>
      <c r="V98" s="39">
        <f t="shared" si="57"/>
        <v>21.754758418740899</v>
      </c>
      <c r="W98" s="39">
        <f t="shared" si="58"/>
        <v>25.324792581747115</v>
      </c>
      <c r="X98" s="39">
        <f t="shared" si="59"/>
        <v>24.953391898487308</v>
      </c>
      <c r="Y98" s="39">
        <f t="shared" si="60"/>
        <v>26.981942410932245</v>
      </c>
      <c r="Z98" s="39">
        <f t="shared" si="61"/>
        <v>25.6771595900439</v>
      </c>
      <c r="AA98" s="39">
        <f t="shared" si="62"/>
        <v>25.866276232308412</v>
      </c>
      <c r="AB98" s="38"/>
      <c r="AE98" s="15">
        <v>7.1296296296296307E-3</v>
      </c>
      <c r="AF98" s="14">
        <f t="shared" si="63"/>
        <v>616</v>
      </c>
      <c r="AG98" s="8">
        <v>2.0728</v>
      </c>
      <c r="AH98" s="8">
        <v>2.0575000000000001</v>
      </c>
      <c r="AI98" s="8">
        <v>2.0649999999999999</v>
      </c>
      <c r="AJ98" s="8">
        <v>2.0501999999999998</v>
      </c>
      <c r="AK98" s="8">
        <v>2.06</v>
      </c>
      <c r="AL98" s="8">
        <v>2.0480999999999998</v>
      </c>
      <c r="AM98" s="8">
        <v>2.0085999999999999</v>
      </c>
      <c r="AN98" s="8">
        <v>2.0192999999999999</v>
      </c>
      <c r="AO98" s="8">
        <v>2.0085000000000002</v>
      </c>
      <c r="AP98" s="8">
        <v>2.0243000000000002</v>
      </c>
      <c r="AQ98" s="8">
        <v>2.0356999999999998</v>
      </c>
      <c r="AR98" s="8">
        <v>1.9996</v>
      </c>
      <c r="AS98" s="8">
        <v>2.0628000000000002</v>
      </c>
      <c r="AT98" s="8">
        <v>2.0627</v>
      </c>
      <c r="AU98" s="8">
        <v>2.0728</v>
      </c>
      <c r="AV98" s="8">
        <v>2.0669</v>
      </c>
      <c r="AW98" s="8">
        <v>2.0699999999999998</v>
      </c>
      <c r="AX98" s="8">
        <v>2.044</v>
      </c>
      <c r="AY98" s="8">
        <v>2.0602</v>
      </c>
      <c r="AZ98" s="8">
        <v>2.0529999999999999</v>
      </c>
      <c r="BA98" s="8">
        <v>2.0436999999999999</v>
      </c>
      <c r="BB98" s="8">
        <v>2.0497999999999998</v>
      </c>
      <c r="BC98" s="8">
        <v>2.0526</v>
      </c>
      <c r="BD98" s="8">
        <v>2.0228000000000002</v>
      </c>
    </row>
    <row r="99" spans="2:56" s="13" customFormat="1" x14ac:dyDescent="0.3">
      <c r="B99" s="22">
        <f t="shared" si="38"/>
        <v>624</v>
      </c>
      <c r="C99" s="40">
        <f t="shared" si="39"/>
        <v>15.782576866764192</v>
      </c>
      <c r="D99" s="40">
        <f t="shared" si="40"/>
        <v>15.763299170327025</v>
      </c>
      <c r="E99" s="40">
        <f t="shared" si="41"/>
        <v>21.263055148853123</v>
      </c>
      <c r="F99" s="40">
        <f t="shared" si="42"/>
        <v>22.861395802830632</v>
      </c>
      <c r="G99" s="40">
        <f t="shared" si="43"/>
        <v>22.481698389458284</v>
      </c>
      <c r="H99" s="40">
        <f t="shared" si="44"/>
        <v>25.274280136652042</v>
      </c>
      <c r="I99" s="40">
        <f t="shared" si="45"/>
        <v>37.628355295266104</v>
      </c>
      <c r="J99" s="40">
        <f t="shared" si="46"/>
        <v>31.583943387017911</v>
      </c>
      <c r="K99" s="40">
        <f t="shared" si="47"/>
        <v>29.56539775500255</v>
      </c>
      <c r="L99" s="40">
        <f t="shared" si="48"/>
        <v>30.800878477306071</v>
      </c>
      <c r="M99" s="40">
        <f t="shared" si="49"/>
        <v>24.810883357735527</v>
      </c>
      <c r="N99" s="40">
        <f t="shared" si="50"/>
        <v>22.175451439726597</v>
      </c>
      <c r="O99" s="40"/>
      <c r="P99" s="39">
        <f t="shared" si="51"/>
        <v>22.403367496339577</v>
      </c>
      <c r="Q99" s="39">
        <f t="shared" si="52"/>
        <v>20.337725719863208</v>
      </c>
      <c r="R99" s="39">
        <f t="shared" si="53"/>
        <v>21.745973645680941</v>
      </c>
      <c r="S99" s="39">
        <f t="shared" si="54"/>
        <v>21.515129331381093</v>
      </c>
      <c r="T99" s="39">
        <f t="shared" si="55"/>
        <v>22.208638360175904</v>
      </c>
      <c r="U99" s="39">
        <f t="shared" si="56"/>
        <v>19.6817959980479</v>
      </c>
      <c r="V99" s="39">
        <f t="shared" si="57"/>
        <v>23.121278672523296</v>
      </c>
      <c r="W99" s="39">
        <f t="shared" si="58"/>
        <v>24.543923865299938</v>
      </c>
      <c r="X99" s="39">
        <f t="shared" si="59"/>
        <v>24.660566129819699</v>
      </c>
      <c r="Y99" s="39">
        <f t="shared" si="60"/>
        <v>26.103465104929196</v>
      </c>
      <c r="Z99" s="39">
        <f t="shared" si="61"/>
        <v>25.530746705709987</v>
      </c>
      <c r="AA99" s="39">
        <f t="shared" si="62"/>
        <v>26.061493411420155</v>
      </c>
      <c r="AB99" s="38"/>
      <c r="AE99" s="15">
        <v>7.2222222222222228E-3</v>
      </c>
      <c r="AF99" s="14">
        <f t="shared" si="63"/>
        <v>624</v>
      </c>
      <c r="AG99" s="8">
        <v>2.0720000000000001</v>
      </c>
      <c r="AH99" s="8">
        <v>2.0568</v>
      </c>
      <c r="AI99" s="8">
        <v>2.0629</v>
      </c>
      <c r="AJ99" s="8">
        <v>2.0474000000000001</v>
      </c>
      <c r="AK99" s="8">
        <v>2.0583999999999998</v>
      </c>
      <c r="AL99" s="8">
        <v>2.0466000000000002</v>
      </c>
      <c r="AM99" s="8">
        <v>2.0072999999999999</v>
      </c>
      <c r="AN99" s="8">
        <v>2.0198</v>
      </c>
      <c r="AO99" s="8">
        <v>2.0097999999999998</v>
      </c>
      <c r="AP99" s="8">
        <v>2.0215999999999998</v>
      </c>
      <c r="AQ99" s="8">
        <v>2.0339999999999998</v>
      </c>
      <c r="AR99" s="8">
        <v>1.9998</v>
      </c>
      <c r="AS99" s="8">
        <v>2.0629</v>
      </c>
      <c r="AT99" s="8">
        <v>2.0630000000000002</v>
      </c>
      <c r="AU99" s="8">
        <v>2.0743999999999998</v>
      </c>
      <c r="AV99" s="8">
        <v>2.0667</v>
      </c>
      <c r="AW99" s="8">
        <v>2.0693999999999999</v>
      </c>
      <c r="AX99" s="8">
        <v>2.0438999999999998</v>
      </c>
      <c r="AY99" s="8">
        <v>2.0573999999999999</v>
      </c>
      <c r="AZ99" s="8">
        <v>2.0546000000000002</v>
      </c>
      <c r="BA99" s="8">
        <v>2.0442999999999998</v>
      </c>
      <c r="BB99" s="8">
        <v>2.0516000000000001</v>
      </c>
      <c r="BC99" s="8">
        <v>2.0529000000000002</v>
      </c>
      <c r="BD99" s="8">
        <v>2.0224000000000002</v>
      </c>
    </row>
    <row r="100" spans="2:56" s="13" customFormat="1" x14ac:dyDescent="0.3">
      <c r="B100" s="22">
        <f t="shared" si="38"/>
        <v>632</v>
      </c>
      <c r="C100" s="40">
        <f t="shared" si="39"/>
        <v>15.050512445095055</v>
      </c>
      <c r="D100" s="40">
        <f t="shared" si="40"/>
        <v>15.958516349438767</v>
      </c>
      <c r="E100" s="40">
        <f t="shared" si="41"/>
        <v>20.14055636896051</v>
      </c>
      <c r="F100" s="40">
        <f t="shared" si="42"/>
        <v>21.9829184968278</v>
      </c>
      <c r="G100" s="40">
        <f t="shared" si="43"/>
        <v>22.384089799902195</v>
      </c>
      <c r="H100" s="40">
        <f t="shared" si="44"/>
        <v>25.079062957540298</v>
      </c>
      <c r="I100" s="40">
        <f t="shared" si="45"/>
        <v>38.506832601268933</v>
      </c>
      <c r="J100" s="40">
        <f t="shared" si="46"/>
        <v>32.804050756466395</v>
      </c>
      <c r="K100" s="40">
        <f t="shared" si="47"/>
        <v>29.760614934114294</v>
      </c>
      <c r="L100" s="40">
        <f t="shared" si="48"/>
        <v>30.312835529526502</v>
      </c>
      <c r="M100" s="40">
        <f t="shared" si="49"/>
        <v>24.371644704733999</v>
      </c>
      <c r="N100" s="40">
        <f t="shared" si="50"/>
        <v>22.712298682283993</v>
      </c>
      <c r="O100" s="40"/>
      <c r="P100" s="39">
        <f t="shared" si="51"/>
        <v>22.696193265007189</v>
      </c>
      <c r="Q100" s="39">
        <f t="shared" si="52"/>
        <v>20.630551488531033</v>
      </c>
      <c r="R100" s="39">
        <f t="shared" si="53"/>
        <v>22.087603709126377</v>
      </c>
      <c r="S100" s="39">
        <f t="shared" si="54"/>
        <v>21.710346510492833</v>
      </c>
      <c r="T100" s="39">
        <f t="shared" si="55"/>
        <v>22.111029770620029</v>
      </c>
      <c r="U100" s="39">
        <f t="shared" si="56"/>
        <v>19.535383113713984</v>
      </c>
      <c r="V100" s="39">
        <f t="shared" si="57"/>
        <v>22.584431429965903</v>
      </c>
      <c r="W100" s="39">
        <f t="shared" si="58"/>
        <v>24.983162518301459</v>
      </c>
      <c r="X100" s="39">
        <f t="shared" si="59"/>
        <v>25.099804782821003</v>
      </c>
      <c r="Y100" s="39">
        <f t="shared" si="60"/>
        <v>26.347486578818977</v>
      </c>
      <c r="Z100" s="39">
        <f t="shared" si="61"/>
        <v>24.993899463152811</v>
      </c>
      <c r="AA100" s="39">
        <f t="shared" si="62"/>
        <v>26.256710590532109</v>
      </c>
      <c r="AB100" s="38"/>
      <c r="AE100" s="15">
        <v>7.3148148148148148E-3</v>
      </c>
      <c r="AF100" s="14">
        <f t="shared" si="63"/>
        <v>632</v>
      </c>
      <c r="AG100" s="8">
        <v>2.0735000000000001</v>
      </c>
      <c r="AH100" s="8">
        <v>2.0564</v>
      </c>
      <c r="AI100" s="8">
        <v>2.0651999999999999</v>
      </c>
      <c r="AJ100" s="8">
        <v>2.0491999999999999</v>
      </c>
      <c r="AK100" s="8">
        <v>2.0586000000000002</v>
      </c>
      <c r="AL100" s="8">
        <v>2.0470000000000002</v>
      </c>
      <c r="AM100" s="8">
        <v>2.0055000000000001</v>
      </c>
      <c r="AN100" s="8">
        <v>2.0173000000000001</v>
      </c>
      <c r="AO100" s="8">
        <v>2.0093999999999999</v>
      </c>
      <c r="AP100" s="8">
        <v>2.0226000000000002</v>
      </c>
      <c r="AQ100" s="8">
        <v>2.0348999999999999</v>
      </c>
      <c r="AR100" s="8">
        <v>1.9986999999999999</v>
      </c>
      <c r="AS100" s="8">
        <v>2.0623</v>
      </c>
      <c r="AT100" s="8">
        <v>2.0623999999999998</v>
      </c>
      <c r="AU100" s="8">
        <v>2.0737000000000001</v>
      </c>
      <c r="AV100" s="8">
        <v>2.0663</v>
      </c>
      <c r="AW100" s="8">
        <v>2.0695999999999999</v>
      </c>
      <c r="AX100" s="8">
        <v>2.0442</v>
      </c>
      <c r="AY100" s="8">
        <v>2.0585</v>
      </c>
      <c r="AZ100" s="8">
        <v>2.0537000000000001</v>
      </c>
      <c r="BA100" s="8">
        <v>2.0434000000000001</v>
      </c>
      <c r="BB100" s="8">
        <v>2.0510999999999999</v>
      </c>
      <c r="BC100" s="8">
        <v>2.0539999999999998</v>
      </c>
      <c r="BD100" s="8">
        <v>2.0219999999999998</v>
      </c>
    </row>
    <row r="101" spans="2:56" s="13" customFormat="1" x14ac:dyDescent="0.3">
      <c r="B101" s="22">
        <f t="shared" si="38"/>
        <v>640</v>
      </c>
      <c r="C101" s="40">
        <f t="shared" si="39"/>
        <v>15.733772571986362</v>
      </c>
      <c r="D101" s="40">
        <f t="shared" si="40"/>
        <v>16.202537823328552</v>
      </c>
      <c r="E101" s="40">
        <f t="shared" si="41"/>
        <v>20.579795021962031</v>
      </c>
      <c r="F101" s="40">
        <f t="shared" si="42"/>
        <v>22.324548560273239</v>
      </c>
      <c r="G101" s="40">
        <f t="shared" si="43"/>
        <v>22.676915568570024</v>
      </c>
      <c r="H101" s="40">
        <f t="shared" si="44"/>
        <v>24.493411420205078</v>
      </c>
      <c r="I101" s="40">
        <f t="shared" si="45"/>
        <v>38.897266959492413</v>
      </c>
      <c r="J101" s="40">
        <f t="shared" si="46"/>
        <v>32.511224987798784</v>
      </c>
      <c r="K101" s="40">
        <f t="shared" si="47"/>
        <v>29.174963396778857</v>
      </c>
      <c r="L101" s="40">
        <f t="shared" si="48"/>
        <v>30.459248413860415</v>
      </c>
      <c r="M101" s="40">
        <f t="shared" si="49"/>
        <v>25.884577842850099</v>
      </c>
      <c r="N101" s="40">
        <f t="shared" si="50"/>
        <v>22.126647144948663</v>
      </c>
      <c r="O101" s="40"/>
      <c r="P101" s="39">
        <f t="shared" si="51"/>
        <v>23.233040507564581</v>
      </c>
      <c r="Q101" s="39">
        <f t="shared" si="52"/>
        <v>20.532942898974945</v>
      </c>
      <c r="R101" s="39">
        <f t="shared" si="53"/>
        <v>21.794777940458768</v>
      </c>
      <c r="S101" s="39">
        <f t="shared" si="54"/>
        <v>21.563933626158921</v>
      </c>
      <c r="T101" s="39">
        <f t="shared" si="55"/>
        <v>22.452659834065468</v>
      </c>
      <c r="U101" s="39">
        <f t="shared" si="56"/>
        <v>19.877013177159636</v>
      </c>
      <c r="V101" s="39">
        <f t="shared" si="57"/>
        <v>22.584431429965903</v>
      </c>
      <c r="W101" s="39">
        <f t="shared" si="58"/>
        <v>24.983162518301459</v>
      </c>
      <c r="X101" s="39">
        <f t="shared" si="59"/>
        <v>24.758174719375567</v>
      </c>
      <c r="Y101" s="39">
        <f t="shared" si="60"/>
        <v>27.616398243045293</v>
      </c>
      <c r="Z101" s="39">
        <f t="shared" si="61"/>
        <v>26.750854075158689</v>
      </c>
      <c r="AA101" s="39">
        <f t="shared" si="62"/>
        <v>26.159102000976024</v>
      </c>
      <c r="AB101" s="38"/>
      <c r="AE101" s="15">
        <v>7.4074074074074068E-3</v>
      </c>
      <c r="AF101" s="14">
        <f t="shared" si="63"/>
        <v>640</v>
      </c>
      <c r="AG101" s="8">
        <v>2.0720999999999998</v>
      </c>
      <c r="AH101" s="8">
        <v>2.0558999999999998</v>
      </c>
      <c r="AI101" s="8">
        <v>2.0642999999999998</v>
      </c>
      <c r="AJ101" s="8">
        <v>2.0485000000000002</v>
      </c>
      <c r="AK101" s="8">
        <v>2.0579999999999998</v>
      </c>
      <c r="AL101" s="8">
        <v>2.0482</v>
      </c>
      <c r="AM101" s="8">
        <v>2.0047000000000001</v>
      </c>
      <c r="AN101" s="8">
        <v>2.0179</v>
      </c>
      <c r="AO101" s="8">
        <v>2.0106000000000002</v>
      </c>
      <c r="AP101" s="8">
        <v>2.0223</v>
      </c>
      <c r="AQ101" s="8">
        <v>2.0318000000000001</v>
      </c>
      <c r="AR101" s="8">
        <v>1.9999</v>
      </c>
      <c r="AS101" s="8">
        <v>2.0611999999999999</v>
      </c>
      <c r="AT101" s="8">
        <v>2.0626000000000002</v>
      </c>
      <c r="AU101" s="8">
        <v>2.0743</v>
      </c>
      <c r="AV101" s="8">
        <v>2.0666000000000002</v>
      </c>
      <c r="AW101" s="8">
        <v>2.0689000000000002</v>
      </c>
      <c r="AX101" s="8">
        <v>2.0434999999999999</v>
      </c>
      <c r="AY101" s="8">
        <v>2.0585</v>
      </c>
      <c r="AZ101" s="8">
        <v>2.0537000000000001</v>
      </c>
      <c r="BA101" s="8">
        <v>2.0440999999999998</v>
      </c>
      <c r="BB101" s="8">
        <v>2.0485000000000002</v>
      </c>
      <c r="BC101" s="8">
        <v>2.0503999999999998</v>
      </c>
      <c r="BD101" s="8">
        <v>2.0222000000000002</v>
      </c>
    </row>
    <row r="102" spans="2:56" s="13" customFormat="1" x14ac:dyDescent="0.3">
      <c r="B102" s="22">
        <f t="shared" si="38"/>
        <v>648</v>
      </c>
      <c r="C102" s="40">
        <f t="shared" si="39"/>
        <v>15.782576866764192</v>
      </c>
      <c r="D102" s="40">
        <f t="shared" si="40"/>
        <v>16.348950707662247</v>
      </c>
      <c r="E102" s="40">
        <f t="shared" si="41"/>
        <v>21.116642264519211</v>
      </c>
      <c r="F102" s="40">
        <f t="shared" si="42"/>
        <v>22.226939970717368</v>
      </c>
      <c r="G102" s="40">
        <f t="shared" si="43"/>
        <v>22.676915568570024</v>
      </c>
      <c r="H102" s="40">
        <f t="shared" si="44"/>
        <v>24.932650073206599</v>
      </c>
      <c r="I102" s="40">
        <f t="shared" si="45"/>
        <v>38.653245485602845</v>
      </c>
      <c r="J102" s="40">
        <f t="shared" si="46"/>
        <v>33.145680819912052</v>
      </c>
      <c r="K102" s="40">
        <f t="shared" si="47"/>
        <v>29.809419228892118</v>
      </c>
      <c r="L102" s="40">
        <f t="shared" si="48"/>
        <v>31.288921425085423</v>
      </c>
      <c r="M102" s="40">
        <f t="shared" si="49"/>
        <v>25.445339189848571</v>
      </c>
      <c r="N102" s="40">
        <f t="shared" si="50"/>
        <v>23.053928745729536</v>
      </c>
      <c r="O102" s="40"/>
      <c r="P102" s="39">
        <f t="shared" si="51"/>
        <v>23.281844802342409</v>
      </c>
      <c r="Q102" s="39">
        <f t="shared" si="52"/>
        <v>21.655441678867778</v>
      </c>
      <c r="R102" s="39">
        <f t="shared" si="53"/>
        <v>23.063689604685297</v>
      </c>
      <c r="S102" s="39">
        <f t="shared" si="54"/>
        <v>22.295998047828054</v>
      </c>
      <c r="T102" s="39">
        <f t="shared" si="55"/>
        <v>22.647877013177425</v>
      </c>
      <c r="U102" s="39">
        <f t="shared" si="56"/>
        <v>19.242557345046372</v>
      </c>
      <c r="V102" s="39">
        <f t="shared" si="57"/>
        <v>22.730844314299819</v>
      </c>
      <c r="W102" s="39">
        <f t="shared" si="58"/>
        <v>25.422401171302987</v>
      </c>
      <c r="X102" s="39">
        <f t="shared" si="59"/>
        <v>25.392630551488615</v>
      </c>
      <c r="Y102" s="39">
        <f t="shared" si="60"/>
        <v>26.981942410932245</v>
      </c>
      <c r="Z102" s="39">
        <f t="shared" si="61"/>
        <v>26.409224011713036</v>
      </c>
      <c r="AA102" s="39">
        <f t="shared" si="62"/>
        <v>27.574426549536465</v>
      </c>
      <c r="AB102" s="38"/>
      <c r="AE102" s="15">
        <v>7.5000000000000006E-3</v>
      </c>
      <c r="AF102" s="14">
        <f t="shared" si="63"/>
        <v>648</v>
      </c>
      <c r="AG102" s="8">
        <v>2.0720000000000001</v>
      </c>
      <c r="AH102" s="8">
        <v>2.0556000000000001</v>
      </c>
      <c r="AI102" s="8">
        <v>2.0632000000000001</v>
      </c>
      <c r="AJ102" s="8">
        <v>2.0487000000000002</v>
      </c>
      <c r="AK102" s="8">
        <v>2.0579999999999998</v>
      </c>
      <c r="AL102" s="8">
        <v>2.0472999999999999</v>
      </c>
      <c r="AM102" s="8">
        <v>2.0051999999999999</v>
      </c>
      <c r="AN102" s="8">
        <v>2.0165999999999999</v>
      </c>
      <c r="AO102" s="8">
        <v>2.0093000000000001</v>
      </c>
      <c r="AP102" s="8">
        <v>2.0206</v>
      </c>
      <c r="AQ102" s="8">
        <v>2.0327000000000002</v>
      </c>
      <c r="AR102" s="8">
        <v>1.998</v>
      </c>
      <c r="AS102" s="8">
        <v>2.0611000000000002</v>
      </c>
      <c r="AT102" s="8">
        <v>2.0602999999999998</v>
      </c>
      <c r="AU102" s="8">
        <v>2.0716999999999999</v>
      </c>
      <c r="AV102" s="8">
        <v>2.0651000000000002</v>
      </c>
      <c r="AW102" s="8">
        <v>2.0684999999999998</v>
      </c>
      <c r="AX102" s="8">
        <v>2.0448</v>
      </c>
      <c r="AY102" s="8">
        <v>2.0581999999999998</v>
      </c>
      <c r="AZ102" s="8">
        <v>2.0528</v>
      </c>
      <c r="BA102" s="8">
        <v>2.0428000000000002</v>
      </c>
      <c r="BB102" s="8">
        <v>2.0497999999999998</v>
      </c>
      <c r="BC102" s="8">
        <v>2.0510999999999999</v>
      </c>
      <c r="BD102" s="8">
        <v>2.0192999999999999</v>
      </c>
    </row>
    <row r="103" spans="2:56" s="13" customFormat="1" x14ac:dyDescent="0.3">
      <c r="B103" s="22">
        <f t="shared" si="38"/>
        <v>656</v>
      </c>
      <c r="C103" s="40">
        <f t="shared" si="39"/>
        <v>14.904099560761358</v>
      </c>
      <c r="D103" s="40">
        <f t="shared" si="40"/>
        <v>16.056124938994635</v>
      </c>
      <c r="E103" s="40">
        <f t="shared" si="41"/>
        <v>20.33577354807225</v>
      </c>
      <c r="F103" s="40">
        <f t="shared" si="42"/>
        <v>21.39726695949258</v>
      </c>
      <c r="G103" s="40">
        <f t="shared" si="43"/>
        <v>23.360175695461116</v>
      </c>
      <c r="H103" s="40">
        <f t="shared" si="44"/>
        <v>25.225475841874211</v>
      </c>
      <c r="I103" s="40">
        <f t="shared" si="45"/>
        <v>39.580527086383718</v>
      </c>
      <c r="J103" s="40">
        <f t="shared" si="46"/>
        <v>32.706442166910527</v>
      </c>
      <c r="K103" s="40">
        <f t="shared" si="47"/>
        <v>30.834309419228862</v>
      </c>
      <c r="L103" s="40">
        <f t="shared" si="48"/>
        <v>31.825768667642816</v>
      </c>
      <c r="M103" s="40">
        <f t="shared" si="49"/>
        <v>25.93338213762814</v>
      </c>
      <c r="N103" s="40">
        <f t="shared" si="50"/>
        <v>23.102733040507474</v>
      </c>
      <c r="O103" s="40"/>
      <c r="P103" s="39">
        <f t="shared" si="51"/>
        <v>23.330649097120453</v>
      </c>
      <c r="Q103" s="39">
        <f t="shared" si="52"/>
        <v>21.411420204977993</v>
      </c>
      <c r="R103" s="39">
        <f t="shared" si="53"/>
        <v>23.112493899463125</v>
      </c>
      <c r="S103" s="39">
        <f t="shared" si="54"/>
        <v>22.149585163494358</v>
      </c>
      <c r="T103" s="39">
        <f t="shared" si="55"/>
        <v>23.379941434846344</v>
      </c>
      <c r="U103" s="39">
        <f t="shared" si="56"/>
        <v>20.121034651049204</v>
      </c>
      <c r="V103" s="39">
        <f t="shared" si="57"/>
        <v>23.31649585163504</v>
      </c>
      <c r="W103" s="39">
        <f t="shared" si="58"/>
        <v>25.812835529526467</v>
      </c>
      <c r="X103" s="39">
        <f t="shared" si="59"/>
        <v>25.44143484626666</v>
      </c>
      <c r="Y103" s="39">
        <f t="shared" si="60"/>
        <v>26.933138116154201</v>
      </c>
      <c r="Z103" s="39">
        <f t="shared" si="61"/>
        <v>26.555636896046732</v>
      </c>
      <c r="AA103" s="39">
        <f t="shared" si="62"/>
        <v>26.500732064421676</v>
      </c>
      <c r="AB103" s="38"/>
      <c r="AE103" s="15">
        <v>7.5925925925925926E-3</v>
      </c>
      <c r="AF103" s="14">
        <f t="shared" si="63"/>
        <v>656</v>
      </c>
      <c r="AG103" s="8">
        <v>2.0737999999999999</v>
      </c>
      <c r="AH103" s="8">
        <v>2.0562</v>
      </c>
      <c r="AI103" s="8">
        <v>2.0648</v>
      </c>
      <c r="AJ103" s="8">
        <v>2.0503999999999998</v>
      </c>
      <c r="AK103" s="8">
        <v>2.0566</v>
      </c>
      <c r="AL103" s="8">
        <v>2.0467</v>
      </c>
      <c r="AM103" s="8">
        <v>2.0032999999999999</v>
      </c>
      <c r="AN103" s="8">
        <v>2.0175000000000001</v>
      </c>
      <c r="AO103" s="8">
        <v>2.0072000000000001</v>
      </c>
      <c r="AP103" s="8">
        <v>2.0194999999999999</v>
      </c>
      <c r="AQ103" s="8">
        <v>2.0316999999999998</v>
      </c>
      <c r="AR103" s="8">
        <v>1.9979</v>
      </c>
      <c r="AS103" s="8">
        <v>2.0609999999999999</v>
      </c>
      <c r="AT103" s="8">
        <v>2.0608</v>
      </c>
      <c r="AU103" s="8">
        <v>2.0716000000000001</v>
      </c>
      <c r="AV103" s="8">
        <v>2.0653999999999999</v>
      </c>
      <c r="AW103" s="8">
        <v>2.0670000000000002</v>
      </c>
      <c r="AX103" s="8">
        <v>2.0430000000000001</v>
      </c>
      <c r="AY103" s="8">
        <v>2.0569999999999999</v>
      </c>
      <c r="AZ103" s="8">
        <v>2.052</v>
      </c>
      <c r="BA103" s="8">
        <v>2.0427</v>
      </c>
      <c r="BB103" s="8">
        <v>2.0499000000000001</v>
      </c>
      <c r="BC103" s="8">
        <v>2.0508000000000002</v>
      </c>
      <c r="BD103" s="8">
        <v>2.0215000000000001</v>
      </c>
    </row>
    <row r="104" spans="2:56" s="13" customFormat="1" x14ac:dyDescent="0.3">
      <c r="B104" s="22">
        <f t="shared" si="38"/>
        <v>664</v>
      </c>
      <c r="C104" s="40">
        <f t="shared" si="39"/>
        <v>15.88018545632006</v>
      </c>
      <c r="D104" s="40">
        <f t="shared" si="40"/>
        <v>16.397755002440292</v>
      </c>
      <c r="E104" s="40">
        <f t="shared" si="41"/>
        <v>21.360663738408995</v>
      </c>
      <c r="F104" s="40">
        <f t="shared" si="42"/>
        <v>23.154221571498244</v>
      </c>
      <c r="G104" s="40">
        <f t="shared" si="43"/>
        <v>23.994631527574381</v>
      </c>
      <c r="H104" s="40">
        <f t="shared" si="44"/>
        <v>25.664714494875735</v>
      </c>
      <c r="I104" s="40">
        <f t="shared" si="45"/>
        <v>40.80063445583221</v>
      </c>
      <c r="J104" s="40">
        <f t="shared" si="46"/>
        <v>33.438506588579664</v>
      </c>
      <c r="K104" s="40">
        <f t="shared" si="47"/>
        <v>30.834309419228862</v>
      </c>
      <c r="L104" s="40">
        <f t="shared" si="48"/>
        <v>31.776964372864771</v>
      </c>
      <c r="M104" s="40">
        <f t="shared" si="49"/>
        <v>25.640556368960315</v>
      </c>
      <c r="N104" s="40">
        <f t="shared" si="50"/>
        <v>23.395558809175082</v>
      </c>
      <c r="O104" s="40"/>
      <c r="P104" s="39">
        <f t="shared" si="51"/>
        <v>23.916300634455673</v>
      </c>
      <c r="Q104" s="39">
        <f t="shared" si="52"/>
        <v>21.94826744753539</v>
      </c>
      <c r="R104" s="39">
        <f t="shared" si="53"/>
        <v>23.356515373352909</v>
      </c>
      <c r="S104" s="39">
        <f t="shared" si="54"/>
        <v>22.100780868716317</v>
      </c>
      <c r="T104" s="39">
        <f t="shared" si="55"/>
        <v>22.794289897511124</v>
      </c>
      <c r="U104" s="39">
        <f t="shared" si="56"/>
        <v>20.023426061493335</v>
      </c>
      <c r="V104" s="39">
        <f t="shared" si="57"/>
        <v>23.121278672523296</v>
      </c>
      <c r="W104" s="39">
        <f t="shared" si="58"/>
        <v>26.398487066861687</v>
      </c>
      <c r="X104" s="39">
        <f t="shared" si="59"/>
        <v>25.83186920449014</v>
      </c>
      <c r="Y104" s="39">
        <f t="shared" si="60"/>
        <v>27.177159590043985</v>
      </c>
      <c r="Z104" s="39">
        <f t="shared" si="61"/>
        <v>27.873352855051305</v>
      </c>
      <c r="AA104" s="39">
        <f t="shared" si="62"/>
        <v>27.525622254758424</v>
      </c>
      <c r="AB104" s="38"/>
      <c r="AE104" s="15">
        <v>7.6851851851851847E-3</v>
      </c>
      <c r="AF104" s="14">
        <f t="shared" si="63"/>
        <v>664</v>
      </c>
      <c r="AG104" s="8">
        <v>2.0718000000000001</v>
      </c>
      <c r="AH104" s="8">
        <v>2.0554999999999999</v>
      </c>
      <c r="AI104" s="8">
        <v>2.0627</v>
      </c>
      <c r="AJ104" s="8">
        <v>2.0468000000000002</v>
      </c>
      <c r="AK104" s="8">
        <v>2.0552999999999999</v>
      </c>
      <c r="AL104" s="8">
        <v>2.0457999999999998</v>
      </c>
      <c r="AM104" s="8">
        <v>2.0007999999999999</v>
      </c>
      <c r="AN104" s="8">
        <v>2.016</v>
      </c>
      <c r="AO104" s="8">
        <v>2.0072000000000001</v>
      </c>
      <c r="AP104" s="8">
        <v>2.0196000000000001</v>
      </c>
      <c r="AQ104" s="8">
        <v>2.0323000000000002</v>
      </c>
      <c r="AR104" s="8">
        <v>1.9973000000000001</v>
      </c>
      <c r="AS104" s="8">
        <v>2.0598000000000001</v>
      </c>
      <c r="AT104" s="8">
        <v>2.0596999999999999</v>
      </c>
      <c r="AU104" s="8">
        <v>2.0710999999999999</v>
      </c>
      <c r="AV104" s="8">
        <v>2.0655000000000001</v>
      </c>
      <c r="AW104" s="8">
        <v>2.0682</v>
      </c>
      <c r="AX104" s="8">
        <v>2.0432000000000001</v>
      </c>
      <c r="AY104" s="8">
        <v>2.0573999999999999</v>
      </c>
      <c r="AZ104" s="8">
        <v>2.0508000000000002</v>
      </c>
      <c r="BA104" s="8">
        <v>2.0419</v>
      </c>
      <c r="BB104" s="8">
        <v>2.0493999999999999</v>
      </c>
      <c r="BC104" s="8">
        <v>2.0480999999999998</v>
      </c>
      <c r="BD104" s="8">
        <v>2.0194000000000001</v>
      </c>
    </row>
    <row r="105" spans="2:56" s="13" customFormat="1" x14ac:dyDescent="0.3">
      <c r="B105" s="22">
        <f t="shared" si="38"/>
        <v>672</v>
      </c>
      <c r="C105" s="40">
        <f t="shared" si="39"/>
        <v>16.026598340653972</v>
      </c>
      <c r="D105" s="40">
        <f t="shared" si="40"/>
        <v>17.032210834553556</v>
      </c>
      <c r="E105" s="40">
        <f t="shared" si="41"/>
        <v>21.555880917520735</v>
      </c>
      <c r="F105" s="40">
        <f t="shared" si="42"/>
        <v>23.251830161054116</v>
      </c>
      <c r="G105" s="40">
        <f t="shared" si="43"/>
        <v>23.262567105905244</v>
      </c>
      <c r="H105" s="40">
        <f t="shared" si="44"/>
        <v>25.420693020985951</v>
      </c>
      <c r="I105" s="40">
        <f t="shared" si="45"/>
        <v>40.65422157149829</v>
      </c>
      <c r="J105" s="40">
        <f t="shared" si="46"/>
        <v>34.170571010248793</v>
      </c>
      <c r="K105" s="40">
        <f t="shared" si="47"/>
        <v>30.49267935578343</v>
      </c>
      <c r="L105" s="40">
        <f t="shared" si="48"/>
        <v>31.874572962420647</v>
      </c>
      <c r="M105" s="40">
        <f t="shared" si="49"/>
        <v>25.982186432405967</v>
      </c>
      <c r="N105" s="40">
        <f t="shared" si="50"/>
        <v>23.102733040507474</v>
      </c>
      <c r="O105" s="40"/>
      <c r="P105" s="39">
        <f t="shared" si="51"/>
        <v>23.965104929233718</v>
      </c>
      <c r="Q105" s="39">
        <f t="shared" si="52"/>
        <v>22.289897510980826</v>
      </c>
      <c r="R105" s="39">
        <f t="shared" si="53"/>
        <v>22.819668130795513</v>
      </c>
      <c r="S105" s="39">
        <f t="shared" si="54"/>
        <v>22.247193753050226</v>
      </c>
      <c r="T105" s="39">
        <f t="shared" si="55"/>
        <v>23.184724255734604</v>
      </c>
      <c r="U105" s="39">
        <f t="shared" si="56"/>
        <v>20.072230356271376</v>
      </c>
      <c r="V105" s="39">
        <f t="shared" si="57"/>
        <v>23.170082967301123</v>
      </c>
      <c r="W105" s="39">
        <f t="shared" si="58"/>
        <v>25.617618350414723</v>
      </c>
      <c r="X105" s="39">
        <f t="shared" si="59"/>
        <v>26.466325036603404</v>
      </c>
      <c r="Y105" s="39">
        <f t="shared" si="60"/>
        <v>27.372376769155725</v>
      </c>
      <c r="Z105" s="39">
        <f t="shared" si="61"/>
        <v>27.531722791605649</v>
      </c>
      <c r="AA105" s="39">
        <f t="shared" si="62"/>
        <v>28.452903855539297</v>
      </c>
      <c r="AB105" s="38"/>
      <c r="AE105" s="15">
        <v>7.7777777777777767E-3</v>
      </c>
      <c r="AF105" s="14">
        <f t="shared" si="63"/>
        <v>672</v>
      </c>
      <c r="AG105" s="8">
        <v>2.0714999999999999</v>
      </c>
      <c r="AH105" s="8">
        <v>2.0541999999999998</v>
      </c>
      <c r="AI105" s="8">
        <v>2.0623</v>
      </c>
      <c r="AJ105" s="8">
        <v>2.0466000000000002</v>
      </c>
      <c r="AK105" s="8">
        <v>2.0568</v>
      </c>
      <c r="AL105" s="8">
        <v>2.0463</v>
      </c>
      <c r="AM105" s="8">
        <v>2.0011000000000001</v>
      </c>
      <c r="AN105" s="8">
        <v>2.0145</v>
      </c>
      <c r="AO105" s="8">
        <v>2.0078999999999998</v>
      </c>
      <c r="AP105" s="8">
        <v>2.0194000000000001</v>
      </c>
      <c r="AQ105" s="8">
        <v>2.0316000000000001</v>
      </c>
      <c r="AR105" s="8">
        <v>1.9979</v>
      </c>
      <c r="AS105" s="8">
        <v>2.0596999999999999</v>
      </c>
      <c r="AT105" s="8">
        <v>2.0590000000000002</v>
      </c>
      <c r="AU105" s="8">
        <v>2.0722</v>
      </c>
      <c r="AV105" s="8">
        <v>2.0651999999999999</v>
      </c>
      <c r="AW105" s="8">
        <v>2.0674000000000001</v>
      </c>
      <c r="AX105" s="8">
        <v>2.0430999999999999</v>
      </c>
      <c r="AY105" s="8">
        <v>2.0573000000000001</v>
      </c>
      <c r="AZ105" s="8">
        <v>2.0524</v>
      </c>
      <c r="BA105" s="8">
        <v>2.0406</v>
      </c>
      <c r="BB105" s="8">
        <v>2.0489999999999999</v>
      </c>
      <c r="BC105" s="8">
        <v>2.0488</v>
      </c>
      <c r="BD105" s="8">
        <v>2.0175000000000001</v>
      </c>
    </row>
    <row r="106" spans="2:56" s="13" customFormat="1" x14ac:dyDescent="0.3">
      <c r="B106" s="22">
        <f t="shared" si="38"/>
        <v>680</v>
      </c>
      <c r="C106" s="40">
        <f t="shared" si="39"/>
        <v>16.27061981454354</v>
      </c>
      <c r="D106" s="40">
        <f t="shared" si="40"/>
        <v>16.007320644216811</v>
      </c>
      <c r="E106" s="40">
        <f t="shared" si="41"/>
        <v>21.263055148853123</v>
      </c>
      <c r="F106" s="40">
        <f t="shared" si="42"/>
        <v>22.91020009760868</v>
      </c>
      <c r="G106" s="40">
        <f t="shared" si="43"/>
        <v>23.750610053684596</v>
      </c>
      <c r="H106" s="40">
        <f t="shared" si="44"/>
        <v>24.44460712542725</v>
      </c>
      <c r="I106" s="40">
        <f t="shared" si="45"/>
        <v>41.483894582723295</v>
      </c>
      <c r="J106" s="40">
        <f t="shared" si="46"/>
        <v>34.707418252806193</v>
      </c>
      <c r="K106" s="40">
        <f t="shared" si="47"/>
        <v>30.639092240117126</v>
      </c>
      <c r="L106" s="40">
        <f t="shared" si="48"/>
        <v>32.362615910199992</v>
      </c>
      <c r="M106" s="40">
        <f t="shared" si="49"/>
        <v>26.763055148853148</v>
      </c>
      <c r="N106" s="40">
        <f t="shared" si="50"/>
        <v>23.737188872620735</v>
      </c>
      <c r="O106" s="40"/>
      <c r="P106" s="39">
        <f t="shared" si="51"/>
        <v>23.721083455343933</v>
      </c>
      <c r="Q106" s="39">
        <f t="shared" si="52"/>
        <v>22.289897510980826</v>
      </c>
      <c r="R106" s="39">
        <f t="shared" si="53"/>
        <v>23.063689604685297</v>
      </c>
      <c r="S106" s="39">
        <f t="shared" si="54"/>
        <v>22.784040995607622</v>
      </c>
      <c r="T106" s="39">
        <f t="shared" si="55"/>
        <v>23.184724255734604</v>
      </c>
      <c r="U106" s="39">
        <f t="shared" si="56"/>
        <v>19.925817471937467</v>
      </c>
      <c r="V106" s="39">
        <f t="shared" si="57"/>
        <v>24.341386041971781</v>
      </c>
      <c r="W106" s="39">
        <f t="shared" si="58"/>
        <v>26.691312835529516</v>
      </c>
      <c r="X106" s="39">
        <f t="shared" si="59"/>
        <v>27.003172279160797</v>
      </c>
      <c r="Y106" s="39">
        <f t="shared" si="60"/>
        <v>27.958028306490945</v>
      </c>
      <c r="Z106" s="39">
        <f t="shared" si="61"/>
        <v>27.190092728159996</v>
      </c>
      <c r="AA106" s="39">
        <f t="shared" si="62"/>
        <v>27.672035139092333</v>
      </c>
      <c r="AB106" s="38"/>
      <c r="AE106" s="15">
        <v>7.8703703703703713E-3</v>
      </c>
      <c r="AF106" s="14">
        <f t="shared" si="63"/>
        <v>680</v>
      </c>
      <c r="AG106" s="8">
        <v>2.0710000000000002</v>
      </c>
      <c r="AH106" s="8">
        <v>2.0562999999999998</v>
      </c>
      <c r="AI106" s="8">
        <v>2.0629</v>
      </c>
      <c r="AJ106" s="8">
        <v>2.0472999999999999</v>
      </c>
      <c r="AK106" s="8">
        <v>2.0558000000000001</v>
      </c>
      <c r="AL106" s="8">
        <v>2.0482999999999998</v>
      </c>
      <c r="AM106" s="8">
        <v>1.9994000000000001</v>
      </c>
      <c r="AN106" s="8">
        <v>2.0133999999999999</v>
      </c>
      <c r="AO106" s="8">
        <v>2.0076000000000001</v>
      </c>
      <c r="AP106" s="8">
        <v>2.0184000000000002</v>
      </c>
      <c r="AQ106" s="8">
        <v>2.0299999999999998</v>
      </c>
      <c r="AR106" s="8">
        <v>1.9965999999999999</v>
      </c>
      <c r="AS106" s="8">
        <v>2.0602</v>
      </c>
      <c r="AT106" s="8">
        <v>2.0590000000000002</v>
      </c>
      <c r="AU106" s="8">
        <v>2.0716999999999999</v>
      </c>
      <c r="AV106" s="8">
        <v>2.0640999999999998</v>
      </c>
      <c r="AW106" s="8">
        <v>2.0674000000000001</v>
      </c>
      <c r="AX106" s="8">
        <v>2.0434000000000001</v>
      </c>
      <c r="AY106" s="8">
        <v>2.0548999999999999</v>
      </c>
      <c r="AZ106" s="8">
        <v>2.0501999999999998</v>
      </c>
      <c r="BA106" s="8">
        <v>2.0394999999999999</v>
      </c>
      <c r="BB106" s="8">
        <v>2.0478000000000001</v>
      </c>
      <c r="BC106" s="8">
        <v>2.0495000000000001</v>
      </c>
      <c r="BD106" s="8">
        <v>2.0190999999999999</v>
      </c>
    </row>
    <row r="107" spans="2:56" s="13" customFormat="1" x14ac:dyDescent="0.3">
      <c r="B107" s="22">
        <f t="shared" si="38"/>
        <v>688</v>
      </c>
      <c r="C107" s="40">
        <f t="shared" si="39"/>
        <v>16.612249877989193</v>
      </c>
      <c r="D107" s="40">
        <f t="shared" si="40"/>
        <v>16.983406539775515</v>
      </c>
      <c r="E107" s="40">
        <f t="shared" si="41"/>
        <v>21.702293801854648</v>
      </c>
      <c r="F107" s="40">
        <f t="shared" si="42"/>
        <v>22.226939970717368</v>
      </c>
      <c r="G107" s="40">
        <f t="shared" si="43"/>
        <v>23.457784285016984</v>
      </c>
      <c r="H107" s="40">
        <f t="shared" si="44"/>
        <v>25.615910200097694</v>
      </c>
      <c r="I107" s="40">
        <f t="shared" si="45"/>
        <v>41.971937530502757</v>
      </c>
      <c r="J107" s="40">
        <f t="shared" si="46"/>
        <v>34.024158125914887</v>
      </c>
      <c r="K107" s="40">
        <f t="shared" si="47"/>
        <v>30.10224499755973</v>
      </c>
      <c r="L107" s="40">
        <f t="shared" si="48"/>
        <v>32.753050268423692</v>
      </c>
      <c r="M107" s="40">
        <f t="shared" si="49"/>
        <v>26.275012201073579</v>
      </c>
      <c r="N107" s="40">
        <f t="shared" si="50"/>
        <v>24.322840409955958</v>
      </c>
      <c r="O107" s="40"/>
      <c r="P107" s="39">
        <f t="shared" si="51"/>
        <v>24.013909224011542</v>
      </c>
      <c r="Q107" s="39">
        <f t="shared" si="52"/>
        <v>21.850658857979518</v>
      </c>
      <c r="R107" s="39">
        <f t="shared" si="53"/>
        <v>23.649341142020521</v>
      </c>
      <c r="S107" s="39">
        <f t="shared" si="54"/>
        <v>23.711322596388495</v>
      </c>
      <c r="T107" s="39">
        <f t="shared" si="55"/>
        <v>23.184724255734604</v>
      </c>
      <c r="U107" s="39">
        <f t="shared" si="56"/>
        <v>20.609077598828772</v>
      </c>
      <c r="V107" s="39">
        <f t="shared" si="57"/>
        <v>23.853343094192432</v>
      </c>
      <c r="W107" s="39">
        <f t="shared" si="58"/>
        <v>26.984138604197124</v>
      </c>
      <c r="X107" s="39">
        <f t="shared" si="59"/>
        <v>25.978282088824052</v>
      </c>
      <c r="Y107" s="39">
        <f t="shared" si="60"/>
        <v>28.20204978038073</v>
      </c>
      <c r="Z107" s="39">
        <f t="shared" si="61"/>
        <v>27.287701317715868</v>
      </c>
      <c r="AA107" s="39">
        <f t="shared" si="62"/>
        <v>28.843338213762777</v>
      </c>
      <c r="AB107" s="38"/>
      <c r="AE107" s="15">
        <v>7.9629629629629634E-3</v>
      </c>
      <c r="AF107" s="14">
        <f t="shared" si="63"/>
        <v>688</v>
      </c>
      <c r="AG107" s="8">
        <v>2.0703</v>
      </c>
      <c r="AH107" s="8">
        <v>2.0543</v>
      </c>
      <c r="AI107" s="8">
        <v>2.0619999999999998</v>
      </c>
      <c r="AJ107" s="8">
        <v>2.0487000000000002</v>
      </c>
      <c r="AK107" s="8">
        <v>2.0564</v>
      </c>
      <c r="AL107" s="8">
        <v>2.0459000000000001</v>
      </c>
      <c r="AM107" s="8">
        <v>1.9984</v>
      </c>
      <c r="AN107" s="8">
        <v>2.0148000000000001</v>
      </c>
      <c r="AO107" s="8">
        <v>2.0087000000000002</v>
      </c>
      <c r="AP107" s="8">
        <v>2.0175999999999998</v>
      </c>
      <c r="AQ107" s="8">
        <v>2.0310000000000001</v>
      </c>
      <c r="AR107" s="8">
        <v>1.9954000000000001</v>
      </c>
      <c r="AS107" s="8">
        <v>2.0596000000000001</v>
      </c>
      <c r="AT107" s="8">
        <v>2.0598999999999998</v>
      </c>
      <c r="AU107" s="8">
        <v>2.0705</v>
      </c>
      <c r="AV107" s="8">
        <v>2.0621999999999998</v>
      </c>
      <c r="AW107" s="8">
        <v>2.0674000000000001</v>
      </c>
      <c r="AX107" s="8">
        <v>2.0419999999999998</v>
      </c>
      <c r="AY107" s="8">
        <v>2.0558999999999998</v>
      </c>
      <c r="AZ107" s="8">
        <v>2.0495999999999999</v>
      </c>
      <c r="BA107" s="8">
        <v>2.0415999999999999</v>
      </c>
      <c r="BB107" s="8">
        <v>2.0472999999999999</v>
      </c>
      <c r="BC107" s="8">
        <v>2.0493000000000001</v>
      </c>
      <c r="BD107" s="8">
        <v>2.0167000000000002</v>
      </c>
    </row>
    <row r="108" spans="2:56" s="13" customFormat="1" x14ac:dyDescent="0.3">
      <c r="B108" s="22">
        <f t="shared" si="38"/>
        <v>696</v>
      </c>
      <c r="C108" s="40">
        <f t="shared" si="39"/>
        <v>15.392142508540708</v>
      </c>
      <c r="D108" s="40">
        <f t="shared" si="40"/>
        <v>15.714494875548983</v>
      </c>
      <c r="E108" s="40">
        <f t="shared" si="41"/>
        <v>21.067837969741383</v>
      </c>
      <c r="F108" s="40">
        <f t="shared" si="42"/>
        <v>22.324548560273239</v>
      </c>
      <c r="G108" s="40">
        <f t="shared" si="43"/>
        <v>23.701805758906769</v>
      </c>
      <c r="H108" s="40">
        <f t="shared" si="44"/>
        <v>24.688628599316818</v>
      </c>
      <c r="I108" s="40">
        <f t="shared" si="45"/>
        <v>41.532698877501232</v>
      </c>
      <c r="J108" s="40">
        <f t="shared" si="46"/>
        <v>35.097852611029673</v>
      </c>
      <c r="K108" s="40">
        <f t="shared" si="47"/>
        <v>31.663982430453867</v>
      </c>
      <c r="L108" s="40">
        <f t="shared" si="48"/>
        <v>32.509028794533904</v>
      </c>
      <c r="M108" s="40">
        <f t="shared" si="49"/>
        <v>26.177403611517708</v>
      </c>
      <c r="N108" s="40">
        <f t="shared" si="50"/>
        <v>23.981210346510412</v>
      </c>
      <c r="O108" s="40"/>
      <c r="P108" s="39">
        <f t="shared" si="51"/>
        <v>24.745973645680678</v>
      </c>
      <c r="Q108" s="39">
        <f t="shared" si="52"/>
        <v>22.094680331869085</v>
      </c>
      <c r="R108" s="39">
        <f t="shared" si="53"/>
        <v>24.039775500243998</v>
      </c>
      <c r="S108" s="39">
        <f t="shared" si="54"/>
        <v>23.02806246949719</v>
      </c>
      <c r="T108" s="39">
        <f t="shared" si="55"/>
        <v>23.087115666178732</v>
      </c>
      <c r="U108" s="39">
        <f t="shared" si="56"/>
        <v>20.999511957052253</v>
      </c>
      <c r="V108" s="39">
        <f t="shared" si="57"/>
        <v>23.658125915080692</v>
      </c>
      <c r="W108" s="39">
        <f t="shared" si="58"/>
        <v>27.081747193752996</v>
      </c>
      <c r="X108" s="39">
        <f t="shared" si="59"/>
        <v>26.173499267935792</v>
      </c>
      <c r="Y108" s="39">
        <f t="shared" si="60"/>
        <v>28.836505612493994</v>
      </c>
      <c r="Z108" s="39">
        <f t="shared" si="61"/>
        <v>28.117374328940869</v>
      </c>
      <c r="AA108" s="39">
        <f t="shared" si="62"/>
        <v>28.20888238164973</v>
      </c>
      <c r="AB108" s="38"/>
      <c r="AE108" s="15">
        <v>8.0555555555555554E-3</v>
      </c>
      <c r="AF108" s="14">
        <f t="shared" si="63"/>
        <v>696</v>
      </c>
      <c r="AG108" s="8">
        <v>2.0728</v>
      </c>
      <c r="AH108" s="8">
        <v>2.0569000000000002</v>
      </c>
      <c r="AI108" s="8">
        <v>2.0632999999999999</v>
      </c>
      <c r="AJ108" s="8">
        <v>2.0485000000000002</v>
      </c>
      <c r="AK108" s="8">
        <v>2.0558999999999998</v>
      </c>
      <c r="AL108" s="8">
        <v>2.0478000000000001</v>
      </c>
      <c r="AM108" s="8">
        <v>1.9993000000000001</v>
      </c>
      <c r="AN108" s="8">
        <v>2.0125999999999999</v>
      </c>
      <c r="AO108" s="8">
        <v>2.0055000000000001</v>
      </c>
      <c r="AP108" s="8">
        <v>2.0181</v>
      </c>
      <c r="AQ108" s="8">
        <v>2.0312000000000001</v>
      </c>
      <c r="AR108" s="8">
        <v>1.9961</v>
      </c>
      <c r="AS108" s="8">
        <v>2.0581</v>
      </c>
      <c r="AT108" s="8">
        <v>2.0594000000000001</v>
      </c>
      <c r="AU108" s="8">
        <v>2.0697000000000001</v>
      </c>
      <c r="AV108" s="8">
        <v>2.0636000000000001</v>
      </c>
      <c r="AW108" s="8">
        <v>2.0676000000000001</v>
      </c>
      <c r="AX108" s="8">
        <v>2.0411999999999999</v>
      </c>
      <c r="AY108" s="8">
        <v>2.0562999999999998</v>
      </c>
      <c r="AZ108" s="8">
        <v>2.0493999999999999</v>
      </c>
      <c r="BA108" s="8">
        <v>2.0411999999999999</v>
      </c>
      <c r="BB108" s="8">
        <v>2.0459999999999998</v>
      </c>
      <c r="BC108" s="8">
        <v>2.0476000000000001</v>
      </c>
      <c r="BD108" s="8">
        <v>2.0179999999999998</v>
      </c>
    </row>
    <row r="109" spans="2:56" s="13" customFormat="1" x14ac:dyDescent="0.3">
      <c r="B109" s="22">
        <f t="shared" si="38"/>
        <v>704</v>
      </c>
      <c r="C109" s="40">
        <f t="shared" si="39"/>
        <v>15.928989751098104</v>
      </c>
      <c r="D109" s="40">
        <f t="shared" si="40"/>
        <v>16.397755002440292</v>
      </c>
      <c r="E109" s="40">
        <f t="shared" si="41"/>
        <v>20.823816495851599</v>
      </c>
      <c r="F109" s="40">
        <f t="shared" si="42"/>
        <v>22.91020009760868</v>
      </c>
      <c r="G109" s="40">
        <f t="shared" si="43"/>
        <v>22.872132747681764</v>
      </c>
      <c r="H109" s="40">
        <f t="shared" si="44"/>
        <v>25.37188872620791</v>
      </c>
      <c r="I109" s="40">
        <f t="shared" si="45"/>
        <v>42.996827720839498</v>
      </c>
      <c r="J109" s="40">
        <f t="shared" si="46"/>
        <v>35.049048316251628</v>
      </c>
      <c r="K109" s="40">
        <f t="shared" si="47"/>
        <v>31.615178135676047</v>
      </c>
      <c r="L109" s="40">
        <f t="shared" si="48"/>
        <v>33.826744753538264</v>
      </c>
      <c r="M109" s="40">
        <f t="shared" si="49"/>
        <v>27.446315275744237</v>
      </c>
      <c r="N109" s="40">
        <f t="shared" si="50"/>
        <v>24.469253294289764</v>
      </c>
      <c r="O109" s="40"/>
      <c r="P109" s="39">
        <f t="shared" si="51"/>
        <v>24.989995119570459</v>
      </c>
      <c r="Q109" s="39">
        <f t="shared" si="52"/>
        <v>22.826744753538218</v>
      </c>
      <c r="R109" s="39">
        <f t="shared" si="53"/>
        <v>23.502928257686605</v>
      </c>
      <c r="S109" s="39">
        <f t="shared" si="54"/>
        <v>23.174475353831102</v>
      </c>
      <c r="T109" s="39">
        <f t="shared" si="55"/>
        <v>24.892874572962658</v>
      </c>
      <c r="U109" s="39">
        <f t="shared" si="56"/>
        <v>20.901903367496384</v>
      </c>
      <c r="V109" s="39">
        <f t="shared" si="57"/>
        <v>24.194973157637872</v>
      </c>
      <c r="W109" s="39">
        <f t="shared" si="58"/>
        <v>27.423377257198432</v>
      </c>
      <c r="X109" s="39">
        <f t="shared" si="59"/>
        <v>26.807955100049057</v>
      </c>
      <c r="Y109" s="39">
        <f t="shared" si="60"/>
        <v>28.494875549048341</v>
      </c>
      <c r="Z109" s="39">
        <f t="shared" si="61"/>
        <v>27.434114202049781</v>
      </c>
      <c r="AA109" s="39">
        <f t="shared" si="62"/>
        <v>27.964860907759945</v>
      </c>
      <c r="AB109" s="38"/>
      <c r="AE109" s="15">
        <v>8.1481481481481474E-3</v>
      </c>
      <c r="AF109" s="14">
        <f t="shared" si="63"/>
        <v>704</v>
      </c>
      <c r="AG109" s="8">
        <v>2.0716999999999999</v>
      </c>
      <c r="AH109" s="8">
        <v>2.0554999999999999</v>
      </c>
      <c r="AI109" s="8">
        <v>2.0638000000000001</v>
      </c>
      <c r="AJ109" s="8">
        <v>2.0472999999999999</v>
      </c>
      <c r="AK109" s="8">
        <v>2.0575999999999999</v>
      </c>
      <c r="AL109" s="8">
        <v>2.0464000000000002</v>
      </c>
      <c r="AM109" s="8">
        <v>1.9963</v>
      </c>
      <c r="AN109" s="8">
        <v>2.0127000000000002</v>
      </c>
      <c r="AO109" s="8">
        <v>2.0055999999999998</v>
      </c>
      <c r="AP109" s="8">
        <v>2.0154000000000001</v>
      </c>
      <c r="AQ109" s="8">
        <v>2.0286</v>
      </c>
      <c r="AR109" s="8">
        <v>1.9951000000000001</v>
      </c>
      <c r="AS109" s="8">
        <v>2.0575999999999999</v>
      </c>
      <c r="AT109" s="8">
        <v>2.0579000000000001</v>
      </c>
      <c r="AU109" s="8">
        <v>2.0708000000000002</v>
      </c>
      <c r="AV109" s="8">
        <v>2.0632999999999999</v>
      </c>
      <c r="AW109" s="8">
        <v>2.0638999999999998</v>
      </c>
      <c r="AX109" s="8">
        <v>2.0413999999999999</v>
      </c>
      <c r="AY109" s="8">
        <v>2.0552000000000001</v>
      </c>
      <c r="AZ109" s="8">
        <v>2.0487000000000002</v>
      </c>
      <c r="BA109" s="8">
        <v>2.0398999999999998</v>
      </c>
      <c r="BB109" s="8">
        <v>2.0467</v>
      </c>
      <c r="BC109" s="8">
        <v>2.0489999999999999</v>
      </c>
      <c r="BD109" s="8">
        <v>2.0185</v>
      </c>
    </row>
    <row r="110" spans="2:56" s="13" customFormat="1" x14ac:dyDescent="0.3">
      <c r="B110" s="22">
        <f t="shared" si="38"/>
        <v>712</v>
      </c>
      <c r="C110" s="40">
        <f t="shared" si="39"/>
        <v>15.782576866764192</v>
      </c>
      <c r="D110" s="40">
        <f t="shared" si="40"/>
        <v>16.88579795021964</v>
      </c>
      <c r="E110" s="40">
        <f t="shared" si="41"/>
        <v>22.043923865300084</v>
      </c>
      <c r="F110" s="40">
        <f t="shared" si="42"/>
        <v>21.836505612493887</v>
      </c>
      <c r="G110" s="40">
        <f t="shared" si="43"/>
        <v>24.629087359687645</v>
      </c>
      <c r="H110" s="40">
        <f t="shared" si="44"/>
        <v>25.859931673987479</v>
      </c>
      <c r="I110" s="40">
        <f t="shared" si="45"/>
        <v>43.045632015617436</v>
      </c>
      <c r="J110" s="40">
        <f t="shared" si="46"/>
        <v>35.634699853587065</v>
      </c>
      <c r="K110" s="40">
        <f t="shared" si="47"/>
        <v>31.175939482674515</v>
      </c>
      <c r="L110" s="40">
        <f t="shared" si="48"/>
        <v>33.729136163982396</v>
      </c>
      <c r="M110" s="40">
        <f t="shared" si="49"/>
        <v>27.446315275744237</v>
      </c>
      <c r="N110" s="40">
        <f t="shared" si="50"/>
        <v>24.664470473401611</v>
      </c>
      <c r="O110" s="40"/>
      <c r="P110" s="39">
        <f t="shared" si="51"/>
        <v>24.989995119570459</v>
      </c>
      <c r="Q110" s="39">
        <f t="shared" si="52"/>
        <v>22.436310395314742</v>
      </c>
      <c r="R110" s="39">
        <f t="shared" si="53"/>
        <v>24.039775500243998</v>
      </c>
      <c r="S110" s="39">
        <f t="shared" si="54"/>
        <v>23.076866764275234</v>
      </c>
      <c r="T110" s="39">
        <f t="shared" si="55"/>
        <v>24.06320156173765</v>
      </c>
      <c r="U110" s="39">
        <f t="shared" si="56"/>
        <v>21.682772083943345</v>
      </c>
      <c r="V110" s="39">
        <f t="shared" si="57"/>
        <v>23.999755978526128</v>
      </c>
      <c r="W110" s="39">
        <f t="shared" si="58"/>
        <v>27.276964372864736</v>
      </c>
      <c r="X110" s="39">
        <f t="shared" si="59"/>
        <v>26.515129331381228</v>
      </c>
      <c r="Y110" s="39">
        <f t="shared" si="60"/>
        <v>28.39726695949247</v>
      </c>
      <c r="Z110" s="39">
        <f t="shared" si="61"/>
        <v>28.166178623718917</v>
      </c>
      <c r="AA110" s="39">
        <f t="shared" si="62"/>
        <v>28.59931673987321</v>
      </c>
      <c r="AB110" s="38"/>
      <c r="AE110" s="15">
        <v>8.2407407407407412E-3</v>
      </c>
      <c r="AF110" s="14">
        <f t="shared" si="63"/>
        <v>712</v>
      </c>
      <c r="AG110" s="8">
        <v>2.0720000000000001</v>
      </c>
      <c r="AH110" s="8">
        <v>2.0545</v>
      </c>
      <c r="AI110" s="8">
        <v>2.0613000000000001</v>
      </c>
      <c r="AJ110" s="8">
        <v>2.0495000000000001</v>
      </c>
      <c r="AK110" s="8">
        <v>2.0539999999999998</v>
      </c>
      <c r="AL110" s="8">
        <v>2.0453999999999999</v>
      </c>
      <c r="AM110" s="8">
        <v>1.9962</v>
      </c>
      <c r="AN110" s="8">
        <v>2.0114999999999998</v>
      </c>
      <c r="AO110" s="8">
        <v>2.0065</v>
      </c>
      <c r="AP110" s="8">
        <v>2.0156000000000001</v>
      </c>
      <c r="AQ110" s="8">
        <v>2.0286</v>
      </c>
      <c r="AR110" s="8">
        <v>1.9946999999999999</v>
      </c>
      <c r="AS110" s="8">
        <v>2.0575999999999999</v>
      </c>
      <c r="AT110" s="8">
        <v>2.0587</v>
      </c>
      <c r="AU110" s="8">
        <v>2.0697000000000001</v>
      </c>
      <c r="AV110" s="8">
        <v>2.0634999999999999</v>
      </c>
      <c r="AW110" s="8">
        <v>2.0655999999999999</v>
      </c>
      <c r="AX110" s="8">
        <v>2.0398000000000001</v>
      </c>
      <c r="AY110" s="8">
        <v>2.0556000000000001</v>
      </c>
      <c r="AZ110" s="8">
        <v>2.0489999999999999</v>
      </c>
      <c r="BA110" s="8">
        <v>2.0405000000000002</v>
      </c>
      <c r="BB110" s="8">
        <v>2.0468999999999999</v>
      </c>
      <c r="BC110" s="8">
        <v>2.0474999999999999</v>
      </c>
      <c r="BD110" s="8">
        <v>2.0171999999999999</v>
      </c>
    </row>
    <row r="111" spans="2:56" s="13" customFormat="1" x14ac:dyDescent="0.3">
      <c r="B111" s="22">
        <f t="shared" si="38"/>
        <v>720</v>
      </c>
      <c r="C111" s="40">
        <f t="shared" si="39"/>
        <v>16.46583699365528</v>
      </c>
      <c r="D111" s="40">
        <f t="shared" si="40"/>
        <v>16.88579795021964</v>
      </c>
      <c r="E111" s="40">
        <f t="shared" si="41"/>
        <v>21.263055148853123</v>
      </c>
      <c r="F111" s="40">
        <f t="shared" si="42"/>
        <v>23.105417276720416</v>
      </c>
      <c r="G111" s="40">
        <f t="shared" si="43"/>
        <v>23.848218643240465</v>
      </c>
      <c r="H111" s="40">
        <f t="shared" si="44"/>
        <v>26.006344558321175</v>
      </c>
      <c r="I111" s="40">
        <f t="shared" si="45"/>
        <v>43.484870668618854</v>
      </c>
      <c r="J111" s="40">
        <f t="shared" si="46"/>
        <v>35.390678379697285</v>
      </c>
      <c r="K111" s="40">
        <f t="shared" si="47"/>
        <v>31.908003904343651</v>
      </c>
      <c r="L111" s="40">
        <f t="shared" si="48"/>
        <v>33.924353343094133</v>
      </c>
      <c r="M111" s="40">
        <f t="shared" si="49"/>
        <v>27.202293801854452</v>
      </c>
      <c r="N111" s="40">
        <f t="shared" si="50"/>
        <v>24.810883357735417</v>
      </c>
      <c r="O111" s="40"/>
      <c r="P111" s="39">
        <f t="shared" si="51"/>
        <v>25.380429477793943</v>
      </c>
      <c r="Q111" s="39">
        <f t="shared" si="52"/>
        <v>23.217179111761702</v>
      </c>
      <c r="R111" s="39">
        <f t="shared" si="53"/>
        <v>23.990971205466174</v>
      </c>
      <c r="S111" s="39">
        <f t="shared" si="54"/>
        <v>24.101756954611979</v>
      </c>
      <c r="T111" s="39">
        <f t="shared" si="55"/>
        <v>23.672767203514173</v>
      </c>
      <c r="U111" s="39">
        <f t="shared" si="56"/>
        <v>21.682772083943345</v>
      </c>
      <c r="V111" s="39">
        <f t="shared" si="57"/>
        <v>24.29258174719374</v>
      </c>
      <c r="W111" s="39">
        <f t="shared" si="58"/>
        <v>27.276964372864736</v>
      </c>
      <c r="X111" s="39">
        <f t="shared" si="59"/>
        <v>27.003172279160797</v>
      </c>
      <c r="Y111" s="39">
        <f t="shared" si="60"/>
        <v>28.348462664714425</v>
      </c>
      <c r="Z111" s="39">
        <f t="shared" si="61"/>
        <v>29.09346022449979</v>
      </c>
      <c r="AA111" s="39">
        <f t="shared" si="62"/>
        <v>29.77061981454365</v>
      </c>
      <c r="AB111" s="38"/>
      <c r="AE111" s="15">
        <v>8.3333333333333332E-3</v>
      </c>
      <c r="AF111" s="14">
        <f t="shared" si="63"/>
        <v>720</v>
      </c>
      <c r="AG111" s="8">
        <v>2.0706000000000002</v>
      </c>
      <c r="AH111" s="8">
        <v>2.0545</v>
      </c>
      <c r="AI111" s="8">
        <v>2.0629</v>
      </c>
      <c r="AJ111" s="8">
        <v>2.0468999999999999</v>
      </c>
      <c r="AK111" s="8">
        <v>2.0556000000000001</v>
      </c>
      <c r="AL111" s="8">
        <v>2.0451000000000001</v>
      </c>
      <c r="AM111" s="8">
        <v>1.9953000000000001</v>
      </c>
      <c r="AN111" s="8">
        <v>2.012</v>
      </c>
      <c r="AO111" s="8">
        <v>2.0049999999999999</v>
      </c>
      <c r="AP111" s="8">
        <v>2.0152000000000001</v>
      </c>
      <c r="AQ111" s="8">
        <v>2.0291000000000001</v>
      </c>
      <c r="AR111" s="8">
        <v>1.9944</v>
      </c>
      <c r="AS111" s="8">
        <v>2.0568</v>
      </c>
      <c r="AT111" s="8">
        <v>2.0571000000000002</v>
      </c>
      <c r="AU111" s="8">
        <v>2.0697999999999999</v>
      </c>
      <c r="AV111" s="8">
        <v>2.0613999999999999</v>
      </c>
      <c r="AW111" s="8">
        <v>2.0663999999999998</v>
      </c>
      <c r="AX111" s="8">
        <v>2.0398000000000001</v>
      </c>
      <c r="AY111" s="8">
        <v>2.0550000000000002</v>
      </c>
      <c r="AZ111" s="8">
        <v>2.0489999999999999</v>
      </c>
      <c r="BA111" s="8">
        <v>2.0394999999999999</v>
      </c>
      <c r="BB111" s="8">
        <v>2.0470000000000002</v>
      </c>
      <c r="BC111" s="8">
        <v>2.0455999999999999</v>
      </c>
      <c r="BD111" s="8">
        <v>2.0148000000000001</v>
      </c>
    </row>
    <row r="112" spans="2:56" s="13" customFormat="1" x14ac:dyDescent="0.3">
      <c r="B112" s="22">
        <f t="shared" si="38"/>
        <v>727.99999999999989</v>
      </c>
      <c r="C112" s="40">
        <f t="shared" si="39"/>
        <v>16.661054172767241</v>
      </c>
      <c r="D112" s="40">
        <f t="shared" si="40"/>
        <v>16.592972181552032</v>
      </c>
      <c r="E112" s="40">
        <f t="shared" si="41"/>
        <v>22.141532454855955</v>
      </c>
      <c r="F112" s="40">
        <f t="shared" si="42"/>
        <v>22.812591508052805</v>
      </c>
      <c r="G112" s="40">
        <f t="shared" si="43"/>
        <v>24.433870180575902</v>
      </c>
      <c r="H112" s="40">
        <f t="shared" si="44"/>
        <v>26.103953147877043</v>
      </c>
      <c r="I112" s="40">
        <f t="shared" si="45"/>
        <v>44.314543679843858</v>
      </c>
      <c r="J112" s="40">
        <f t="shared" si="46"/>
        <v>35.439482674475322</v>
      </c>
      <c r="K112" s="40">
        <f t="shared" si="47"/>
        <v>32.200829673011263</v>
      </c>
      <c r="L112" s="40">
        <f t="shared" si="48"/>
        <v>34.461200585651532</v>
      </c>
      <c r="M112" s="40">
        <f t="shared" si="49"/>
        <v>27.836749633967717</v>
      </c>
      <c r="N112" s="40">
        <f t="shared" si="50"/>
        <v>25.640556368960421</v>
      </c>
      <c r="O112" s="40"/>
      <c r="P112" s="39">
        <f t="shared" si="51"/>
        <v>25.380429477793943</v>
      </c>
      <c r="Q112" s="39">
        <f t="shared" si="52"/>
        <v>23.217179111761702</v>
      </c>
      <c r="R112" s="39">
        <f t="shared" si="53"/>
        <v>24.52781844802335</v>
      </c>
      <c r="S112" s="39">
        <f t="shared" si="54"/>
        <v>24.199365544167847</v>
      </c>
      <c r="T112" s="39">
        <f t="shared" si="55"/>
        <v>24.307223035627217</v>
      </c>
      <c r="U112" s="39">
        <f t="shared" si="56"/>
        <v>21.438750610053777</v>
      </c>
      <c r="V112" s="39">
        <f t="shared" si="57"/>
        <v>24.975841874085045</v>
      </c>
      <c r="W112" s="39">
        <f t="shared" si="58"/>
        <v>27.71620302586626</v>
      </c>
      <c r="X112" s="39">
        <f t="shared" si="59"/>
        <v>27.344802342606236</v>
      </c>
      <c r="Y112" s="39">
        <f t="shared" si="60"/>
        <v>29.031722791605734</v>
      </c>
      <c r="Z112" s="39">
        <f t="shared" si="61"/>
        <v>28.654221571498265</v>
      </c>
      <c r="AA112" s="39">
        <f t="shared" si="62"/>
        <v>29.624206930209954</v>
      </c>
      <c r="AB112" s="38"/>
      <c r="AE112" s="15">
        <v>8.4259259259259253E-3</v>
      </c>
      <c r="AF112" s="14">
        <f t="shared" si="63"/>
        <v>727.99999999999989</v>
      </c>
      <c r="AG112" s="8">
        <v>2.0701999999999998</v>
      </c>
      <c r="AH112" s="8">
        <v>2.0550999999999999</v>
      </c>
      <c r="AI112" s="8">
        <v>2.0611000000000002</v>
      </c>
      <c r="AJ112" s="8">
        <v>2.0474999999999999</v>
      </c>
      <c r="AK112" s="8">
        <v>2.0543999999999998</v>
      </c>
      <c r="AL112" s="8">
        <v>2.0449000000000002</v>
      </c>
      <c r="AM112" s="8">
        <v>1.9936</v>
      </c>
      <c r="AN112" s="8">
        <v>2.0118999999999998</v>
      </c>
      <c r="AO112" s="8">
        <v>2.0044</v>
      </c>
      <c r="AP112" s="8">
        <v>2.0141</v>
      </c>
      <c r="AQ112" s="8">
        <v>2.0278</v>
      </c>
      <c r="AR112" s="8">
        <v>1.9926999999999999</v>
      </c>
      <c r="AS112" s="8">
        <v>2.0568</v>
      </c>
      <c r="AT112" s="8">
        <v>2.0571000000000002</v>
      </c>
      <c r="AU112" s="8">
        <v>2.0687000000000002</v>
      </c>
      <c r="AV112" s="8">
        <v>2.0611999999999999</v>
      </c>
      <c r="AW112" s="8">
        <v>2.0651000000000002</v>
      </c>
      <c r="AX112" s="8">
        <v>2.0402999999999998</v>
      </c>
      <c r="AY112" s="8">
        <v>2.0535999999999999</v>
      </c>
      <c r="AZ112" s="8">
        <v>2.0480999999999998</v>
      </c>
      <c r="BA112" s="8">
        <v>2.0388000000000002</v>
      </c>
      <c r="BB112" s="8">
        <v>2.0455999999999999</v>
      </c>
      <c r="BC112" s="8">
        <v>2.0465</v>
      </c>
      <c r="BD112" s="8">
        <v>2.0150999999999999</v>
      </c>
    </row>
    <row r="113" spans="2:56" s="13" customFormat="1" x14ac:dyDescent="0.3">
      <c r="B113" s="22">
        <f t="shared" si="38"/>
        <v>736</v>
      </c>
      <c r="C113" s="40">
        <f t="shared" si="39"/>
        <v>16.758662762323109</v>
      </c>
      <c r="D113" s="40">
        <f t="shared" si="40"/>
        <v>16.788189360663772</v>
      </c>
      <c r="E113" s="40">
        <f t="shared" si="41"/>
        <v>21.653489507076603</v>
      </c>
      <c r="F113" s="40">
        <f t="shared" si="42"/>
        <v>23.447047340166069</v>
      </c>
      <c r="G113" s="40">
        <f t="shared" si="43"/>
        <v>24.238653001463948</v>
      </c>
      <c r="H113" s="40">
        <f t="shared" si="44"/>
        <v>26.250366032210959</v>
      </c>
      <c r="I113" s="40">
        <f t="shared" si="45"/>
        <v>44.704978038067445</v>
      </c>
      <c r="J113" s="40">
        <f t="shared" si="46"/>
        <v>36.415568570034026</v>
      </c>
      <c r="K113" s="40">
        <f t="shared" si="47"/>
        <v>32.103221083455395</v>
      </c>
      <c r="L113" s="40">
        <f t="shared" si="48"/>
        <v>35.29087359687653</v>
      </c>
      <c r="M113" s="40">
        <f t="shared" si="49"/>
        <v>28.080771107857501</v>
      </c>
      <c r="N113" s="40">
        <f t="shared" si="50"/>
        <v>25.884577842850099</v>
      </c>
      <c r="O113" s="40"/>
      <c r="P113" s="39">
        <f t="shared" si="51"/>
        <v>25.03879941434829</v>
      </c>
      <c r="Q113" s="39">
        <f t="shared" si="52"/>
        <v>22.924353343094094</v>
      </c>
      <c r="R113" s="39">
        <f t="shared" si="53"/>
        <v>25.064665690580746</v>
      </c>
      <c r="S113" s="39">
        <f t="shared" si="54"/>
        <v>24.589799902391327</v>
      </c>
      <c r="T113" s="39">
        <f t="shared" si="55"/>
        <v>24.502440214738957</v>
      </c>
      <c r="U113" s="39">
        <f t="shared" si="56"/>
        <v>21.292337725719861</v>
      </c>
      <c r="V113" s="39">
        <f t="shared" si="57"/>
        <v>25.219863347974613</v>
      </c>
      <c r="W113" s="39">
        <f t="shared" si="58"/>
        <v>27.813811615422129</v>
      </c>
      <c r="X113" s="39">
        <f t="shared" si="59"/>
        <v>27.295998047828409</v>
      </c>
      <c r="Y113" s="39">
        <f t="shared" si="60"/>
        <v>29.17813567593943</v>
      </c>
      <c r="Z113" s="39">
        <f t="shared" si="61"/>
        <v>28.800634455832178</v>
      </c>
      <c r="AA113" s="39">
        <f t="shared" si="62"/>
        <v>30.551488530990827</v>
      </c>
      <c r="AB113" s="38"/>
      <c r="AE113" s="15">
        <v>8.518518518518519E-3</v>
      </c>
      <c r="AF113" s="14">
        <f t="shared" si="63"/>
        <v>736</v>
      </c>
      <c r="AG113" s="8">
        <v>2.0699999999999998</v>
      </c>
      <c r="AH113" s="8">
        <v>2.0547</v>
      </c>
      <c r="AI113" s="8">
        <v>2.0621</v>
      </c>
      <c r="AJ113" s="8">
        <v>2.0461999999999998</v>
      </c>
      <c r="AK113" s="8">
        <v>2.0548000000000002</v>
      </c>
      <c r="AL113" s="8">
        <v>2.0446</v>
      </c>
      <c r="AM113" s="8">
        <v>1.9927999999999999</v>
      </c>
      <c r="AN113" s="8">
        <v>2.0099</v>
      </c>
      <c r="AO113" s="8">
        <v>2.0045999999999999</v>
      </c>
      <c r="AP113" s="8">
        <v>2.0124</v>
      </c>
      <c r="AQ113" s="8">
        <v>2.0272999999999999</v>
      </c>
      <c r="AR113" s="8">
        <v>1.9922</v>
      </c>
      <c r="AS113" s="8">
        <v>2.0575000000000001</v>
      </c>
      <c r="AT113" s="8">
        <v>2.0577000000000001</v>
      </c>
      <c r="AU113" s="8">
        <v>2.0676000000000001</v>
      </c>
      <c r="AV113" s="8">
        <v>2.0604</v>
      </c>
      <c r="AW113" s="8">
        <v>2.0647000000000002</v>
      </c>
      <c r="AX113" s="8">
        <v>2.0406</v>
      </c>
      <c r="AY113" s="8">
        <v>2.0531000000000001</v>
      </c>
      <c r="AZ113" s="8">
        <v>2.0478999999999998</v>
      </c>
      <c r="BA113" s="8">
        <v>2.0388999999999999</v>
      </c>
      <c r="BB113" s="8">
        <v>2.0453000000000001</v>
      </c>
      <c r="BC113" s="8">
        <v>2.0461999999999998</v>
      </c>
      <c r="BD113" s="8">
        <v>2.0131999999999999</v>
      </c>
    </row>
    <row r="114" spans="2:56" s="13" customFormat="1" x14ac:dyDescent="0.3">
      <c r="B114" s="22">
        <f t="shared" si="38"/>
        <v>744</v>
      </c>
      <c r="C114" s="40">
        <f t="shared" si="39"/>
        <v>16.026598340653972</v>
      </c>
      <c r="D114" s="40">
        <f t="shared" si="40"/>
        <v>16.788189360663772</v>
      </c>
      <c r="E114" s="40">
        <f t="shared" si="41"/>
        <v>21.263055148853123</v>
      </c>
      <c r="F114" s="40">
        <f t="shared" si="42"/>
        <v>23.398243045388028</v>
      </c>
      <c r="G114" s="40">
        <f t="shared" si="43"/>
        <v>24.433870180575902</v>
      </c>
      <c r="H114" s="40">
        <f t="shared" si="44"/>
        <v>25.664714494875735</v>
      </c>
      <c r="I114" s="40">
        <f t="shared" si="45"/>
        <v>45.241825280624731</v>
      </c>
      <c r="J114" s="40">
        <f t="shared" si="46"/>
        <v>36.171547096144245</v>
      </c>
      <c r="K114" s="40">
        <f t="shared" si="47"/>
        <v>32.200829673011263</v>
      </c>
      <c r="L114" s="40">
        <f t="shared" si="48"/>
        <v>34.461200585651532</v>
      </c>
      <c r="M114" s="40">
        <f t="shared" si="49"/>
        <v>28.520009760858809</v>
      </c>
      <c r="N114" s="40">
        <f t="shared" si="50"/>
        <v>25.445339189848571</v>
      </c>
      <c r="O114" s="40"/>
      <c r="P114" s="39">
        <f t="shared" si="51"/>
        <v>25.966081015129163</v>
      </c>
      <c r="Q114" s="39">
        <f t="shared" si="52"/>
        <v>24.486090775988231</v>
      </c>
      <c r="R114" s="39">
        <f t="shared" si="53"/>
        <v>25.699121522694011</v>
      </c>
      <c r="S114" s="39">
        <f t="shared" si="54"/>
        <v>24.394582723279591</v>
      </c>
      <c r="T114" s="39">
        <f t="shared" si="55"/>
        <v>24.502440214738957</v>
      </c>
      <c r="U114" s="39">
        <f t="shared" si="56"/>
        <v>21.097120546608124</v>
      </c>
      <c r="V114" s="39">
        <f t="shared" si="57"/>
        <v>25.122254758418745</v>
      </c>
      <c r="W114" s="39">
        <f t="shared" si="58"/>
        <v>29.521961932649965</v>
      </c>
      <c r="X114" s="39">
        <f t="shared" si="59"/>
        <v>27.442410932162108</v>
      </c>
      <c r="Y114" s="39">
        <f t="shared" si="60"/>
        <v>30.203025866276178</v>
      </c>
      <c r="Z114" s="39">
        <f t="shared" si="61"/>
        <v>29.239873108833486</v>
      </c>
      <c r="AA114" s="39">
        <f t="shared" si="62"/>
        <v>29.917032698877566</v>
      </c>
      <c r="AB114" s="38"/>
      <c r="AE114" s="15">
        <v>8.611111111111111E-3</v>
      </c>
      <c r="AF114" s="14">
        <f t="shared" si="63"/>
        <v>744</v>
      </c>
      <c r="AG114" s="8">
        <v>2.0714999999999999</v>
      </c>
      <c r="AH114" s="8">
        <v>2.0547</v>
      </c>
      <c r="AI114" s="8">
        <v>2.0629</v>
      </c>
      <c r="AJ114" s="8">
        <v>2.0463</v>
      </c>
      <c r="AK114" s="8">
        <v>2.0543999999999998</v>
      </c>
      <c r="AL114" s="8">
        <v>2.0457999999999998</v>
      </c>
      <c r="AM114" s="8">
        <v>1.9917</v>
      </c>
      <c r="AN114" s="8">
        <v>2.0104000000000002</v>
      </c>
      <c r="AO114" s="8">
        <v>2.0044</v>
      </c>
      <c r="AP114" s="8">
        <v>2.0141</v>
      </c>
      <c r="AQ114" s="8">
        <v>2.0264000000000002</v>
      </c>
      <c r="AR114" s="8">
        <v>1.9931000000000001</v>
      </c>
      <c r="AS114" s="8">
        <v>2.0556000000000001</v>
      </c>
      <c r="AT114" s="8">
        <v>2.0545</v>
      </c>
      <c r="AU114" s="8">
        <v>2.0663</v>
      </c>
      <c r="AV114" s="8">
        <v>2.0608</v>
      </c>
      <c r="AW114" s="8">
        <v>2.0647000000000002</v>
      </c>
      <c r="AX114" s="8">
        <v>2.0409999999999999</v>
      </c>
      <c r="AY114" s="8">
        <v>2.0533000000000001</v>
      </c>
      <c r="AZ114" s="8">
        <v>2.0444</v>
      </c>
      <c r="BA114" s="8">
        <v>2.0386000000000002</v>
      </c>
      <c r="BB114" s="8">
        <v>2.0432000000000001</v>
      </c>
      <c r="BC114" s="8">
        <v>2.0453000000000001</v>
      </c>
      <c r="BD114" s="8">
        <v>2.0145</v>
      </c>
    </row>
    <row r="115" spans="2:56" s="13" customFormat="1" x14ac:dyDescent="0.3">
      <c r="B115" s="22">
        <f t="shared" si="38"/>
        <v>752</v>
      </c>
      <c r="C115" s="40">
        <f t="shared" si="39"/>
        <v>16.709858467545065</v>
      </c>
      <c r="D115" s="40">
        <f t="shared" si="40"/>
        <v>17.617862371888776</v>
      </c>
      <c r="E115" s="40">
        <f t="shared" si="41"/>
        <v>20.775012201073775</v>
      </c>
      <c r="F115" s="40">
        <f t="shared" si="42"/>
        <v>23.007808687164548</v>
      </c>
      <c r="G115" s="40">
        <f t="shared" si="43"/>
        <v>23.994631527574381</v>
      </c>
      <c r="H115" s="40">
        <f t="shared" si="44"/>
        <v>26.396778916544868</v>
      </c>
      <c r="I115" s="40">
        <f t="shared" si="45"/>
        <v>46.217911176183541</v>
      </c>
      <c r="J115" s="40">
        <f t="shared" si="46"/>
        <v>37.001220107369249</v>
      </c>
      <c r="K115" s="40">
        <f t="shared" si="47"/>
        <v>33.32332845290388</v>
      </c>
      <c r="L115" s="40">
        <f t="shared" si="48"/>
        <v>35.144460712542617</v>
      </c>
      <c r="M115" s="40">
        <f t="shared" si="49"/>
        <v>28.910444119082506</v>
      </c>
      <c r="N115" s="40">
        <f t="shared" si="50"/>
        <v>25.54294777940455</v>
      </c>
      <c r="O115" s="40"/>
      <c r="P115" s="39">
        <f t="shared" si="51"/>
        <v>25.868472425573291</v>
      </c>
      <c r="Q115" s="39">
        <f t="shared" si="52"/>
        <v>23.363591996095614</v>
      </c>
      <c r="R115" s="39">
        <f t="shared" si="53"/>
        <v>24.918252806247047</v>
      </c>
      <c r="S115" s="39">
        <f t="shared" si="54"/>
        <v>24.296974133723719</v>
      </c>
      <c r="T115" s="39">
        <f t="shared" si="55"/>
        <v>24.356027330405261</v>
      </c>
      <c r="U115" s="39">
        <f t="shared" si="56"/>
        <v>21.24353343094182</v>
      </c>
      <c r="V115" s="39">
        <f t="shared" si="57"/>
        <v>25.268667642752657</v>
      </c>
      <c r="W115" s="39">
        <f t="shared" si="58"/>
        <v>28.204245973645609</v>
      </c>
      <c r="X115" s="39">
        <f t="shared" si="59"/>
        <v>28.369692532942981</v>
      </c>
      <c r="Y115" s="39">
        <f t="shared" si="60"/>
        <v>30.447047340165959</v>
      </c>
      <c r="Z115" s="39">
        <f t="shared" si="61"/>
        <v>28.800634455832178</v>
      </c>
      <c r="AA115" s="39">
        <f t="shared" si="62"/>
        <v>29.18496827720843</v>
      </c>
      <c r="AB115" s="38"/>
      <c r="AE115" s="15">
        <v>8.7037037037037031E-3</v>
      </c>
      <c r="AF115" s="14">
        <f t="shared" si="63"/>
        <v>752</v>
      </c>
      <c r="AG115" s="8">
        <v>2.0701000000000001</v>
      </c>
      <c r="AH115" s="8">
        <v>2.0529999999999999</v>
      </c>
      <c r="AI115" s="8">
        <v>2.0638999999999998</v>
      </c>
      <c r="AJ115" s="8">
        <v>2.0470999999999999</v>
      </c>
      <c r="AK115" s="8">
        <v>2.0552999999999999</v>
      </c>
      <c r="AL115" s="8">
        <v>2.0442999999999998</v>
      </c>
      <c r="AM115" s="8">
        <v>1.9897</v>
      </c>
      <c r="AN115" s="8">
        <v>2.0087000000000002</v>
      </c>
      <c r="AO115" s="8">
        <v>2.0021</v>
      </c>
      <c r="AP115" s="8">
        <v>2.0127000000000002</v>
      </c>
      <c r="AQ115" s="8">
        <v>2.0255999999999998</v>
      </c>
      <c r="AR115" s="8">
        <v>1.9928999999999999</v>
      </c>
      <c r="AS115" s="8">
        <v>2.0558000000000001</v>
      </c>
      <c r="AT115" s="8">
        <v>2.0568</v>
      </c>
      <c r="AU115" s="8">
        <v>2.0678999999999998</v>
      </c>
      <c r="AV115" s="8">
        <v>2.0609999999999999</v>
      </c>
      <c r="AW115" s="8">
        <v>2.0649999999999999</v>
      </c>
      <c r="AX115" s="8">
        <v>2.0407000000000002</v>
      </c>
      <c r="AY115" s="8">
        <v>2.0529999999999999</v>
      </c>
      <c r="AZ115" s="8">
        <v>2.0470999999999999</v>
      </c>
      <c r="BA115" s="8">
        <v>2.0367000000000002</v>
      </c>
      <c r="BB115" s="8">
        <v>2.0427</v>
      </c>
      <c r="BC115" s="8">
        <v>2.0461999999999998</v>
      </c>
      <c r="BD115" s="8">
        <v>2.016</v>
      </c>
    </row>
    <row r="116" spans="2:56" s="13" customFormat="1" x14ac:dyDescent="0.3">
      <c r="B116" s="22">
        <f t="shared" si="38"/>
        <v>760.00000000000011</v>
      </c>
      <c r="C116" s="40">
        <f t="shared" si="39"/>
        <v>17.832357247437681</v>
      </c>
      <c r="D116" s="40">
        <f t="shared" si="40"/>
        <v>16.983406539775515</v>
      </c>
      <c r="E116" s="40">
        <f t="shared" si="41"/>
        <v>22.483162518301611</v>
      </c>
      <c r="F116" s="40">
        <f t="shared" si="42"/>
        <v>23.88628599316738</v>
      </c>
      <c r="G116" s="40">
        <f t="shared" si="43"/>
        <v>23.555392874572853</v>
      </c>
      <c r="H116" s="40">
        <f t="shared" si="44"/>
        <v>26.201561737432915</v>
      </c>
      <c r="I116" s="40">
        <f t="shared" si="45"/>
        <v>47.193997071742352</v>
      </c>
      <c r="J116" s="40">
        <f t="shared" si="46"/>
        <v>37.586871644704686</v>
      </c>
      <c r="K116" s="40">
        <f t="shared" si="47"/>
        <v>34.055392874573016</v>
      </c>
      <c r="L116" s="40">
        <f t="shared" si="48"/>
        <v>35.193265007320662</v>
      </c>
      <c r="M116" s="40">
        <f t="shared" si="49"/>
        <v>29.056857003416201</v>
      </c>
      <c r="N116" s="40">
        <f t="shared" si="50"/>
        <v>26.079795021961836</v>
      </c>
      <c r="O116" s="40"/>
      <c r="P116" s="39">
        <f t="shared" si="51"/>
        <v>25.917276720351339</v>
      </c>
      <c r="Q116" s="39">
        <f t="shared" si="52"/>
        <v>23.998047828208879</v>
      </c>
      <c r="R116" s="39">
        <f t="shared" si="53"/>
        <v>25.357491459248358</v>
      </c>
      <c r="S116" s="39">
        <f t="shared" si="54"/>
        <v>25.712298682283944</v>
      </c>
      <c r="T116" s="39">
        <f t="shared" si="55"/>
        <v>24.746461688628742</v>
      </c>
      <c r="U116" s="39">
        <f t="shared" si="56"/>
        <v>22.024402147388997</v>
      </c>
      <c r="V116" s="39">
        <f t="shared" si="57"/>
        <v>25.512689116642225</v>
      </c>
      <c r="W116" s="39">
        <f t="shared" si="58"/>
        <v>28.789897510980829</v>
      </c>
      <c r="X116" s="39">
        <f t="shared" si="59"/>
        <v>27.832845290385805</v>
      </c>
      <c r="Y116" s="39">
        <f t="shared" si="60"/>
        <v>30.203025866276178</v>
      </c>
      <c r="Z116" s="39">
        <f t="shared" si="61"/>
        <v>29.28867740361153</v>
      </c>
      <c r="AA116" s="39">
        <f t="shared" si="62"/>
        <v>29.965836993655394</v>
      </c>
      <c r="AB116" s="38"/>
      <c r="AE116" s="15">
        <v>8.7962962962962968E-3</v>
      </c>
      <c r="AF116" s="14">
        <f t="shared" si="63"/>
        <v>760.00000000000011</v>
      </c>
      <c r="AG116" s="8">
        <v>2.0678000000000001</v>
      </c>
      <c r="AH116" s="8">
        <v>2.0543</v>
      </c>
      <c r="AI116" s="8">
        <v>2.0604</v>
      </c>
      <c r="AJ116" s="8">
        <v>2.0453000000000001</v>
      </c>
      <c r="AK116" s="8">
        <v>2.0562</v>
      </c>
      <c r="AL116" s="8">
        <v>2.0447000000000002</v>
      </c>
      <c r="AM116" s="8">
        <v>1.9877</v>
      </c>
      <c r="AN116" s="8">
        <v>2.0074999999999998</v>
      </c>
      <c r="AO116" s="8">
        <v>2.0005999999999999</v>
      </c>
      <c r="AP116" s="8">
        <v>2.0125999999999999</v>
      </c>
      <c r="AQ116" s="8">
        <v>2.0253000000000001</v>
      </c>
      <c r="AR116" s="8">
        <v>1.9918</v>
      </c>
      <c r="AS116" s="8">
        <v>2.0556999999999999</v>
      </c>
      <c r="AT116" s="8">
        <v>2.0554999999999999</v>
      </c>
      <c r="AU116" s="8">
        <v>2.0670000000000002</v>
      </c>
      <c r="AV116" s="8">
        <v>2.0581</v>
      </c>
      <c r="AW116" s="8">
        <v>2.0642</v>
      </c>
      <c r="AX116" s="8">
        <v>2.0390999999999999</v>
      </c>
      <c r="AY116" s="8">
        <v>2.0525000000000002</v>
      </c>
      <c r="AZ116" s="8">
        <v>2.0459000000000001</v>
      </c>
      <c r="BA116" s="8">
        <v>2.0377999999999998</v>
      </c>
      <c r="BB116" s="8">
        <v>2.0432000000000001</v>
      </c>
      <c r="BC116" s="8">
        <v>2.0451999999999999</v>
      </c>
      <c r="BD116" s="8">
        <v>2.0144000000000002</v>
      </c>
    </row>
    <row r="117" spans="2:56" s="13" customFormat="1" x14ac:dyDescent="0.3">
      <c r="B117" s="22">
        <f t="shared" si="38"/>
        <v>767.99999999999989</v>
      </c>
      <c r="C117" s="40">
        <f t="shared" si="39"/>
        <v>17.100292825768545</v>
      </c>
      <c r="D117" s="40">
        <f t="shared" si="40"/>
        <v>16.592972181552032</v>
      </c>
      <c r="E117" s="40">
        <f t="shared" si="41"/>
        <v>23.020009760859004</v>
      </c>
      <c r="F117" s="40">
        <f t="shared" si="42"/>
        <v>23.251830161054116</v>
      </c>
      <c r="G117" s="40">
        <f t="shared" si="43"/>
        <v>24.726695949243513</v>
      </c>
      <c r="H117" s="40">
        <f t="shared" si="44"/>
        <v>26.152757442655087</v>
      </c>
      <c r="I117" s="40">
        <f t="shared" si="45"/>
        <v>46.852367008296802</v>
      </c>
      <c r="J117" s="40">
        <f t="shared" si="46"/>
        <v>37.928501708150122</v>
      </c>
      <c r="K117" s="40">
        <f t="shared" si="47"/>
        <v>34.787457296242046</v>
      </c>
      <c r="L117" s="40">
        <f t="shared" si="48"/>
        <v>35.876525134211747</v>
      </c>
      <c r="M117" s="40">
        <f t="shared" si="49"/>
        <v>29.056857003416201</v>
      </c>
      <c r="N117" s="40">
        <f t="shared" si="50"/>
        <v>26.665446559297166</v>
      </c>
      <c r="O117" s="40"/>
      <c r="P117" s="39">
        <f t="shared" si="51"/>
        <v>25.722059541239595</v>
      </c>
      <c r="Q117" s="39">
        <f t="shared" si="52"/>
        <v>24.144460712542578</v>
      </c>
      <c r="R117" s="39">
        <f t="shared" si="53"/>
        <v>25.601512933138139</v>
      </c>
      <c r="S117" s="39">
        <f t="shared" si="54"/>
        <v>25.419472913616332</v>
      </c>
      <c r="T117" s="39">
        <f t="shared" si="55"/>
        <v>24.795265983406782</v>
      </c>
      <c r="U117" s="39">
        <f t="shared" si="56"/>
        <v>22.219619326500737</v>
      </c>
      <c r="V117" s="39">
        <f t="shared" si="57"/>
        <v>25.756710590532009</v>
      </c>
      <c r="W117" s="39">
        <f t="shared" si="58"/>
        <v>29.180331869204313</v>
      </c>
      <c r="X117" s="39">
        <f t="shared" si="59"/>
        <v>28.028062469497545</v>
      </c>
      <c r="Y117" s="39">
        <f t="shared" si="60"/>
        <v>30.007808687164435</v>
      </c>
      <c r="Z117" s="39">
        <f t="shared" si="61"/>
        <v>29.971937530502622</v>
      </c>
      <c r="AA117" s="39">
        <f t="shared" si="62"/>
        <v>30.014641288433435</v>
      </c>
      <c r="AB117" s="38"/>
      <c r="AE117" s="15">
        <v>8.8888888888888889E-3</v>
      </c>
      <c r="AF117" s="14">
        <f t="shared" si="63"/>
        <v>767.99999999999989</v>
      </c>
      <c r="AG117" s="8">
        <v>2.0693000000000001</v>
      </c>
      <c r="AH117" s="8">
        <v>2.0550999999999999</v>
      </c>
      <c r="AI117" s="8">
        <v>2.0592999999999999</v>
      </c>
      <c r="AJ117" s="8">
        <v>2.0466000000000002</v>
      </c>
      <c r="AK117" s="8">
        <v>2.0537999999999998</v>
      </c>
      <c r="AL117" s="8">
        <v>2.0448</v>
      </c>
      <c r="AM117" s="8">
        <v>1.9883999999999999</v>
      </c>
      <c r="AN117" s="8">
        <v>2.0068000000000001</v>
      </c>
      <c r="AO117" s="8">
        <v>1.9991000000000001</v>
      </c>
      <c r="AP117" s="8">
        <v>2.0112000000000001</v>
      </c>
      <c r="AQ117" s="8">
        <v>2.0253000000000001</v>
      </c>
      <c r="AR117" s="8">
        <v>1.9905999999999999</v>
      </c>
      <c r="AS117" s="8">
        <v>2.0560999999999998</v>
      </c>
      <c r="AT117" s="8">
        <v>2.0552000000000001</v>
      </c>
      <c r="AU117" s="8">
        <v>2.0665</v>
      </c>
      <c r="AV117" s="8">
        <v>2.0587</v>
      </c>
      <c r="AW117" s="8">
        <v>2.0640999999999998</v>
      </c>
      <c r="AX117" s="8">
        <v>2.0387</v>
      </c>
      <c r="AY117" s="8">
        <v>2.052</v>
      </c>
      <c r="AZ117" s="8">
        <v>2.0451000000000001</v>
      </c>
      <c r="BA117" s="8">
        <v>2.0373999999999999</v>
      </c>
      <c r="BB117" s="8">
        <v>2.0436000000000001</v>
      </c>
      <c r="BC117" s="8">
        <v>2.0438000000000001</v>
      </c>
      <c r="BD117" s="8">
        <v>2.0143</v>
      </c>
    </row>
    <row r="118" spans="2:56" s="13" customFormat="1" x14ac:dyDescent="0.3">
      <c r="B118" s="22">
        <f t="shared" si="38"/>
        <v>776</v>
      </c>
      <c r="C118" s="40">
        <f t="shared" si="39"/>
        <v>16.612249877989193</v>
      </c>
      <c r="D118" s="40">
        <f t="shared" si="40"/>
        <v>17.276232308443124</v>
      </c>
      <c r="E118" s="40">
        <f t="shared" si="41"/>
        <v>22.239141044411824</v>
      </c>
      <c r="F118" s="40">
        <f t="shared" si="42"/>
        <v>23.4958516349439</v>
      </c>
      <c r="G118" s="40">
        <f t="shared" si="43"/>
        <v>25.507564665690474</v>
      </c>
      <c r="H118" s="40">
        <f t="shared" si="44"/>
        <v>26.445583211322699</v>
      </c>
      <c r="I118" s="40">
        <f t="shared" si="45"/>
        <v>47.633235724743869</v>
      </c>
      <c r="J118" s="40">
        <f t="shared" si="46"/>
        <v>37.830893118594254</v>
      </c>
      <c r="K118" s="40">
        <f t="shared" si="47"/>
        <v>33.86017569546128</v>
      </c>
      <c r="L118" s="40">
        <f t="shared" si="48"/>
        <v>35.974133723767629</v>
      </c>
      <c r="M118" s="40">
        <f t="shared" si="49"/>
        <v>29.105661298194246</v>
      </c>
      <c r="N118" s="40">
        <f t="shared" si="50"/>
        <v>26.665446559297166</v>
      </c>
      <c r="O118" s="40"/>
      <c r="P118" s="39">
        <f t="shared" si="51"/>
        <v>25.966081015129163</v>
      </c>
      <c r="Q118" s="39">
        <f t="shared" si="52"/>
        <v>23.851634943874966</v>
      </c>
      <c r="R118" s="39">
        <f t="shared" si="53"/>
        <v>25.747925817472051</v>
      </c>
      <c r="S118" s="39">
        <f t="shared" si="54"/>
        <v>26.053928745729596</v>
      </c>
      <c r="T118" s="39">
        <f t="shared" si="55"/>
        <v>25.576134699853746</v>
      </c>
      <c r="U118" s="39">
        <f t="shared" si="56"/>
        <v>22.024402147388997</v>
      </c>
      <c r="V118" s="39">
        <f t="shared" si="57"/>
        <v>25.80551488531005</v>
      </c>
      <c r="W118" s="39">
        <f t="shared" si="58"/>
        <v>29.229136163982357</v>
      </c>
      <c r="X118" s="39">
        <f t="shared" si="59"/>
        <v>28.223279648609282</v>
      </c>
      <c r="Y118" s="39">
        <f t="shared" si="60"/>
        <v>29.812591508052694</v>
      </c>
      <c r="Z118" s="39">
        <f t="shared" si="61"/>
        <v>29.28867740361153</v>
      </c>
      <c r="AA118" s="39">
        <f t="shared" si="62"/>
        <v>31.185944363104095</v>
      </c>
      <c r="AB118" s="38"/>
      <c r="AE118" s="15">
        <v>8.9814814814814809E-3</v>
      </c>
      <c r="AF118" s="14">
        <f t="shared" si="63"/>
        <v>776</v>
      </c>
      <c r="AG118" s="8">
        <v>2.0703</v>
      </c>
      <c r="AH118" s="8">
        <v>2.0537000000000001</v>
      </c>
      <c r="AI118" s="8">
        <v>2.0609000000000002</v>
      </c>
      <c r="AJ118" s="8">
        <v>2.0461</v>
      </c>
      <c r="AK118" s="8">
        <v>2.0522</v>
      </c>
      <c r="AL118" s="8">
        <v>2.0442</v>
      </c>
      <c r="AM118" s="8">
        <v>1.9867999999999999</v>
      </c>
      <c r="AN118" s="8">
        <v>2.0070000000000001</v>
      </c>
      <c r="AO118" s="8">
        <v>2.0009999999999999</v>
      </c>
      <c r="AP118" s="8">
        <v>2.0110000000000001</v>
      </c>
      <c r="AQ118" s="8">
        <v>2.0251999999999999</v>
      </c>
      <c r="AR118" s="8">
        <v>1.9905999999999999</v>
      </c>
      <c r="AS118" s="8">
        <v>2.0556000000000001</v>
      </c>
      <c r="AT118" s="8">
        <v>2.0558000000000001</v>
      </c>
      <c r="AU118" s="8">
        <v>2.0661999999999998</v>
      </c>
      <c r="AV118" s="8">
        <v>2.0573999999999999</v>
      </c>
      <c r="AW118" s="8">
        <v>2.0625</v>
      </c>
      <c r="AX118" s="8">
        <v>2.0390999999999999</v>
      </c>
      <c r="AY118" s="8">
        <v>2.0518999999999998</v>
      </c>
      <c r="AZ118" s="8">
        <v>2.0449999999999999</v>
      </c>
      <c r="BA118" s="8">
        <v>2.0369999999999999</v>
      </c>
      <c r="BB118" s="8">
        <v>2.044</v>
      </c>
      <c r="BC118" s="8">
        <v>2.0451999999999999</v>
      </c>
      <c r="BD118" s="8">
        <v>2.0118999999999998</v>
      </c>
    </row>
    <row r="119" spans="2:56" s="13" customFormat="1" x14ac:dyDescent="0.3">
      <c r="B119" s="22">
        <f t="shared" si="38"/>
        <v>783.99999999999989</v>
      </c>
      <c r="C119" s="40">
        <f t="shared" si="39"/>
        <v>16.758662762323109</v>
      </c>
      <c r="D119" s="40">
        <f t="shared" si="40"/>
        <v>17.569058077110736</v>
      </c>
      <c r="E119" s="40">
        <f t="shared" si="41"/>
        <v>21.751098096632475</v>
      </c>
      <c r="F119" s="40">
        <f t="shared" si="42"/>
        <v>23.447047340166069</v>
      </c>
      <c r="G119" s="40">
        <f t="shared" si="43"/>
        <v>26.23962908735961</v>
      </c>
      <c r="H119" s="40">
        <f t="shared" si="44"/>
        <v>26.494387506100743</v>
      </c>
      <c r="I119" s="40">
        <f t="shared" si="45"/>
        <v>48.267691556857031</v>
      </c>
      <c r="J119" s="40">
        <f t="shared" si="46"/>
        <v>38.660566129819259</v>
      </c>
      <c r="K119" s="40">
        <f t="shared" si="47"/>
        <v>33.71376281112736</v>
      </c>
      <c r="L119" s="40">
        <f t="shared" si="48"/>
        <v>36.657393850658934</v>
      </c>
      <c r="M119" s="40">
        <f t="shared" si="49"/>
        <v>29.788921425085338</v>
      </c>
      <c r="N119" s="40">
        <f t="shared" si="50"/>
        <v>26.90946803318684</v>
      </c>
      <c r="O119" s="40"/>
      <c r="P119" s="39">
        <f t="shared" si="51"/>
        <v>26.551732552464603</v>
      </c>
      <c r="Q119" s="39">
        <f t="shared" si="52"/>
        <v>24.095656417764751</v>
      </c>
      <c r="R119" s="39">
        <f t="shared" si="53"/>
        <v>25.308687164470527</v>
      </c>
      <c r="S119" s="39">
        <f t="shared" si="54"/>
        <v>25.712298682283944</v>
      </c>
      <c r="T119" s="39">
        <f t="shared" si="55"/>
        <v>25.429721815519834</v>
      </c>
      <c r="U119" s="39">
        <f t="shared" si="56"/>
        <v>22.170815031722693</v>
      </c>
      <c r="V119" s="39">
        <f t="shared" si="57"/>
        <v>26.195949243533533</v>
      </c>
      <c r="W119" s="39">
        <f t="shared" si="58"/>
        <v>29.912396290873446</v>
      </c>
      <c r="X119" s="39">
        <f t="shared" si="59"/>
        <v>28.955344070278418</v>
      </c>
      <c r="Y119" s="39">
        <f t="shared" si="60"/>
        <v>30.495851634943786</v>
      </c>
      <c r="Z119" s="39">
        <f t="shared" si="61"/>
        <v>30.313567593948274</v>
      </c>
      <c r="AA119" s="39">
        <f t="shared" si="62"/>
        <v>31.283552952659964</v>
      </c>
      <c r="AB119" s="38"/>
      <c r="AE119" s="15">
        <v>9.0740740740740729E-3</v>
      </c>
      <c r="AF119" s="14">
        <f t="shared" si="63"/>
        <v>783.99999999999989</v>
      </c>
      <c r="AG119" s="8">
        <v>2.0699999999999998</v>
      </c>
      <c r="AH119" s="8">
        <v>2.0531000000000001</v>
      </c>
      <c r="AI119" s="8">
        <v>2.0619000000000001</v>
      </c>
      <c r="AJ119" s="8">
        <v>2.0461999999999998</v>
      </c>
      <c r="AK119" s="8">
        <v>2.0507</v>
      </c>
      <c r="AL119" s="8">
        <v>2.0440999999999998</v>
      </c>
      <c r="AM119" s="8">
        <v>1.9855</v>
      </c>
      <c r="AN119" s="8">
        <v>2.0053000000000001</v>
      </c>
      <c r="AO119" s="8">
        <v>2.0013000000000001</v>
      </c>
      <c r="AP119" s="8">
        <v>2.0095999999999998</v>
      </c>
      <c r="AQ119" s="8">
        <v>2.0238</v>
      </c>
      <c r="AR119" s="8">
        <v>1.9901</v>
      </c>
      <c r="AS119" s="8">
        <v>2.0543999999999998</v>
      </c>
      <c r="AT119" s="8">
        <v>2.0552999999999999</v>
      </c>
      <c r="AU119" s="8">
        <v>2.0670999999999999</v>
      </c>
      <c r="AV119" s="8">
        <v>2.0581</v>
      </c>
      <c r="AW119" s="8">
        <v>2.0628000000000002</v>
      </c>
      <c r="AX119" s="8">
        <v>2.0388000000000002</v>
      </c>
      <c r="AY119" s="8">
        <v>2.0510999999999999</v>
      </c>
      <c r="AZ119" s="8">
        <v>2.0436000000000001</v>
      </c>
      <c r="BA119" s="8">
        <v>2.0354999999999999</v>
      </c>
      <c r="BB119" s="8">
        <v>2.0426000000000002</v>
      </c>
      <c r="BC119" s="8">
        <v>2.0430999999999999</v>
      </c>
      <c r="BD119" s="8">
        <v>2.0116999999999998</v>
      </c>
    </row>
    <row r="120" spans="2:56" s="13" customFormat="1" x14ac:dyDescent="0.3">
      <c r="B120" s="22">
        <f t="shared" si="38"/>
        <v>792</v>
      </c>
      <c r="C120" s="40">
        <f t="shared" si="39"/>
        <v>17.929965836993549</v>
      </c>
      <c r="D120" s="40">
        <f t="shared" si="40"/>
        <v>17.129819424109424</v>
      </c>
      <c r="E120" s="40">
        <f t="shared" si="41"/>
        <v>22.483162518301611</v>
      </c>
      <c r="F120" s="40">
        <f t="shared" si="42"/>
        <v>23.88628599316738</v>
      </c>
      <c r="G120" s="40">
        <f t="shared" si="43"/>
        <v>25.507564665690474</v>
      </c>
      <c r="H120" s="40">
        <f t="shared" si="44"/>
        <v>27.128843338213787</v>
      </c>
      <c r="I120" s="40">
        <f t="shared" si="45"/>
        <v>48.560517325524643</v>
      </c>
      <c r="J120" s="40">
        <f t="shared" si="46"/>
        <v>38.074914592484035</v>
      </c>
      <c r="K120" s="40">
        <f t="shared" si="47"/>
        <v>33.518545632015616</v>
      </c>
      <c r="L120" s="40">
        <f t="shared" si="48"/>
        <v>36.755002440214803</v>
      </c>
      <c r="M120" s="40">
        <f t="shared" si="49"/>
        <v>30.032942898975122</v>
      </c>
      <c r="N120" s="40">
        <f t="shared" si="50"/>
        <v>26.226207906295645</v>
      </c>
      <c r="O120" s="40"/>
      <c r="P120" s="39">
        <f t="shared" si="51"/>
        <v>27.039775500243952</v>
      </c>
      <c r="Q120" s="39">
        <f t="shared" si="52"/>
        <v>24.339677891654315</v>
      </c>
      <c r="R120" s="39">
        <f t="shared" si="53"/>
        <v>25.455100048804226</v>
      </c>
      <c r="S120" s="39">
        <f t="shared" si="54"/>
        <v>26.346754514397208</v>
      </c>
      <c r="T120" s="39">
        <f t="shared" si="55"/>
        <v>25.136896046852225</v>
      </c>
      <c r="U120" s="39">
        <f t="shared" si="56"/>
        <v>22.707662274280089</v>
      </c>
      <c r="V120" s="39">
        <f t="shared" si="57"/>
        <v>26.879209370424626</v>
      </c>
      <c r="W120" s="39">
        <f t="shared" si="58"/>
        <v>28.985114690092573</v>
      </c>
      <c r="X120" s="39">
        <f t="shared" si="59"/>
        <v>28.955344070278418</v>
      </c>
      <c r="Y120" s="39">
        <f t="shared" si="60"/>
        <v>31.325524646168791</v>
      </c>
      <c r="Z120" s="39">
        <f t="shared" si="61"/>
        <v>30.118350414836534</v>
      </c>
      <c r="AA120" s="39">
        <f t="shared" si="62"/>
        <v>30.746705710102571</v>
      </c>
      <c r="AB120" s="38"/>
      <c r="AE120" s="15">
        <v>9.1666666666666667E-3</v>
      </c>
      <c r="AF120" s="14">
        <f t="shared" si="63"/>
        <v>792</v>
      </c>
      <c r="AG120" s="8">
        <v>2.0676000000000001</v>
      </c>
      <c r="AH120" s="8">
        <v>2.0539999999999998</v>
      </c>
      <c r="AI120" s="8">
        <v>2.0604</v>
      </c>
      <c r="AJ120" s="8">
        <v>2.0453000000000001</v>
      </c>
      <c r="AK120" s="8">
        <v>2.0522</v>
      </c>
      <c r="AL120" s="8">
        <v>2.0428000000000002</v>
      </c>
      <c r="AM120" s="8">
        <v>1.9849000000000001</v>
      </c>
      <c r="AN120" s="8">
        <v>2.0065</v>
      </c>
      <c r="AO120" s="8">
        <v>2.0017</v>
      </c>
      <c r="AP120" s="8">
        <v>2.0093999999999999</v>
      </c>
      <c r="AQ120" s="8">
        <v>2.0232999999999999</v>
      </c>
      <c r="AR120" s="8">
        <v>1.9915</v>
      </c>
      <c r="AS120" s="8">
        <v>2.0533999999999999</v>
      </c>
      <c r="AT120" s="8">
        <v>2.0548000000000002</v>
      </c>
      <c r="AU120" s="8">
        <v>2.0668000000000002</v>
      </c>
      <c r="AV120" s="8">
        <v>2.0568</v>
      </c>
      <c r="AW120" s="8">
        <v>2.0634000000000001</v>
      </c>
      <c r="AX120" s="8">
        <v>2.0377000000000001</v>
      </c>
      <c r="AY120" s="8">
        <v>2.0497000000000001</v>
      </c>
      <c r="AZ120" s="8">
        <v>2.0455000000000001</v>
      </c>
      <c r="BA120" s="8">
        <v>2.0354999999999999</v>
      </c>
      <c r="BB120" s="8">
        <v>2.0409000000000002</v>
      </c>
      <c r="BC120" s="8">
        <v>2.0434999999999999</v>
      </c>
      <c r="BD120" s="8">
        <v>2.0127999999999999</v>
      </c>
    </row>
    <row r="121" spans="2:56" s="13" customFormat="1" x14ac:dyDescent="0.3">
      <c r="B121" s="22">
        <f t="shared" si="38"/>
        <v>800.00000000000011</v>
      </c>
      <c r="C121" s="40">
        <f t="shared" si="39"/>
        <v>17.149097120546589</v>
      </c>
      <c r="D121" s="40">
        <f t="shared" si="40"/>
        <v>16.739385065885731</v>
      </c>
      <c r="E121" s="40">
        <f t="shared" si="41"/>
        <v>22.922401171303132</v>
      </c>
      <c r="F121" s="40">
        <f t="shared" si="42"/>
        <v>24.325524646168905</v>
      </c>
      <c r="G121" s="40">
        <f t="shared" si="43"/>
        <v>26.093216203025698</v>
      </c>
      <c r="H121" s="40">
        <f t="shared" si="44"/>
        <v>26.640800390434435</v>
      </c>
      <c r="I121" s="40">
        <f t="shared" si="45"/>
        <v>49.487798926305523</v>
      </c>
      <c r="J121" s="40">
        <f t="shared" si="46"/>
        <v>38.660566129819259</v>
      </c>
      <c r="K121" s="40">
        <f t="shared" si="47"/>
        <v>34.055392874573016</v>
      </c>
      <c r="L121" s="40">
        <f t="shared" si="48"/>
        <v>36.510980966325015</v>
      </c>
      <c r="M121" s="40">
        <f t="shared" si="49"/>
        <v>30.423377257198602</v>
      </c>
      <c r="N121" s="40">
        <f t="shared" si="50"/>
        <v>27.44631527574413</v>
      </c>
      <c r="O121" s="40"/>
      <c r="P121" s="39">
        <f t="shared" si="51"/>
        <v>26.502928257686559</v>
      </c>
      <c r="Q121" s="39">
        <f t="shared" si="52"/>
        <v>24.242069302098447</v>
      </c>
      <c r="R121" s="39">
        <f t="shared" si="53"/>
        <v>26.382381649585099</v>
      </c>
      <c r="S121" s="39">
        <f t="shared" si="54"/>
        <v>25.565885797950248</v>
      </c>
      <c r="T121" s="39">
        <f t="shared" si="55"/>
        <v>25.820156173743531</v>
      </c>
      <c r="U121" s="39">
        <f t="shared" si="56"/>
        <v>22.414836505612477</v>
      </c>
      <c r="V121" s="39">
        <f t="shared" si="57"/>
        <v>25.903123474865925</v>
      </c>
      <c r="W121" s="39">
        <f t="shared" si="58"/>
        <v>29.082723279648441</v>
      </c>
      <c r="X121" s="39">
        <f t="shared" si="59"/>
        <v>29.004148365056245</v>
      </c>
      <c r="Y121" s="39">
        <f t="shared" si="60"/>
        <v>31.862371888726187</v>
      </c>
      <c r="Z121" s="39">
        <f t="shared" si="61"/>
        <v>30.899219131283495</v>
      </c>
      <c r="AA121" s="39">
        <f t="shared" si="62"/>
        <v>31.137140068326048</v>
      </c>
      <c r="AB121" s="38"/>
      <c r="AE121" s="15">
        <v>9.2592592592592605E-3</v>
      </c>
      <c r="AF121" s="14">
        <f t="shared" si="63"/>
        <v>800.00000000000011</v>
      </c>
      <c r="AG121" s="8">
        <v>2.0691999999999999</v>
      </c>
      <c r="AH121" s="8">
        <v>2.0548000000000002</v>
      </c>
      <c r="AI121" s="8">
        <v>2.0594999999999999</v>
      </c>
      <c r="AJ121" s="8">
        <v>2.0444</v>
      </c>
      <c r="AK121" s="8">
        <v>2.0510000000000002</v>
      </c>
      <c r="AL121" s="8">
        <v>2.0438000000000001</v>
      </c>
      <c r="AM121" s="8">
        <v>1.9830000000000001</v>
      </c>
      <c r="AN121" s="8">
        <v>2.0053000000000001</v>
      </c>
      <c r="AO121" s="8">
        <v>2.0005999999999999</v>
      </c>
      <c r="AP121" s="8">
        <v>2.0099</v>
      </c>
      <c r="AQ121" s="8">
        <v>2.0225</v>
      </c>
      <c r="AR121" s="8">
        <v>1.9890000000000001</v>
      </c>
      <c r="AS121" s="8">
        <v>2.0545</v>
      </c>
      <c r="AT121" s="8">
        <v>2.0550000000000002</v>
      </c>
      <c r="AU121" s="8">
        <v>2.0649000000000002</v>
      </c>
      <c r="AV121" s="8">
        <v>2.0583999999999998</v>
      </c>
      <c r="AW121" s="8">
        <v>2.0619999999999998</v>
      </c>
      <c r="AX121" s="8">
        <v>2.0383</v>
      </c>
      <c r="AY121" s="8">
        <v>2.0516999999999999</v>
      </c>
      <c r="AZ121" s="8">
        <v>2.0453000000000001</v>
      </c>
      <c r="BA121" s="8">
        <v>2.0354000000000001</v>
      </c>
      <c r="BB121" s="8">
        <v>2.0398000000000001</v>
      </c>
      <c r="BC121" s="8">
        <v>2.0419</v>
      </c>
      <c r="BD121" s="8">
        <v>2.012</v>
      </c>
    </row>
    <row r="122" spans="2:56" s="13" customFormat="1" x14ac:dyDescent="0.3">
      <c r="B122" s="22">
        <f t="shared" si="38"/>
        <v>808</v>
      </c>
      <c r="C122" s="40">
        <f t="shared" si="39"/>
        <v>18.320400195217029</v>
      </c>
      <c r="D122" s="40">
        <f t="shared" si="40"/>
        <v>17.959492435334433</v>
      </c>
      <c r="E122" s="40">
        <f t="shared" si="41"/>
        <v>22.678379697413352</v>
      </c>
      <c r="F122" s="40">
        <f t="shared" si="42"/>
        <v>23.154221571498244</v>
      </c>
      <c r="G122" s="40">
        <f t="shared" si="43"/>
        <v>25.84919472913613</v>
      </c>
      <c r="H122" s="40">
        <f t="shared" si="44"/>
        <v>26.445583211322699</v>
      </c>
      <c r="I122" s="40">
        <f t="shared" si="45"/>
        <v>49.243777452415841</v>
      </c>
      <c r="J122" s="40">
        <f t="shared" si="46"/>
        <v>38.709370424597303</v>
      </c>
      <c r="K122" s="40">
        <f t="shared" si="47"/>
        <v>34.592240117130295</v>
      </c>
      <c r="L122" s="40">
        <f t="shared" si="48"/>
        <v>37.340653977550019</v>
      </c>
      <c r="M122" s="40">
        <f t="shared" si="49"/>
        <v>29.886530014641206</v>
      </c>
      <c r="N122" s="40">
        <f t="shared" si="50"/>
        <v>26.860663738408906</v>
      </c>
      <c r="O122" s="40"/>
      <c r="P122" s="39">
        <f t="shared" si="51"/>
        <v>26.698145436798296</v>
      </c>
      <c r="Q122" s="39">
        <f t="shared" si="52"/>
        <v>24.583699365544099</v>
      </c>
      <c r="R122" s="39">
        <f t="shared" si="53"/>
        <v>27.846510492923368</v>
      </c>
      <c r="S122" s="39">
        <f t="shared" si="54"/>
        <v>26.395558809175032</v>
      </c>
      <c r="T122" s="39">
        <f t="shared" si="55"/>
        <v>26.112981942411142</v>
      </c>
      <c r="U122" s="39">
        <f t="shared" si="56"/>
        <v>23.049292337725742</v>
      </c>
      <c r="V122" s="39">
        <f t="shared" si="57"/>
        <v>26.732796486090926</v>
      </c>
      <c r="W122" s="39">
        <f t="shared" si="58"/>
        <v>30.693265007320626</v>
      </c>
      <c r="X122" s="39">
        <f t="shared" si="59"/>
        <v>29.004148365056245</v>
      </c>
      <c r="Y122" s="39">
        <f t="shared" si="60"/>
        <v>30.349438750610091</v>
      </c>
      <c r="Z122" s="39">
        <f t="shared" si="61"/>
        <v>31.436066373840887</v>
      </c>
      <c r="AA122" s="39">
        <f t="shared" si="62"/>
        <v>30.990727183992139</v>
      </c>
      <c r="AB122" s="38"/>
      <c r="AE122" s="15">
        <v>9.3518518518518525E-3</v>
      </c>
      <c r="AF122" s="14">
        <f t="shared" si="63"/>
        <v>808</v>
      </c>
      <c r="AG122" s="8">
        <v>2.0668000000000002</v>
      </c>
      <c r="AH122" s="8">
        <v>2.0522999999999998</v>
      </c>
      <c r="AI122" s="8">
        <v>2.06</v>
      </c>
      <c r="AJ122" s="8">
        <v>2.0468000000000002</v>
      </c>
      <c r="AK122" s="8">
        <v>2.0514999999999999</v>
      </c>
      <c r="AL122" s="8">
        <v>2.0442</v>
      </c>
      <c r="AM122" s="8">
        <v>1.9835</v>
      </c>
      <c r="AN122" s="8">
        <v>2.0051999999999999</v>
      </c>
      <c r="AO122" s="8">
        <v>1.9995000000000001</v>
      </c>
      <c r="AP122" s="8">
        <v>2.0082</v>
      </c>
      <c r="AQ122" s="8">
        <v>2.0236000000000001</v>
      </c>
      <c r="AR122" s="8">
        <v>1.9902</v>
      </c>
      <c r="AS122" s="8">
        <v>2.0541</v>
      </c>
      <c r="AT122" s="8">
        <v>2.0543</v>
      </c>
      <c r="AU122" s="8">
        <v>2.0619000000000001</v>
      </c>
      <c r="AV122" s="8">
        <v>2.0567000000000002</v>
      </c>
      <c r="AW122" s="8">
        <v>2.0613999999999999</v>
      </c>
      <c r="AX122" s="8">
        <v>2.0369999999999999</v>
      </c>
      <c r="AY122" s="8">
        <v>2.0499999999999998</v>
      </c>
      <c r="AZ122" s="8">
        <v>2.0419999999999998</v>
      </c>
      <c r="BA122" s="8">
        <v>2.0354000000000001</v>
      </c>
      <c r="BB122" s="8">
        <v>2.0428999999999999</v>
      </c>
      <c r="BC122" s="8">
        <v>2.0407999999999999</v>
      </c>
      <c r="BD122" s="8">
        <v>2.0123000000000002</v>
      </c>
    </row>
    <row r="123" spans="2:56" s="13" customFormat="1" x14ac:dyDescent="0.3">
      <c r="B123" s="22">
        <f t="shared" si="38"/>
        <v>816.00000000000011</v>
      </c>
      <c r="C123" s="40">
        <f t="shared" si="39"/>
        <v>17.490727183992242</v>
      </c>
      <c r="D123" s="40">
        <f t="shared" si="40"/>
        <v>17.373840897998992</v>
      </c>
      <c r="E123" s="40">
        <f t="shared" si="41"/>
        <v>23.020009760859004</v>
      </c>
      <c r="F123" s="40">
        <f t="shared" si="42"/>
        <v>24.179111761834989</v>
      </c>
      <c r="G123" s="40">
        <f t="shared" si="43"/>
        <v>25.897999023913954</v>
      </c>
      <c r="H123" s="40">
        <f t="shared" si="44"/>
        <v>26.055148853099215</v>
      </c>
      <c r="I123" s="40">
        <f t="shared" si="45"/>
        <v>49.780624694973234</v>
      </c>
      <c r="J123" s="40">
        <f t="shared" si="46"/>
        <v>39.831869204489919</v>
      </c>
      <c r="K123" s="40">
        <f t="shared" si="47"/>
        <v>34.787457296242046</v>
      </c>
      <c r="L123" s="40">
        <f t="shared" si="48"/>
        <v>37.535871156661763</v>
      </c>
      <c r="M123" s="40">
        <f t="shared" si="49"/>
        <v>30.765007320644255</v>
      </c>
      <c r="N123" s="40">
        <f t="shared" si="50"/>
        <v>26.470229380185319</v>
      </c>
      <c r="O123" s="40"/>
      <c r="P123" s="39">
        <f t="shared" si="51"/>
        <v>27.771839921913088</v>
      </c>
      <c r="Q123" s="39">
        <f t="shared" si="52"/>
        <v>24.925329428989752</v>
      </c>
      <c r="R123" s="39">
        <f t="shared" si="53"/>
        <v>26.431185944363143</v>
      </c>
      <c r="S123" s="39">
        <f t="shared" si="54"/>
        <v>26.395558809175032</v>
      </c>
      <c r="T123" s="39">
        <f t="shared" si="55"/>
        <v>26.259394826744838</v>
      </c>
      <c r="U123" s="39">
        <f t="shared" si="56"/>
        <v>22.561249389946394</v>
      </c>
      <c r="V123" s="39">
        <f t="shared" si="57"/>
        <v>26.928013665202666</v>
      </c>
      <c r="W123" s="39">
        <f t="shared" si="58"/>
        <v>29.668374816983878</v>
      </c>
      <c r="X123" s="39">
        <f t="shared" si="59"/>
        <v>28.320888238165157</v>
      </c>
      <c r="Y123" s="39">
        <f t="shared" si="60"/>
        <v>31.032698877501183</v>
      </c>
      <c r="Z123" s="39">
        <f t="shared" si="61"/>
        <v>31.826500732064371</v>
      </c>
      <c r="AA123" s="39">
        <f t="shared" si="62"/>
        <v>31.918008784773015</v>
      </c>
      <c r="AB123" s="38"/>
      <c r="AE123" s="15">
        <v>9.4444444444444445E-3</v>
      </c>
      <c r="AF123" s="14">
        <f t="shared" si="63"/>
        <v>816.00000000000011</v>
      </c>
      <c r="AG123" s="8">
        <v>2.0684999999999998</v>
      </c>
      <c r="AH123" s="8">
        <v>2.0535000000000001</v>
      </c>
      <c r="AI123" s="8">
        <v>2.0592999999999999</v>
      </c>
      <c r="AJ123" s="8">
        <v>2.0447000000000002</v>
      </c>
      <c r="AK123" s="8">
        <v>2.0514000000000001</v>
      </c>
      <c r="AL123" s="8">
        <v>2.0449999999999999</v>
      </c>
      <c r="AM123" s="8">
        <v>1.9823999999999999</v>
      </c>
      <c r="AN123" s="8">
        <v>2.0028999999999999</v>
      </c>
      <c r="AO123" s="8">
        <v>1.9991000000000001</v>
      </c>
      <c r="AP123" s="8">
        <v>2.0078</v>
      </c>
      <c r="AQ123" s="8">
        <v>2.0217999999999998</v>
      </c>
      <c r="AR123" s="8">
        <v>1.9910000000000001</v>
      </c>
      <c r="AS123" s="8">
        <v>2.0518999999999998</v>
      </c>
      <c r="AT123" s="8">
        <v>2.0535999999999999</v>
      </c>
      <c r="AU123" s="8">
        <v>2.0648</v>
      </c>
      <c r="AV123" s="8">
        <v>2.0567000000000002</v>
      </c>
      <c r="AW123" s="8">
        <v>2.0611000000000002</v>
      </c>
      <c r="AX123" s="8">
        <v>2.0379999999999998</v>
      </c>
      <c r="AY123" s="8">
        <v>2.0495999999999999</v>
      </c>
      <c r="AZ123" s="8">
        <v>2.0440999999999998</v>
      </c>
      <c r="BA123" s="8">
        <v>2.0367999999999999</v>
      </c>
      <c r="BB123" s="8">
        <v>2.0415000000000001</v>
      </c>
      <c r="BC123" s="8">
        <v>2.04</v>
      </c>
      <c r="BD123" s="8">
        <v>2.0104000000000002</v>
      </c>
    </row>
    <row r="124" spans="2:56" s="13" customFormat="1" x14ac:dyDescent="0.3">
      <c r="B124" s="22">
        <f t="shared" si="38"/>
        <v>824</v>
      </c>
      <c r="C124" s="40">
        <f t="shared" si="39"/>
        <v>16.661054172767241</v>
      </c>
      <c r="D124" s="40">
        <f t="shared" si="40"/>
        <v>17.178623718887252</v>
      </c>
      <c r="E124" s="40">
        <f t="shared" si="41"/>
        <v>22.38555392874574</v>
      </c>
      <c r="F124" s="40">
        <f t="shared" si="42"/>
        <v>23.593460224499768</v>
      </c>
      <c r="G124" s="40">
        <f t="shared" si="43"/>
        <v>26.23962908735961</v>
      </c>
      <c r="H124" s="40">
        <f t="shared" si="44"/>
        <v>27.128843338213787</v>
      </c>
      <c r="I124" s="40">
        <f t="shared" si="45"/>
        <v>50.26866764275259</v>
      </c>
      <c r="J124" s="40">
        <f t="shared" si="46"/>
        <v>40.563933626159056</v>
      </c>
      <c r="K124" s="40">
        <f t="shared" si="47"/>
        <v>34.689848706686163</v>
      </c>
      <c r="L124" s="40">
        <f t="shared" si="48"/>
        <v>37.291849682771975</v>
      </c>
      <c r="M124" s="40">
        <f t="shared" si="49"/>
        <v>30.472181551976426</v>
      </c>
      <c r="N124" s="40">
        <f t="shared" si="50"/>
        <v>27.007076622742712</v>
      </c>
      <c r="O124" s="40"/>
      <c r="P124" s="39">
        <f t="shared" si="51"/>
        <v>27.869448511468956</v>
      </c>
      <c r="Q124" s="39">
        <f t="shared" si="52"/>
        <v>24.534895070766272</v>
      </c>
      <c r="R124" s="39">
        <f t="shared" si="53"/>
        <v>26.577598828697059</v>
      </c>
      <c r="S124" s="39">
        <f t="shared" si="54"/>
        <v>25.956320156173728</v>
      </c>
      <c r="T124" s="39">
        <f t="shared" si="55"/>
        <v>26.845046364080279</v>
      </c>
      <c r="U124" s="39">
        <f t="shared" si="56"/>
        <v>23.146900927281614</v>
      </c>
      <c r="V124" s="39">
        <f t="shared" si="57"/>
        <v>26.928013665202666</v>
      </c>
      <c r="W124" s="39">
        <f t="shared" si="58"/>
        <v>30.595656417764758</v>
      </c>
      <c r="X124" s="39">
        <f t="shared" si="59"/>
        <v>30.02903855539299</v>
      </c>
      <c r="Y124" s="39">
        <f t="shared" si="60"/>
        <v>32.39921913128358</v>
      </c>
      <c r="Z124" s="39">
        <f t="shared" si="61"/>
        <v>30.850414836505667</v>
      </c>
      <c r="AA124" s="39">
        <f t="shared" si="62"/>
        <v>32.064421669106927</v>
      </c>
      <c r="AB124" s="38"/>
      <c r="AE124" s="15">
        <v>9.5370370370370366E-3</v>
      </c>
      <c r="AF124" s="14">
        <f t="shared" si="63"/>
        <v>824</v>
      </c>
      <c r="AG124" s="8">
        <v>2.0701999999999998</v>
      </c>
      <c r="AH124" s="8">
        <v>2.0539000000000001</v>
      </c>
      <c r="AI124" s="8">
        <v>2.0606</v>
      </c>
      <c r="AJ124" s="8">
        <v>2.0459000000000001</v>
      </c>
      <c r="AK124" s="8">
        <v>2.0507</v>
      </c>
      <c r="AL124" s="8">
        <v>2.0428000000000002</v>
      </c>
      <c r="AM124" s="8">
        <v>1.9814000000000001</v>
      </c>
      <c r="AN124" s="8">
        <v>2.0013999999999998</v>
      </c>
      <c r="AO124" s="8">
        <v>1.9993000000000001</v>
      </c>
      <c r="AP124" s="8">
        <v>2.0083000000000002</v>
      </c>
      <c r="AQ124" s="8">
        <v>2.0224000000000002</v>
      </c>
      <c r="AR124" s="8">
        <v>1.9899</v>
      </c>
      <c r="AS124" s="8">
        <v>2.0516999999999999</v>
      </c>
      <c r="AT124" s="8">
        <v>2.0543999999999998</v>
      </c>
      <c r="AU124" s="8">
        <v>2.0644999999999998</v>
      </c>
      <c r="AV124" s="8">
        <v>2.0575999999999999</v>
      </c>
      <c r="AW124" s="8">
        <v>2.0598999999999998</v>
      </c>
      <c r="AX124" s="8">
        <v>2.0367999999999999</v>
      </c>
      <c r="AY124" s="8">
        <v>2.0495999999999999</v>
      </c>
      <c r="AZ124" s="8">
        <v>2.0421999999999998</v>
      </c>
      <c r="BA124" s="8">
        <v>2.0333000000000001</v>
      </c>
      <c r="BB124" s="8">
        <v>2.0387</v>
      </c>
      <c r="BC124" s="8">
        <v>2.0419999999999998</v>
      </c>
      <c r="BD124" s="8">
        <v>2.0101</v>
      </c>
    </row>
    <row r="125" spans="2:56" s="13" customFormat="1" x14ac:dyDescent="0.3">
      <c r="B125" s="22">
        <f t="shared" si="38"/>
        <v>832</v>
      </c>
      <c r="C125" s="40">
        <f t="shared" si="39"/>
        <v>17.197901415324413</v>
      </c>
      <c r="D125" s="40">
        <f t="shared" si="40"/>
        <v>17.471449487554864</v>
      </c>
      <c r="E125" s="40">
        <f t="shared" si="41"/>
        <v>22.287945339189868</v>
      </c>
      <c r="F125" s="40">
        <f t="shared" si="42"/>
        <v>24.325524646168905</v>
      </c>
      <c r="G125" s="40">
        <f t="shared" si="43"/>
        <v>25.84919472913613</v>
      </c>
      <c r="H125" s="40">
        <f t="shared" si="44"/>
        <v>26.88482186432422</v>
      </c>
      <c r="I125" s="40">
        <f t="shared" si="45"/>
        <v>50.512689116642264</v>
      </c>
      <c r="J125" s="40">
        <f t="shared" si="46"/>
        <v>40.61273792093688</v>
      </c>
      <c r="K125" s="40">
        <f t="shared" si="47"/>
        <v>34.787457296242046</v>
      </c>
      <c r="L125" s="40">
        <f t="shared" si="48"/>
        <v>37.828696925329375</v>
      </c>
      <c r="M125" s="40">
        <f t="shared" si="49"/>
        <v>30.911420204977954</v>
      </c>
      <c r="N125" s="40">
        <f t="shared" si="50"/>
        <v>27.592728160078039</v>
      </c>
      <c r="O125" s="40"/>
      <c r="P125" s="39">
        <f t="shared" si="51"/>
        <v>27.771839921913088</v>
      </c>
      <c r="Q125" s="39">
        <f t="shared" si="52"/>
        <v>25.071742313323451</v>
      </c>
      <c r="R125" s="39">
        <f t="shared" si="53"/>
        <v>26.479990239140967</v>
      </c>
      <c r="S125" s="39">
        <f t="shared" si="54"/>
        <v>26.395558809175032</v>
      </c>
      <c r="T125" s="39">
        <f t="shared" si="55"/>
        <v>27.821132259638979</v>
      </c>
      <c r="U125" s="39">
        <f t="shared" si="56"/>
        <v>23.390922401171178</v>
      </c>
      <c r="V125" s="39">
        <f t="shared" si="57"/>
        <v>27.074426549536366</v>
      </c>
      <c r="W125" s="39">
        <f t="shared" si="58"/>
        <v>30.449243533430842</v>
      </c>
      <c r="X125" s="39">
        <f t="shared" si="59"/>
        <v>29.492191312835597</v>
      </c>
      <c r="Y125" s="39">
        <f t="shared" si="60"/>
        <v>30.739873108833567</v>
      </c>
      <c r="Z125" s="39">
        <f t="shared" si="61"/>
        <v>31.338457784285019</v>
      </c>
      <c r="AA125" s="39">
        <f t="shared" si="62"/>
        <v>32.259638848218664</v>
      </c>
      <c r="AB125" s="38"/>
      <c r="AE125" s="15">
        <v>9.6296296296296303E-3</v>
      </c>
      <c r="AF125" s="14">
        <f t="shared" si="63"/>
        <v>832</v>
      </c>
      <c r="AG125" s="8">
        <v>2.0691000000000002</v>
      </c>
      <c r="AH125" s="8">
        <v>2.0533000000000001</v>
      </c>
      <c r="AI125" s="8">
        <v>2.0608</v>
      </c>
      <c r="AJ125" s="8">
        <v>2.0444</v>
      </c>
      <c r="AK125" s="8">
        <v>2.0514999999999999</v>
      </c>
      <c r="AL125" s="8">
        <v>2.0432999999999999</v>
      </c>
      <c r="AM125" s="8">
        <v>1.9809000000000001</v>
      </c>
      <c r="AN125" s="8">
        <v>2.0013000000000001</v>
      </c>
      <c r="AO125" s="8">
        <v>1.9991000000000001</v>
      </c>
      <c r="AP125" s="8">
        <v>2.0072000000000001</v>
      </c>
      <c r="AQ125" s="8">
        <v>2.0215000000000001</v>
      </c>
      <c r="AR125" s="8">
        <v>1.9886999999999999</v>
      </c>
      <c r="AS125" s="8">
        <v>2.0518999999999998</v>
      </c>
      <c r="AT125" s="8">
        <v>2.0533000000000001</v>
      </c>
      <c r="AU125" s="8">
        <v>2.0647000000000002</v>
      </c>
      <c r="AV125" s="8">
        <v>2.0567000000000002</v>
      </c>
      <c r="AW125" s="8">
        <v>2.0579000000000001</v>
      </c>
      <c r="AX125" s="8">
        <v>2.0363000000000002</v>
      </c>
      <c r="AY125" s="8">
        <v>2.0493000000000001</v>
      </c>
      <c r="AZ125" s="8">
        <v>2.0425</v>
      </c>
      <c r="BA125" s="8">
        <v>2.0344000000000002</v>
      </c>
      <c r="BB125" s="8">
        <v>2.0421</v>
      </c>
      <c r="BC125" s="8">
        <v>2.0409999999999999</v>
      </c>
      <c r="BD125" s="8">
        <v>2.0097</v>
      </c>
    </row>
    <row r="126" spans="2:56" s="13" customFormat="1" x14ac:dyDescent="0.3">
      <c r="B126" s="22">
        <f t="shared" si="38"/>
        <v>840</v>
      </c>
      <c r="C126" s="40">
        <f t="shared" si="39"/>
        <v>17.685944363103982</v>
      </c>
      <c r="D126" s="40">
        <f t="shared" si="40"/>
        <v>17.471449487554864</v>
      </c>
      <c r="E126" s="40">
        <f t="shared" si="41"/>
        <v>23.068814055636832</v>
      </c>
      <c r="F126" s="40">
        <f t="shared" si="42"/>
        <v>24.179111761834989</v>
      </c>
      <c r="G126" s="40">
        <f t="shared" si="43"/>
        <v>26.63006344558309</v>
      </c>
      <c r="H126" s="40">
        <f t="shared" si="44"/>
        <v>27.421669106881616</v>
      </c>
      <c r="I126" s="40">
        <f t="shared" si="45"/>
        <v>50.903123474865851</v>
      </c>
      <c r="J126" s="40">
        <f t="shared" si="46"/>
        <v>40.368716447047312</v>
      </c>
      <c r="K126" s="40">
        <f t="shared" si="47"/>
        <v>35.909956076134762</v>
      </c>
      <c r="L126" s="40">
        <f t="shared" si="48"/>
        <v>38.853587115666116</v>
      </c>
      <c r="M126" s="40">
        <f t="shared" si="49"/>
        <v>30.472181551976426</v>
      </c>
      <c r="N126" s="40">
        <f t="shared" si="50"/>
        <v>27.348706686188258</v>
      </c>
      <c r="O126" s="40"/>
      <c r="P126" s="39">
        <f t="shared" si="51"/>
        <v>27.771839921913088</v>
      </c>
      <c r="Q126" s="39">
        <f t="shared" si="52"/>
        <v>26.243045387994108</v>
      </c>
      <c r="R126" s="39">
        <f t="shared" si="53"/>
        <v>26.821620302586627</v>
      </c>
      <c r="S126" s="39">
        <f t="shared" si="54"/>
        <v>26.83479746217656</v>
      </c>
      <c r="T126" s="39">
        <f t="shared" si="55"/>
        <v>27.089067837969843</v>
      </c>
      <c r="U126" s="39">
        <f t="shared" si="56"/>
        <v>23.390922401171178</v>
      </c>
      <c r="V126" s="39">
        <f t="shared" si="57"/>
        <v>27.318448023426146</v>
      </c>
      <c r="W126" s="39">
        <f t="shared" si="58"/>
        <v>30.15641776476323</v>
      </c>
      <c r="X126" s="39">
        <f t="shared" si="59"/>
        <v>29.980234260615163</v>
      </c>
      <c r="Y126" s="39">
        <f t="shared" si="60"/>
        <v>31.61835041483662</v>
      </c>
      <c r="Z126" s="39">
        <f t="shared" si="61"/>
        <v>30.996827720839367</v>
      </c>
      <c r="AA126" s="39">
        <f t="shared" si="62"/>
        <v>34.260614934114329</v>
      </c>
      <c r="AB126" s="38"/>
      <c r="AE126" s="15">
        <v>9.7222222222222224E-3</v>
      </c>
      <c r="AF126" s="14">
        <f t="shared" si="63"/>
        <v>840</v>
      </c>
      <c r="AG126" s="8">
        <v>2.0680999999999998</v>
      </c>
      <c r="AH126" s="8">
        <v>2.0533000000000001</v>
      </c>
      <c r="AI126" s="8">
        <v>2.0592000000000001</v>
      </c>
      <c r="AJ126" s="8">
        <v>2.0447000000000002</v>
      </c>
      <c r="AK126" s="8">
        <v>2.0499000000000001</v>
      </c>
      <c r="AL126" s="8">
        <v>2.0421999999999998</v>
      </c>
      <c r="AM126" s="8">
        <v>1.9801</v>
      </c>
      <c r="AN126" s="8">
        <v>2.0017999999999998</v>
      </c>
      <c r="AO126" s="8">
        <v>1.9967999999999999</v>
      </c>
      <c r="AP126" s="8">
        <v>2.0051000000000001</v>
      </c>
      <c r="AQ126" s="8">
        <v>2.0224000000000002</v>
      </c>
      <c r="AR126" s="8">
        <v>1.9892000000000001</v>
      </c>
      <c r="AS126" s="8">
        <v>2.0518999999999998</v>
      </c>
      <c r="AT126" s="8">
        <v>2.0508999999999999</v>
      </c>
      <c r="AU126" s="8">
        <v>2.0640000000000001</v>
      </c>
      <c r="AV126" s="8">
        <v>2.0558000000000001</v>
      </c>
      <c r="AW126" s="8">
        <v>2.0594000000000001</v>
      </c>
      <c r="AX126" s="8">
        <v>2.0363000000000002</v>
      </c>
      <c r="AY126" s="8">
        <v>2.0488</v>
      </c>
      <c r="AZ126" s="8">
        <v>2.0430999999999999</v>
      </c>
      <c r="BA126" s="8">
        <v>2.0333999999999999</v>
      </c>
      <c r="BB126" s="8">
        <v>2.0402999999999998</v>
      </c>
      <c r="BC126" s="8">
        <v>2.0417000000000001</v>
      </c>
      <c r="BD126" s="8">
        <v>2.0055999999999998</v>
      </c>
    </row>
    <row r="127" spans="2:56" s="13" customFormat="1" x14ac:dyDescent="0.3">
      <c r="B127" s="22">
        <f t="shared" si="38"/>
        <v>848</v>
      </c>
      <c r="C127" s="40">
        <f t="shared" si="39"/>
        <v>17.637140068325941</v>
      </c>
      <c r="D127" s="40">
        <f t="shared" si="40"/>
        <v>16.788189360663772</v>
      </c>
      <c r="E127" s="40">
        <f t="shared" si="41"/>
        <v>23.654465592972269</v>
      </c>
      <c r="F127" s="40">
        <f t="shared" si="42"/>
        <v>23.739873108833681</v>
      </c>
      <c r="G127" s="40">
        <f t="shared" si="43"/>
        <v>25.653977550024386</v>
      </c>
      <c r="H127" s="40">
        <f t="shared" si="44"/>
        <v>26.640800390434435</v>
      </c>
      <c r="I127" s="40">
        <f t="shared" si="45"/>
        <v>51.683992191312925</v>
      </c>
      <c r="J127" s="40">
        <f t="shared" si="46"/>
        <v>41.198389458272096</v>
      </c>
      <c r="K127" s="40">
        <f t="shared" si="47"/>
        <v>36.593216203025854</v>
      </c>
      <c r="L127" s="40">
        <f t="shared" si="48"/>
        <v>38.560761346998511</v>
      </c>
      <c r="M127" s="40">
        <f t="shared" si="49"/>
        <v>31.350658857979475</v>
      </c>
      <c r="N127" s="40">
        <f t="shared" si="50"/>
        <v>28.373596876525003</v>
      </c>
      <c r="O127" s="40"/>
      <c r="P127" s="39">
        <f t="shared" si="51"/>
        <v>28.064665690580696</v>
      </c>
      <c r="Q127" s="39">
        <f t="shared" si="52"/>
        <v>25.657393850658888</v>
      </c>
      <c r="R127" s="39">
        <f t="shared" si="53"/>
        <v>26.528794533919015</v>
      </c>
      <c r="S127" s="39">
        <f t="shared" si="54"/>
        <v>26.395558809175032</v>
      </c>
      <c r="T127" s="39">
        <f t="shared" si="55"/>
        <v>26.55222059541245</v>
      </c>
      <c r="U127" s="39">
        <f t="shared" si="56"/>
        <v>23.29331381161531</v>
      </c>
      <c r="V127" s="39">
        <f t="shared" si="57"/>
        <v>27.660078086871803</v>
      </c>
      <c r="W127" s="39">
        <f t="shared" si="58"/>
        <v>30.937286481210194</v>
      </c>
      <c r="X127" s="39">
        <f t="shared" si="59"/>
        <v>29.83382137628125</v>
      </c>
      <c r="Y127" s="39">
        <f t="shared" si="60"/>
        <v>32.204001952171843</v>
      </c>
      <c r="Z127" s="39">
        <f t="shared" si="61"/>
        <v>31.582479258174587</v>
      </c>
      <c r="AA127" s="39">
        <f t="shared" si="62"/>
        <v>32.552464616886276</v>
      </c>
      <c r="AB127" s="38"/>
      <c r="AE127" s="15">
        <v>9.8148148148148144E-3</v>
      </c>
      <c r="AF127" s="14">
        <f t="shared" si="63"/>
        <v>848</v>
      </c>
      <c r="AG127" s="8">
        <v>2.0682</v>
      </c>
      <c r="AH127" s="8">
        <v>2.0547</v>
      </c>
      <c r="AI127" s="8">
        <v>2.0579999999999998</v>
      </c>
      <c r="AJ127" s="8">
        <v>2.0455999999999999</v>
      </c>
      <c r="AK127" s="8">
        <v>2.0518999999999998</v>
      </c>
      <c r="AL127" s="8">
        <v>2.0438000000000001</v>
      </c>
      <c r="AM127" s="8">
        <v>1.9784999999999999</v>
      </c>
      <c r="AN127" s="8">
        <v>2.0001000000000002</v>
      </c>
      <c r="AO127" s="8">
        <v>1.9954000000000001</v>
      </c>
      <c r="AP127" s="8">
        <v>2.0057</v>
      </c>
      <c r="AQ127" s="8">
        <v>2.0206</v>
      </c>
      <c r="AR127" s="8">
        <v>1.9871000000000001</v>
      </c>
      <c r="AS127" s="8">
        <v>2.0512999999999999</v>
      </c>
      <c r="AT127" s="8">
        <v>2.0520999999999998</v>
      </c>
      <c r="AU127" s="8">
        <v>2.0646</v>
      </c>
      <c r="AV127" s="8">
        <v>2.0567000000000002</v>
      </c>
      <c r="AW127" s="8">
        <v>2.0605000000000002</v>
      </c>
      <c r="AX127" s="8">
        <v>2.0365000000000002</v>
      </c>
      <c r="AY127" s="8">
        <v>2.0480999999999998</v>
      </c>
      <c r="AZ127" s="8">
        <v>2.0415000000000001</v>
      </c>
      <c r="BA127" s="8">
        <v>2.0337000000000001</v>
      </c>
      <c r="BB127" s="8">
        <v>2.0390999999999999</v>
      </c>
      <c r="BC127" s="8">
        <v>2.0405000000000002</v>
      </c>
      <c r="BD127" s="8">
        <v>2.0091000000000001</v>
      </c>
    </row>
    <row r="128" spans="2:56" s="13" customFormat="1" x14ac:dyDescent="0.3">
      <c r="B128" s="22">
        <f t="shared" si="38"/>
        <v>856.00000000000011</v>
      </c>
      <c r="C128" s="40">
        <f t="shared" si="39"/>
        <v>17.344314299658329</v>
      </c>
      <c r="D128" s="40">
        <f t="shared" si="40"/>
        <v>17.471449487554864</v>
      </c>
      <c r="E128" s="40">
        <f t="shared" si="41"/>
        <v>22.873596876525088</v>
      </c>
      <c r="F128" s="40">
        <f t="shared" si="42"/>
        <v>23.88628599316738</v>
      </c>
      <c r="G128" s="40">
        <f t="shared" si="43"/>
        <v>26.63006344558309</v>
      </c>
      <c r="H128" s="40">
        <f t="shared" si="44"/>
        <v>27.568081991215312</v>
      </c>
      <c r="I128" s="40">
        <f t="shared" si="45"/>
        <v>51.683992191312925</v>
      </c>
      <c r="J128" s="40">
        <f t="shared" si="46"/>
        <v>41.637628111273628</v>
      </c>
      <c r="K128" s="40">
        <f t="shared" si="47"/>
        <v>35.958760370912699</v>
      </c>
      <c r="L128" s="40">
        <f t="shared" si="48"/>
        <v>38.951195705221984</v>
      </c>
      <c r="M128" s="40">
        <f t="shared" si="49"/>
        <v>31.936310395314695</v>
      </c>
      <c r="N128" s="40">
        <f t="shared" si="50"/>
        <v>27.787945339189783</v>
      </c>
      <c r="O128" s="40"/>
      <c r="P128" s="39">
        <f t="shared" si="51"/>
        <v>28.308687164470264</v>
      </c>
      <c r="Q128" s="39">
        <f t="shared" si="52"/>
        <v>25.120546608101495</v>
      </c>
      <c r="R128" s="39">
        <f t="shared" si="53"/>
        <v>26.675207418252928</v>
      </c>
      <c r="S128" s="39">
        <f t="shared" si="54"/>
        <v>28.152513421180913</v>
      </c>
      <c r="T128" s="39">
        <f t="shared" si="55"/>
        <v>27.040263543192015</v>
      </c>
      <c r="U128" s="39">
        <f t="shared" si="56"/>
        <v>23.586139580283138</v>
      </c>
      <c r="V128" s="39">
        <f t="shared" si="57"/>
        <v>27.367252318203978</v>
      </c>
      <c r="W128" s="39">
        <f t="shared" si="58"/>
        <v>30.790873596876494</v>
      </c>
      <c r="X128" s="39">
        <f t="shared" si="59"/>
        <v>29.199365544167986</v>
      </c>
      <c r="Y128" s="39">
        <f t="shared" si="60"/>
        <v>31.325524646168791</v>
      </c>
      <c r="Z128" s="39">
        <f t="shared" si="61"/>
        <v>31.826500732064371</v>
      </c>
      <c r="AA128" s="39">
        <f t="shared" si="62"/>
        <v>32.21083455344084</v>
      </c>
      <c r="AB128" s="38"/>
      <c r="AE128" s="15">
        <v>9.9074074074074082E-3</v>
      </c>
      <c r="AF128" s="14">
        <f t="shared" si="63"/>
        <v>856.00000000000011</v>
      </c>
      <c r="AG128" s="8">
        <v>2.0688</v>
      </c>
      <c r="AH128" s="8">
        <v>2.0533000000000001</v>
      </c>
      <c r="AI128" s="8">
        <v>2.0596000000000001</v>
      </c>
      <c r="AJ128" s="8">
        <v>2.0453000000000001</v>
      </c>
      <c r="AK128" s="8">
        <v>2.0499000000000001</v>
      </c>
      <c r="AL128" s="8">
        <v>2.0419</v>
      </c>
      <c r="AM128" s="8">
        <v>1.9784999999999999</v>
      </c>
      <c r="AN128" s="8">
        <v>1.9992000000000001</v>
      </c>
      <c r="AO128" s="8">
        <v>1.9966999999999999</v>
      </c>
      <c r="AP128" s="8">
        <v>2.0049000000000001</v>
      </c>
      <c r="AQ128" s="8">
        <v>2.0194000000000001</v>
      </c>
      <c r="AR128" s="8">
        <v>1.9883</v>
      </c>
      <c r="AS128" s="8">
        <v>2.0508000000000002</v>
      </c>
      <c r="AT128" s="8">
        <v>2.0531999999999999</v>
      </c>
      <c r="AU128" s="8">
        <v>2.0642999999999998</v>
      </c>
      <c r="AV128" s="8">
        <v>2.0531000000000001</v>
      </c>
      <c r="AW128" s="8">
        <v>2.0594999999999999</v>
      </c>
      <c r="AX128" s="8">
        <v>2.0358999999999998</v>
      </c>
      <c r="AY128" s="8">
        <v>2.0487000000000002</v>
      </c>
      <c r="AZ128" s="8">
        <v>2.0417999999999998</v>
      </c>
      <c r="BA128" s="8">
        <v>2.0350000000000001</v>
      </c>
      <c r="BB128" s="8">
        <v>2.0409000000000002</v>
      </c>
      <c r="BC128" s="8">
        <v>2.04</v>
      </c>
      <c r="BD128" s="8">
        <v>2.0097999999999998</v>
      </c>
    </row>
    <row r="129" spans="2:56" s="13" customFormat="1" x14ac:dyDescent="0.3">
      <c r="B129" s="22">
        <f t="shared" si="38"/>
        <v>863.99999999999989</v>
      </c>
      <c r="C129" s="40">
        <f t="shared" si="39"/>
        <v>17.881161542215725</v>
      </c>
      <c r="D129" s="40">
        <f t="shared" si="40"/>
        <v>17.569058077110736</v>
      </c>
      <c r="E129" s="40">
        <f t="shared" si="41"/>
        <v>22.97120546608096</v>
      </c>
      <c r="F129" s="40">
        <f t="shared" si="42"/>
        <v>23.154221571498244</v>
      </c>
      <c r="G129" s="40">
        <f t="shared" si="43"/>
        <v>26.337237676915482</v>
      </c>
      <c r="H129" s="40">
        <f t="shared" si="44"/>
        <v>26.445583211322699</v>
      </c>
      <c r="I129" s="40">
        <f t="shared" si="45"/>
        <v>52.904099560761409</v>
      </c>
      <c r="J129" s="40">
        <f t="shared" si="46"/>
        <v>41.979258174719277</v>
      </c>
      <c r="K129" s="40">
        <f t="shared" si="47"/>
        <v>36.251586139580311</v>
      </c>
      <c r="L129" s="40">
        <f t="shared" si="48"/>
        <v>38.414348462664812</v>
      </c>
      <c r="M129" s="40">
        <f t="shared" si="49"/>
        <v>31.350658857979475</v>
      </c>
      <c r="N129" s="40">
        <f t="shared" si="50"/>
        <v>28.715226939970655</v>
      </c>
      <c r="O129" s="40"/>
      <c r="P129" s="39">
        <f t="shared" si="51"/>
        <v>28.455100048804177</v>
      </c>
      <c r="Q129" s="39">
        <f t="shared" si="52"/>
        <v>25.462176671546931</v>
      </c>
      <c r="R129" s="39">
        <f t="shared" si="53"/>
        <v>26.724011713030752</v>
      </c>
      <c r="S129" s="39">
        <f t="shared" si="54"/>
        <v>27.0300146412883</v>
      </c>
      <c r="T129" s="39">
        <f t="shared" si="55"/>
        <v>27.772327964861152</v>
      </c>
      <c r="U129" s="39">
        <f t="shared" si="56"/>
        <v>23.683748169839006</v>
      </c>
      <c r="V129" s="39">
        <f t="shared" si="57"/>
        <v>28.392142508540719</v>
      </c>
      <c r="W129" s="39">
        <f t="shared" si="58"/>
        <v>31.034895070766062</v>
      </c>
      <c r="X129" s="39">
        <f t="shared" si="59"/>
        <v>29.980234260615163</v>
      </c>
      <c r="Y129" s="39">
        <f t="shared" si="60"/>
        <v>32.39921913128358</v>
      </c>
      <c r="Z129" s="39">
        <f t="shared" si="61"/>
        <v>31.972913616398284</v>
      </c>
      <c r="AA129" s="39">
        <f t="shared" si="62"/>
        <v>32.113225963884972</v>
      </c>
      <c r="AB129" s="38"/>
      <c r="AE129" s="15">
        <v>0.01</v>
      </c>
      <c r="AF129" s="14">
        <f t="shared" si="63"/>
        <v>863.99999999999989</v>
      </c>
      <c r="AG129" s="8">
        <v>2.0676999999999999</v>
      </c>
      <c r="AH129" s="8">
        <v>2.0531000000000001</v>
      </c>
      <c r="AI129" s="8">
        <v>2.0594000000000001</v>
      </c>
      <c r="AJ129" s="8">
        <v>2.0468000000000002</v>
      </c>
      <c r="AK129" s="8">
        <v>2.0505</v>
      </c>
      <c r="AL129" s="8">
        <v>2.0442</v>
      </c>
      <c r="AM129" s="8">
        <v>1.976</v>
      </c>
      <c r="AN129" s="8">
        <v>1.9984999999999999</v>
      </c>
      <c r="AO129" s="8">
        <v>1.9961</v>
      </c>
      <c r="AP129" s="8">
        <v>2.0059999999999998</v>
      </c>
      <c r="AQ129" s="8">
        <v>2.0206</v>
      </c>
      <c r="AR129" s="8">
        <v>1.9863999999999999</v>
      </c>
      <c r="AS129" s="8">
        <v>2.0505</v>
      </c>
      <c r="AT129" s="8">
        <v>2.0525000000000002</v>
      </c>
      <c r="AU129" s="8">
        <v>2.0642</v>
      </c>
      <c r="AV129" s="8">
        <v>2.0554000000000001</v>
      </c>
      <c r="AW129" s="8">
        <v>2.0579999999999998</v>
      </c>
      <c r="AX129" s="8">
        <v>2.0356999999999998</v>
      </c>
      <c r="AY129" s="8">
        <v>2.0466000000000002</v>
      </c>
      <c r="AZ129" s="8">
        <v>2.0413000000000001</v>
      </c>
      <c r="BA129" s="8">
        <v>2.0333999999999999</v>
      </c>
      <c r="BB129" s="8">
        <v>2.0387</v>
      </c>
      <c r="BC129" s="8">
        <v>2.0396999999999998</v>
      </c>
      <c r="BD129" s="8">
        <v>2.0099999999999998</v>
      </c>
    </row>
    <row r="130" spans="2:56" s="13" customFormat="1" x14ac:dyDescent="0.3">
      <c r="B130" s="22">
        <f t="shared" si="38"/>
        <v>872</v>
      </c>
      <c r="C130" s="40">
        <f t="shared" si="39"/>
        <v>17.344314299658329</v>
      </c>
      <c r="D130" s="40">
        <f t="shared" si="40"/>
        <v>17.373840897998992</v>
      </c>
      <c r="E130" s="40">
        <f t="shared" si="41"/>
        <v>23.020009760859004</v>
      </c>
      <c r="F130" s="40">
        <f t="shared" si="42"/>
        <v>24.032698877501289</v>
      </c>
      <c r="G130" s="40">
        <f t="shared" si="43"/>
        <v>26.386041971693523</v>
      </c>
      <c r="H130" s="40">
        <f t="shared" si="44"/>
        <v>26.933626159102047</v>
      </c>
      <c r="I130" s="40">
        <f t="shared" si="45"/>
        <v>53.245729624206952</v>
      </c>
      <c r="J130" s="40">
        <f t="shared" si="46"/>
        <v>42.808931185944289</v>
      </c>
      <c r="K130" s="40">
        <f t="shared" si="47"/>
        <v>36.495607613469986</v>
      </c>
      <c r="L130" s="40">
        <f t="shared" si="48"/>
        <v>39.634455832113296</v>
      </c>
      <c r="M130" s="40">
        <f t="shared" si="49"/>
        <v>31.497071742313175</v>
      </c>
      <c r="N130" s="40">
        <f t="shared" si="50"/>
        <v>28.568814055636853</v>
      </c>
      <c r="O130" s="40"/>
      <c r="P130" s="39">
        <f t="shared" si="51"/>
        <v>28.552708638360048</v>
      </c>
      <c r="Q130" s="39">
        <f t="shared" si="52"/>
        <v>26.14543679843824</v>
      </c>
      <c r="R130" s="39">
        <f t="shared" si="53"/>
        <v>26.724011713030752</v>
      </c>
      <c r="S130" s="39">
        <f t="shared" si="54"/>
        <v>26.639580283064817</v>
      </c>
      <c r="T130" s="39">
        <f t="shared" si="55"/>
        <v>27.284285017081583</v>
      </c>
      <c r="U130" s="39">
        <f t="shared" si="56"/>
        <v>23.683748169839006</v>
      </c>
      <c r="V130" s="39">
        <f t="shared" si="57"/>
        <v>27.904099560761367</v>
      </c>
      <c r="W130" s="39">
        <f t="shared" si="58"/>
        <v>31.766959492435198</v>
      </c>
      <c r="X130" s="39">
        <f t="shared" si="59"/>
        <v>29.589799902391682</v>
      </c>
      <c r="Y130" s="39">
        <f t="shared" si="60"/>
        <v>32.39921913128358</v>
      </c>
      <c r="Z130" s="39">
        <f t="shared" si="61"/>
        <v>32.314543679843723</v>
      </c>
      <c r="AA130" s="39">
        <f t="shared" si="62"/>
        <v>33.089311859443676</v>
      </c>
      <c r="AB130" s="38"/>
      <c r="AE130" s="15">
        <v>1.0092592592592592E-2</v>
      </c>
      <c r="AF130" s="14">
        <f t="shared" si="63"/>
        <v>872</v>
      </c>
      <c r="AG130" s="8">
        <v>2.0688</v>
      </c>
      <c r="AH130" s="8">
        <v>2.0535000000000001</v>
      </c>
      <c r="AI130" s="8">
        <v>2.0592999999999999</v>
      </c>
      <c r="AJ130" s="8">
        <v>2.0449999999999999</v>
      </c>
      <c r="AK130" s="8">
        <v>2.0503999999999998</v>
      </c>
      <c r="AL130" s="8">
        <v>2.0432000000000001</v>
      </c>
      <c r="AM130" s="8">
        <v>1.9753000000000001</v>
      </c>
      <c r="AN130" s="8">
        <v>1.9967999999999999</v>
      </c>
      <c r="AO130" s="8">
        <v>1.9956</v>
      </c>
      <c r="AP130" s="8">
        <v>2.0034999999999998</v>
      </c>
      <c r="AQ130" s="8">
        <v>2.0203000000000002</v>
      </c>
      <c r="AR130" s="8">
        <v>1.9866999999999999</v>
      </c>
      <c r="AS130" s="8">
        <v>2.0503</v>
      </c>
      <c r="AT130" s="8">
        <v>2.0510999999999999</v>
      </c>
      <c r="AU130" s="8">
        <v>2.0642</v>
      </c>
      <c r="AV130" s="8">
        <v>2.0562</v>
      </c>
      <c r="AW130" s="8">
        <v>2.0590000000000002</v>
      </c>
      <c r="AX130" s="8">
        <v>2.0356999999999998</v>
      </c>
      <c r="AY130" s="8">
        <v>2.0476000000000001</v>
      </c>
      <c r="AZ130" s="8">
        <v>2.0398000000000001</v>
      </c>
      <c r="BA130" s="8">
        <v>2.0341999999999998</v>
      </c>
      <c r="BB130" s="8">
        <v>2.0387</v>
      </c>
      <c r="BC130" s="8">
        <v>2.0390000000000001</v>
      </c>
      <c r="BD130" s="8">
        <v>2.008</v>
      </c>
    </row>
    <row r="131" spans="2:56" s="13" customFormat="1" x14ac:dyDescent="0.3">
      <c r="B131" s="22">
        <f t="shared" si="38"/>
        <v>879.99999999999989</v>
      </c>
      <c r="C131" s="40">
        <f t="shared" si="39"/>
        <v>17.637140068325941</v>
      </c>
      <c r="D131" s="40">
        <f t="shared" si="40"/>
        <v>16.983406539775515</v>
      </c>
      <c r="E131" s="40">
        <f t="shared" si="41"/>
        <v>23.410444119082484</v>
      </c>
      <c r="F131" s="40">
        <f t="shared" si="42"/>
        <v>24.276720351390857</v>
      </c>
      <c r="G131" s="40">
        <f t="shared" si="43"/>
        <v>26.337237676915482</v>
      </c>
      <c r="H131" s="40">
        <f t="shared" si="44"/>
        <v>27.2752562225477</v>
      </c>
      <c r="I131" s="40">
        <f t="shared" si="45"/>
        <v>52.757686676427603</v>
      </c>
      <c r="J131" s="40">
        <f t="shared" si="46"/>
        <v>43.68740849194711</v>
      </c>
      <c r="K131" s="40">
        <f t="shared" si="47"/>
        <v>35.812347486578787</v>
      </c>
      <c r="L131" s="40">
        <f t="shared" si="48"/>
        <v>39.341630063445471</v>
      </c>
      <c r="M131" s="40">
        <f t="shared" si="49"/>
        <v>31.204245973645559</v>
      </c>
      <c r="N131" s="40">
        <f t="shared" si="50"/>
        <v>29.300878477305876</v>
      </c>
      <c r="O131" s="40"/>
      <c r="P131" s="39">
        <f t="shared" si="51"/>
        <v>29.382381649585049</v>
      </c>
      <c r="Q131" s="39">
        <f t="shared" si="52"/>
        <v>26.291849682771936</v>
      </c>
      <c r="R131" s="39">
        <f t="shared" si="53"/>
        <v>27.16325036603228</v>
      </c>
      <c r="S131" s="39">
        <f t="shared" si="54"/>
        <v>27.42044899951178</v>
      </c>
      <c r="T131" s="39">
        <f t="shared" si="55"/>
        <v>26.698633479746363</v>
      </c>
      <c r="U131" s="39">
        <f t="shared" si="56"/>
        <v>23.195705222059441</v>
      </c>
      <c r="V131" s="39">
        <f t="shared" si="57"/>
        <v>29.221815519765723</v>
      </c>
      <c r="W131" s="39">
        <f t="shared" si="58"/>
        <v>31.718155197657367</v>
      </c>
      <c r="X131" s="39">
        <f t="shared" si="59"/>
        <v>30.517081503172342</v>
      </c>
      <c r="Y131" s="39">
        <f t="shared" si="60"/>
        <v>32.0087847730601</v>
      </c>
      <c r="Z131" s="39">
        <f t="shared" si="61"/>
        <v>33.241825280624596</v>
      </c>
      <c r="AA131" s="39">
        <f t="shared" si="62"/>
        <v>33.38213762811128</v>
      </c>
      <c r="AB131" s="38"/>
      <c r="AE131" s="15">
        <v>1.0185185185185184E-2</v>
      </c>
      <c r="AF131" s="14">
        <f t="shared" si="63"/>
        <v>879.99999999999989</v>
      </c>
      <c r="AG131" s="8">
        <v>2.0682</v>
      </c>
      <c r="AH131" s="8">
        <v>2.0543</v>
      </c>
      <c r="AI131" s="8">
        <v>2.0585</v>
      </c>
      <c r="AJ131" s="8">
        <v>2.0445000000000002</v>
      </c>
      <c r="AK131" s="8">
        <v>2.0505</v>
      </c>
      <c r="AL131" s="8">
        <v>2.0425</v>
      </c>
      <c r="AM131" s="8">
        <v>1.9762999999999999</v>
      </c>
      <c r="AN131" s="8">
        <v>1.9950000000000001</v>
      </c>
      <c r="AO131" s="8">
        <v>1.9970000000000001</v>
      </c>
      <c r="AP131" s="8">
        <v>2.0041000000000002</v>
      </c>
      <c r="AQ131" s="8">
        <v>2.0209000000000001</v>
      </c>
      <c r="AR131" s="8">
        <v>1.9852000000000001</v>
      </c>
      <c r="AS131" s="8">
        <v>2.0486</v>
      </c>
      <c r="AT131" s="8">
        <v>2.0508000000000002</v>
      </c>
      <c r="AU131" s="8">
        <v>2.0632999999999999</v>
      </c>
      <c r="AV131" s="8">
        <v>2.0546000000000002</v>
      </c>
      <c r="AW131" s="8">
        <v>2.0602</v>
      </c>
      <c r="AX131" s="8">
        <v>2.0367000000000002</v>
      </c>
      <c r="AY131" s="8">
        <v>2.0449000000000002</v>
      </c>
      <c r="AZ131" s="8">
        <v>2.0398999999999998</v>
      </c>
      <c r="BA131" s="8">
        <v>2.0323000000000002</v>
      </c>
      <c r="BB131" s="8">
        <v>2.0394999999999999</v>
      </c>
      <c r="BC131" s="8">
        <v>2.0371000000000001</v>
      </c>
      <c r="BD131" s="8">
        <v>2.0074000000000001</v>
      </c>
    </row>
    <row r="132" spans="2:56" s="13" customFormat="1" x14ac:dyDescent="0.3">
      <c r="B132" s="22">
        <f t="shared" si="38"/>
        <v>888</v>
      </c>
      <c r="C132" s="40">
        <f t="shared" si="39"/>
        <v>18.320400195217029</v>
      </c>
      <c r="D132" s="40">
        <f t="shared" si="40"/>
        <v>17.178623718887252</v>
      </c>
      <c r="E132" s="40">
        <f t="shared" si="41"/>
        <v>23.068814055636832</v>
      </c>
      <c r="F132" s="40">
        <f t="shared" si="42"/>
        <v>24.715959004392385</v>
      </c>
      <c r="G132" s="40">
        <f t="shared" si="43"/>
        <v>25.702781844802217</v>
      </c>
      <c r="H132" s="40">
        <f t="shared" si="44"/>
        <v>26.836017569546179</v>
      </c>
      <c r="I132" s="40">
        <f t="shared" si="45"/>
        <v>53.001708150317278</v>
      </c>
      <c r="J132" s="40">
        <f t="shared" si="46"/>
        <v>43.345778428501568</v>
      </c>
      <c r="K132" s="40">
        <f t="shared" si="47"/>
        <v>37.813323572474452</v>
      </c>
      <c r="L132" s="40">
        <f t="shared" si="48"/>
        <v>39.195217179111772</v>
      </c>
      <c r="M132" s="40">
        <f t="shared" si="49"/>
        <v>32.229136163982311</v>
      </c>
      <c r="N132" s="40">
        <f t="shared" si="50"/>
        <v>27.934358223523589</v>
      </c>
      <c r="O132" s="40"/>
      <c r="P132" s="39">
        <f t="shared" si="51"/>
        <v>28.991947291361573</v>
      </c>
      <c r="Q132" s="39">
        <f t="shared" si="52"/>
        <v>26.291849682771936</v>
      </c>
      <c r="R132" s="39">
        <f t="shared" si="53"/>
        <v>27.55368472425576</v>
      </c>
      <c r="S132" s="39">
        <f t="shared" si="54"/>
        <v>27.518057589067865</v>
      </c>
      <c r="T132" s="39">
        <f t="shared" si="55"/>
        <v>27.821132259638979</v>
      </c>
      <c r="U132" s="39">
        <f t="shared" si="56"/>
        <v>24.269399707174227</v>
      </c>
      <c r="V132" s="39">
        <f t="shared" si="57"/>
        <v>28.29453391898485</v>
      </c>
      <c r="W132" s="39">
        <f t="shared" si="58"/>
        <v>31.766959492435198</v>
      </c>
      <c r="X132" s="39">
        <f t="shared" si="59"/>
        <v>30.565885797950386</v>
      </c>
      <c r="Y132" s="39">
        <f t="shared" si="60"/>
        <v>32.204001952171843</v>
      </c>
      <c r="Z132" s="39">
        <f t="shared" si="61"/>
        <v>32.704978038067424</v>
      </c>
      <c r="AA132" s="39">
        <f t="shared" si="62"/>
        <v>33.089311859443676</v>
      </c>
      <c r="AB132" s="38"/>
      <c r="AE132" s="15">
        <v>1.0277777777777778E-2</v>
      </c>
      <c r="AF132" s="14">
        <f t="shared" si="63"/>
        <v>888</v>
      </c>
      <c r="AG132" s="8">
        <v>2.0668000000000002</v>
      </c>
      <c r="AH132" s="8">
        <v>2.0539000000000001</v>
      </c>
      <c r="AI132" s="8">
        <v>2.0592000000000001</v>
      </c>
      <c r="AJ132" s="8">
        <v>2.0436000000000001</v>
      </c>
      <c r="AK132" s="8">
        <v>2.0518000000000001</v>
      </c>
      <c r="AL132" s="8">
        <v>2.0434000000000001</v>
      </c>
      <c r="AM132" s="8">
        <v>1.9758</v>
      </c>
      <c r="AN132" s="8">
        <v>1.9957</v>
      </c>
      <c r="AO132" s="8">
        <v>1.9928999999999999</v>
      </c>
      <c r="AP132" s="8">
        <v>2.0044</v>
      </c>
      <c r="AQ132" s="8">
        <v>2.0188000000000001</v>
      </c>
      <c r="AR132" s="8">
        <v>1.988</v>
      </c>
      <c r="AS132" s="8">
        <v>2.0493999999999999</v>
      </c>
      <c r="AT132" s="8">
        <v>2.0508000000000002</v>
      </c>
      <c r="AU132" s="8">
        <v>2.0625</v>
      </c>
      <c r="AV132" s="8">
        <v>2.0543999999999998</v>
      </c>
      <c r="AW132" s="8">
        <v>2.0579000000000001</v>
      </c>
      <c r="AX132" s="8">
        <v>2.0345</v>
      </c>
      <c r="AY132" s="8">
        <v>2.0468000000000002</v>
      </c>
      <c r="AZ132" s="8">
        <v>2.0398000000000001</v>
      </c>
      <c r="BA132" s="8">
        <v>2.0322</v>
      </c>
      <c r="BB132" s="8">
        <v>2.0390999999999999</v>
      </c>
      <c r="BC132" s="8">
        <v>2.0381999999999998</v>
      </c>
      <c r="BD132" s="8">
        <v>2.008</v>
      </c>
    </row>
    <row r="133" spans="2:56" s="13" customFormat="1" x14ac:dyDescent="0.3">
      <c r="B133" s="22">
        <f t="shared" si="38"/>
        <v>896</v>
      </c>
      <c r="C133" s="40">
        <f t="shared" si="39"/>
        <v>18.759638848218557</v>
      </c>
      <c r="D133" s="40">
        <f t="shared" si="40"/>
        <v>17.373840897998992</v>
      </c>
      <c r="E133" s="40">
        <f t="shared" si="41"/>
        <v>22.824792581747264</v>
      </c>
      <c r="F133" s="40">
        <f t="shared" si="42"/>
        <v>24.471937530502817</v>
      </c>
      <c r="G133" s="40">
        <f t="shared" si="43"/>
        <v>26.288433382137438</v>
      </c>
      <c r="H133" s="40">
        <f t="shared" si="44"/>
        <v>26.933626159102047</v>
      </c>
      <c r="I133" s="40">
        <f t="shared" si="45"/>
        <v>53.343338213762827</v>
      </c>
      <c r="J133" s="40">
        <f t="shared" si="46"/>
        <v>44.175451439726572</v>
      </c>
      <c r="K133" s="40">
        <f t="shared" si="47"/>
        <v>37.081259150805316</v>
      </c>
      <c r="L133" s="40">
        <f t="shared" si="48"/>
        <v>40.171303074670476</v>
      </c>
      <c r="M133" s="40">
        <f t="shared" si="49"/>
        <v>31.204245973645559</v>
      </c>
      <c r="N133" s="40">
        <f t="shared" si="50"/>
        <v>29.154465592972073</v>
      </c>
      <c r="O133" s="40"/>
      <c r="P133" s="39">
        <f t="shared" si="51"/>
        <v>29.724011713030709</v>
      </c>
      <c r="Q133" s="39">
        <f t="shared" si="52"/>
        <v>26.73108833577346</v>
      </c>
      <c r="R133" s="39">
        <f t="shared" si="53"/>
        <v>27.504880429477716</v>
      </c>
      <c r="S133" s="39">
        <f t="shared" si="54"/>
        <v>27.469253294289825</v>
      </c>
      <c r="T133" s="39">
        <f t="shared" si="55"/>
        <v>27.479502196193323</v>
      </c>
      <c r="U133" s="39">
        <f t="shared" si="56"/>
        <v>23.830161054172706</v>
      </c>
      <c r="V133" s="39">
        <f t="shared" si="57"/>
        <v>29.173011224987899</v>
      </c>
      <c r="W133" s="39">
        <f t="shared" si="58"/>
        <v>32.206198145436723</v>
      </c>
      <c r="X133" s="39">
        <f t="shared" si="59"/>
        <v>30.41947291361647</v>
      </c>
      <c r="Y133" s="39">
        <f t="shared" si="60"/>
        <v>32.740849194729236</v>
      </c>
      <c r="Z133" s="39">
        <f t="shared" si="61"/>
        <v>32.265739385065892</v>
      </c>
      <c r="AA133" s="39">
        <f t="shared" si="62"/>
        <v>33.577354807223024</v>
      </c>
      <c r="AB133" s="38"/>
      <c r="AE133" s="15">
        <v>1.037037037037037E-2</v>
      </c>
      <c r="AF133" s="14">
        <f t="shared" si="63"/>
        <v>896</v>
      </c>
      <c r="AG133" s="8">
        <v>2.0659000000000001</v>
      </c>
      <c r="AH133" s="8">
        <v>2.0535000000000001</v>
      </c>
      <c r="AI133" s="8">
        <v>2.0596999999999999</v>
      </c>
      <c r="AJ133" s="8">
        <v>2.0440999999999998</v>
      </c>
      <c r="AK133" s="8">
        <v>2.0506000000000002</v>
      </c>
      <c r="AL133" s="8">
        <v>2.0432000000000001</v>
      </c>
      <c r="AM133" s="8">
        <v>1.9751000000000001</v>
      </c>
      <c r="AN133" s="8">
        <v>1.994</v>
      </c>
      <c r="AO133" s="8">
        <v>1.9944</v>
      </c>
      <c r="AP133" s="8">
        <v>2.0024000000000002</v>
      </c>
      <c r="AQ133" s="8">
        <v>2.0209000000000001</v>
      </c>
      <c r="AR133" s="8">
        <v>1.9855</v>
      </c>
      <c r="AS133" s="8">
        <v>2.0478999999999998</v>
      </c>
      <c r="AT133" s="8">
        <v>2.0499000000000001</v>
      </c>
      <c r="AU133" s="8">
        <v>2.0626000000000002</v>
      </c>
      <c r="AV133" s="8">
        <v>2.0545</v>
      </c>
      <c r="AW133" s="8">
        <v>2.0586000000000002</v>
      </c>
      <c r="AX133" s="8">
        <v>2.0354000000000001</v>
      </c>
      <c r="AY133" s="8">
        <v>2.0449999999999999</v>
      </c>
      <c r="AZ133" s="8">
        <v>2.0388999999999999</v>
      </c>
      <c r="BA133" s="8">
        <v>2.0325000000000002</v>
      </c>
      <c r="BB133" s="8">
        <v>2.0379999999999998</v>
      </c>
      <c r="BC133" s="8">
        <v>2.0390999999999999</v>
      </c>
      <c r="BD133" s="8">
        <v>2.0070000000000001</v>
      </c>
    </row>
    <row r="134" spans="2:56" s="13" customFormat="1" x14ac:dyDescent="0.3">
      <c r="B134" s="22">
        <f t="shared" si="38"/>
        <v>904</v>
      </c>
      <c r="C134" s="40">
        <f t="shared" si="39"/>
        <v>18.418008784772901</v>
      </c>
      <c r="D134" s="40">
        <f t="shared" si="40"/>
        <v>17.276232308443124</v>
      </c>
      <c r="E134" s="40">
        <f t="shared" si="41"/>
        <v>23.752074182528137</v>
      </c>
      <c r="F134" s="40">
        <f t="shared" si="42"/>
        <v>23.88628599316738</v>
      </c>
      <c r="G134" s="40">
        <f t="shared" si="43"/>
        <v>26.971693509028743</v>
      </c>
      <c r="H134" s="40">
        <f t="shared" si="44"/>
        <v>26.982430453880092</v>
      </c>
      <c r="I134" s="40">
        <f t="shared" si="45"/>
        <v>54.026598340654019</v>
      </c>
      <c r="J134" s="40">
        <f t="shared" si="46"/>
        <v>43.785017081503092</v>
      </c>
      <c r="K134" s="40">
        <f t="shared" si="47"/>
        <v>37.862127867252383</v>
      </c>
      <c r="L134" s="40">
        <f t="shared" si="48"/>
        <v>39.780868716446989</v>
      </c>
      <c r="M134" s="40">
        <f t="shared" si="49"/>
        <v>32.619570522206004</v>
      </c>
      <c r="N134" s="40">
        <f t="shared" si="50"/>
        <v>28.910444119082399</v>
      </c>
      <c r="O134" s="40"/>
      <c r="P134" s="39">
        <f t="shared" si="51"/>
        <v>29.089555880917441</v>
      </c>
      <c r="Q134" s="39">
        <f t="shared" si="52"/>
        <v>26.53587115666172</v>
      </c>
      <c r="R134" s="39">
        <f t="shared" si="53"/>
        <v>27.7489019033675</v>
      </c>
      <c r="S134" s="39">
        <f t="shared" si="54"/>
        <v>27.615666178623737</v>
      </c>
      <c r="T134" s="39">
        <f t="shared" si="55"/>
        <v>28.065153733528764</v>
      </c>
      <c r="U134" s="39">
        <f t="shared" si="56"/>
        <v>24.122986822840314</v>
      </c>
      <c r="V134" s="39">
        <f t="shared" si="57"/>
        <v>28.831381161542247</v>
      </c>
      <c r="W134" s="39">
        <f t="shared" si="58"/>
        <v>32.108589555880855</v>
      </c>
      <c r="X134" s="39">
        <f t="shared" si="59"/>
        <v>30.565885797950386</v>
      </c>
      <c r="Y134" s="39">
        <f t="shared" si="60"/>
        <v>33.033674963396848</v>
      </c>
      <c r="Z134" s="39">
        <f t="shared" si="61"/>
        <v>32.216935090287855</v>
      </c>
      <c r="AA134" s="39">
        <f t="shared" si="62"/>
        <v>33.528550512445193</v>
      </c>
      <c r="AB134" s="38"/>
      <c r="AE134" s="15">
        <v>1.0462962962962964E-2</v>
      </c>
      <c r="AF134" s="14">
        <f t="shared" si="63"/>
        <v>904</v>
      </c>
      <c r="AG134" s="8">
        <v>2.0666000000000002</v>
      </c>
      <c r="AH134" s="8">
        <v>2.0537000000000001</v>
      </c>
      <c r="AI134" s="8">
        <v>2.0577999999999999</v>
      </c>
      <c r="AJ134" s="8">
        <v>2.0453000000000001</v>
      </c>
      <c r="AK134" s="8">
        <v>2.0491999999999999</v>
      </c>
      <c r="AL134" s="8">
        <v>2.0430999999999999</v>
      </c>
      <c r="AM134" s="8">
        <v>1.9737</v>
      </c>
      <c r="AN134" s="8">
        <v>1.9947999999999999</v>
      </c>
      <c r="AO134" s="8">
        <v>1.9927999999999999</v>
      </c>
      <c r="AP134" s="8">
        <v>2.0032000000000001</v>
      </c>
      <c r="AQ134" s="8">
        <v>2.0179999999999998</v>
      </c>
      <c r="AR134" s="8">
        <v>1.986</v>
      </c>
      <c r="AS134" s="8">
        <v>2.0491999999999999</v>
      </c>
      <c r="AT134" s="8">
        <v>2.0503</v>
      </c>
      <c r="AU134" s="8">
        <v>2.0621</v>
      </c>
      <c r="AV134" s="8">
        <v>2.0541999999999998</v>
      </c>
      <c r="AW134" s="8">
        <v>2.0573999999999999</v>
      </c>
      <c r="AX134" s="8">
        <v>2.0348000000000002</v>
      </c>
      <c r="AY134" s="8">
        <v>2.0457000000000001</v>
      </c>
      <c r="AZ134" s="8">
        <v>2.0390999999999999</v>
      </c>
      <c r="BA134" s="8">
        <v>2.0322</v>
      </c>
      <c r="BB134" s="8">
        <v>2.0373999999999999</v>
      </c>
      <c r="BC134" s="8">
        <v>2.0392000000000001</v>
      </c>
      <c r="BD134" s="8">
        <v>2.0070999999999999</v>
      </c>
    </row>
    <row r="135" spans="2:56" s="13" customFormat="1" x14ac:dyDescent="0.3">
      <c r="B135" s="22">
        <f t="shared" si="38"/>
        <v>911.99999999999989</v>
      </c>
      <c r="C135" s="40">
        <f t="shared" si="39"/>
        <v>18.71083455344073</v>
      </c>
      <c r="D135" s="40">
        <f t="shared" si="40"/>
        <v>17.325036603221168</v>
      </c>
      <c r="E135" s="40">
        <f t="shared" si="41"/>
        <v>23.898487066861836</v>
      </c>
      <c r="F135" s="40">
        <f t="shared" si="42"/>
        <v>25.252806246949778</v>
      </c>
      <c r="G135" s="40">
        <f t="shared" si="43"/>
        <v>27.21571498291831</v>
      </c>
      <c r="H135" s="40">
        <f t="shared" si="44"/>
        <v>26.787213274768352</v>
      </c>
      <c r="I135" s="40">
        <f t="shared" si="45"/>
        <v>54.514641288433481</v>
      </c>
      <c r="J135" s="40">
        <f t="shared" si="46"/>
        <v>44.56588579795006</v>
      </c>
      <c r="K135" s="40">
        <f t="shared" si="47"/>
        <v>37.910932162030321</v>
      </c>
      <c r="L135" s="40">
        <f t="shared" si="48"/>
        <v>40.024890190336777</v>
      </c>
      <c r="M135" s="40">
        <f t="shared" si="49"/>
        <v>32.326744753538179</v>
      </c>
      <c r="N135" s="40">
        <f t="shared" si="50"/>
        <v>29.54489995119566</v>
      </c>
      <c r="O135" s="40"/>
      <c r="P135" s="39">
        <f t="shared" si="51"/>
        <v>28.991947291361573</v>
      </c>
      <c r="Q135" s="39">
        <f t="shared" si="52"/>
        <v>27.267935578330857</v>
      </c>
      <c r="R135" s="39">
        <f t="shared" si="53"/>
        <v>27.700097608589672</v>
      </c>
      <c r="S135" s="39">
        <f t="shared" si="54"/>
        <v>27.469253294289825</v>
      </c>
      <c r="T135" s="39">
        <f t="shared" si="55"/>
        <v>28.016349438750719</v>
      </c>
      <c r="U135" s="39">
        <f t="shared" si="56"/>
        <v>24.318204001952058</v>
      </c>
      <c r="V135" s="39">
        <f t="shared" si="57"/>
        <v>29.173011224987899</v>
      </c>
      <c r="W135" s="39">
        <f t="shared" si="58"/>
        <v>32.303806734992591</v>
      </c>
      <c r="X135" s="39">
        <f t="shared" si="59"/>
        <v>30.712298682284295</v>
      </c>
      <c r="Y135" s="39">
        <f t="shared" si="60"/>
        <v>33.131283552952716</v>
      </c>
      <c r="Z135" s="39">
        <f t="shared" si="61"/>
        <v>34.071498291849601</v>
      </c>
      <c r="AA135" s="39">
        <f t="shared" si="62"/>
        <v>34.114202049780417</v>
      </c>
      <c r="AB135" s="38"/>
      <c r="AE135" s="15">
        <v>1.0555555555555554E-2</v>
      </c>
      <c r="AF135" s="14">
        <f t="shared" si="63"/>
        <v>911.99999999999989</v>
      </c>
      <c r="AG135" s="8">
        <v>2.0659999999999998</v>
      </c>
      <c r="AH135" s="8">
        <v>2.0535999999999999</v>
      </c>
      <c r="AI135" s="8">
        <v>2.0575000000000001</v>
      </c>
      <c r="AJ135" s="8">
        <v>2.0425</v>
      </c>
      <c r="AK135" s="8">
        <v>2.0487000000000002</v>
      </c>
      <c r="AL135" s="8">
        <v>2.0434999999999999</v>
      </c>
      <c r="AM135" s="8">
        <v>1.9726999999999999</v>
      </c>
      <c r="AN135" s="8">
        <v>1.9932000000000001</v>
      </c>
      <c r="AO135" s="8">
        <v>1.9926999999999999</v>
      </c>
      <c r="AP135" s="8">
        <v>2.0026999999999999</v>
      </c>
      <c r="AQ135" s="8">
        <v>2.0186000000000002</v>
      </c>
      <c r="AR135" s="8">
        <v>1.9846999999999999</v>
      </c>
      <c r="AS135" s="8">
        <v>2.0493999999999999</v>
      </c>
      <c r="AT135" s="8">
        <v>2.0488</v>
      </c>
      <c r="AU135" s="8">
        <v>2.0621999999999998</v>
      </c>
      <c r="AV135" s="8">
        <v>2.0545</v>
      </c>
      <c r="AW135" s="8">
        <v>2.0575000000000001</v>
      </c>
      <c r="AX135" s="8">
        <v>2.0344000000000002</v>
      </c>
      <c r="AY135" s="8">
        <v>2.0449999999999999</v>
      </c>
      <c r="AZ135" s="8">
        <v>2.0387</v>
      </c>
      <c r="BA135" s="8">
        <v>2.0318999999999998</v>
      </c>
      <c r="BB135" s="8">
        <v>2.0371999999999999</v>
      </c>
      <c r="BC135" s="8">
        <v>2.0354000000000001</v>
      </c>
      <c r="BD135" s="8">
        <v>2.0059</v>
      </c>
    </row>
    <row r="136" spans="2:56" s="13" customFormat="1" x14ac:dyDescent="0.3">
      <c r="B136" s="22">
        <f t="shared" si="38"/>
        <v>920.00000000000011</v>
      </c>
      <c r="C136" s="40">
        <f t="shared" si="39"/>
        <v>18.857247437774426</v>
      </c>
      <c r="D136" s="40">
        <f t="shared" si="40"/>
        <v>18.008296730112257</v>
      </c>
      <c r="E136" s="40">
        <f t="shared" si="41"/>
        <v>24.288921425085316</v>
      </c>
      <c r="F136" s="40">
        <f t="shared" si="42"/>
        <v>24.179111761834989</v>
      </c>
      <c r="G136" s="40">
        <f t="shared" si="43"/>
        <v>27.752562225475707</v>
      </c>
      <c r="H136" s="40">
        <f t="shared" si="44"/>
        <v>28.056124938994664</v>
      </c>
      <c r="I136" s="40">
        <f t="shared" si="45"/>
        <v>53.733772571986407</v>
      </c>
      <c r="J136" s="40">
        <f t="shared" si="46"/>
        <v>45.883601756954512</v>
      </c>
      <c r="K136" s="40">
        <f t="shared" si="47"/>
        <v>37.959736456808258</v>
      </c>
      <c r="L136" s="40">
        <f t="shared" si="48"/>
        <v>40.659346022450045</v>
      </c>
      <c r="M136" s="40">
        <f t="shared" si="49"/>
        <v>33.449243533430788</v>
      </c>
      <c r="N136" s="40">
        <f t="shared" si="50"/>
        <v>29.886530014641206</v>
      </c>
      <c r="O136" s="40"/>
      <c r="P136" s="39">
        <f t="shared" si="51"/>
        <v>29.23596876525114</v>
      </c>
      <c r="Q136" s="39">
        <f t="shared" si="52"/>
        <v>26.487066861883893</v>
      </c>
      <c r="R136" s="39">
        <f t="shared" si="53"/>
        <v>28.285749145924896</v>
      </c>
      <c r="S136" s="39">
        <f t="shared" si="54"/>
        <v>27.713274768179609</v>
      </c>
      <c r="T136" s="39">
        <f t="shared" si="55"/>
        <v>28.2603709126405</v>
      </c>
      <c r="U136" s="39">
        <f t="shared" si="56"/>
        <v>24.318204001952058</v>
      </c>
      <c r="V136" s="39">
        <f t="shared" si="57"/>
        <v>29.026598340653983</v>
      </c>
      <c r="W136" s="39">
        <f t="shared" si="58"/>
        <v>32.401415324548459</v>
      </c>
      <c r="X136" s="39">
        <f t="shared" si="59"/>
        <v>31.200341630063647</v>
      </c>
      <c r="Y136" s="39">
        <f t="shared" si="60"/>
        <v>33.71693509028794</v>
      </c>
      <c r="Z136" s="39">
        <f t="shared" si="61"/>
        <v>33.729868228404165</v>
      </c>
      <c r="AA136" s="39">
        <f t="shared" si="62"/>
        <v>34.358223523670198</v>
      </c>
      <c r="AB136" s="38"/>
      <c r="AE136" s="15">
        <v>1.064814814814815E-2</v>
      </c>
      <c r="AF136" s="14">
        <f t="shared" si="63"/>
        <v>920.00000000000011</v>
      </c>
      <c r="AG136" s="8">
        <v>2.0657000000000001</v>
      </c>
      <c r="AH136" s="8">
        <v>2.0522</v>
      </c>
      <c r="AI136" s="8">
        <v>2.0567000000000002</v>
      </c>
      <c r="AJ136" s="8">
        <v>2.0447000000000002</v>
      </c>
      <c r="AK136" s="8">
        <v>2.0476000000000001</v>
      </c>
      <c r="AL136" s="8">
        <v>2.0409000000000002</v>
      </c>
      <c r="AM136" s="8">
        <v>1.9742999999999999</v>
      </c>
      <c r="AN136" s="8">
        <v>1.9904999999999999</v>
      </c>
      <c r="AO136" s="8">
        <v>1.9925999999999999</v>
      </c>
      <c r="AP136" s="8">
        <v>2.0013999999999998</v>
      </c>
      <c r="AQ136" s="8">
        <v>2.0163000000000002</v>
      </c>
      <c r="AR136" s="8">
        <v>1.984</v>
      </c>
      <c r="AS136" s="8">
        <v>2.0489000000000002</v>
      </c>
      <c r="AT136" s="8">
        <v>2.0503999999999998</v>
      </c>
      <c r="AU136" s="8">
        <v>2.0609999999999999</v>
      </c>
      <c r="AV136" s="8">
        <v>2.0539999999999998</v>
      </c>
      <c r="AW136" s="8">
        <v>2.0569999999999999</v>
      </c>
      <c r="AX136" s="8">
        <v>2.0344000000000002</v>
      </c>
      <c r="AY136" s="8">
        <v>2.0453000000000001</v>
      </c>
      <c r="AZ136" s="8">
        <v>2.0385</v>
      </c>
      <c r="BA136" s="8">
        <v>2.0308999999999999</v>
      </c>
      <c r="BB136" s="8">
        <v>2.036</v>
      </c>
      <c r="BC136" s="8">
        <v>2.0360999999999998</v>
      </c>
      <c r="BD136" s="8">
        <v>2.0053999999999998</v>
      </c>
    </row>
    <row r="137" spans="2:56" s="13" customFormat="1" x14ac:dyDescent="0.3">
      <c r="B137" s="22">
        <f t="shared" si="38"/>
        <v>928</v>
      </c>
      <c r="C137" s="40">
        <f t="shared" si="39"/>
        <v>17.490727183992242</v>
      </c>
      <c r="D137" s="40">
        <f t="shared" si="40"/>
        <v>17.227428013665296</v>
      </c>
      <c r="E137" s="40">
        <f t="shared" si="41"/>
        <v>23.215226939970744</v>
      </c>
      <c r="F137" s="40">
        <f t="shared" si="42"/>
        <v>24.959980478282169</v>
      </c>
      <c r="G137" s="40">
        <f t="shared" si="43"/>
        <v>26.727672035138959</v>
      </c>
      <c r="H137" s="40">
        <f t="shared" si="44"/>
        <v>27.812103465105096</v>
      </c>
      <c r="I137" s="40">
        <f t="shared" si="45"/>
        <v>54.563445583211411</v>
      </c>
      <c r="J137" s="40">
        <f t="shared" si="46"/>
        <v>45.346754514397126</v>
      </c>
      <c r="K137" s="40">
        <f t="shared" si="47"/>
        <v>38.545387994143475</v>
      </c>
      <c r="L137" s="40">
        <f t="shared" si="48"/>
        <v>41.000976085895481</v>
      </c>
      <c r="M137" s="40">
        <f t="shared" si="49"/>
        <v>33.35163494387492</v>
      </c>
      <c r="N137" s="40">
        <f t="shared" si="50"/>
        <v>29.642508540751532</v>
      </c>
      <c r="O137" s="40"/>
      <c r="P137" s="39">
        <f t="shared" si="51"/>
        <v>29.626403123474834</v>
      </c>
      <c r="Q137" s="39">
        <f t="shared" si="52"/>
        <v>26.975109809663245</v>
      </c>
      <c r="R137" s="39">
        <f t="shared" si="53"/>
        <v>27.309663250365976</v>
      </c>
      <c r="S137" s="39">
        <f t="shared" si="54"/>
        <v>28.006100536847217</v>
      </c>
      <c r="T137" s="39">
        <f t="shared" si="55"/>
        <v>28.357979502196372</v>
      </c>
      <c r="U137" s="39">
        <f t="shared" si="56"/>
        <v>24.025378233284446</v>
      </c>
      <c r="V137" s="39">
        <f t="shared" si="57"/>
        <v>29.319424109321595</v>
      </c>
      <c r="W137" s="39">
        <f t="shared" si="58"/>
        <v>33.035871156661727</v>
      </c>
      <c r="X137" s="39">
        <f t="shared" si="59"/>
        <v>31.297950219619516</v>
      </c>
      <c r="Y137" s="39">
        <f t="shared" si="60"/>
        <v>33.814543679843808</v>
      </c>
      <c r="Z137" s="39">
        <f t="shared" si="61"/>
        <v>34.461932650073088</v>
      </c>
      <c r="AA137" s="39">
        <f t="shared" si="62"/>
        <v>34.504636408003897</v>
      </c>
      <c r="AB137" s="38"/>
      <c r="AE137" s="15">
        <v>1.074074074074074E-2</v>
      </c>
      <c r="AF137" s="14">
        <f t="shared" si="63"/>
        <v>928</v>
      </c>
      <c r="AG137" s="8">
        <v>2.0684999999999998</v>
      </c>
      <c r="AH137" s="8">
        <v>2.0537999999999998</v>
      </c>
      <c r="AI137" s="8">
        <v>2.0589</v>
      </c>
      <c r="AJ137" s="8">
        <v>2.0430999999999999</v>
      </c>
      <c r="AK137" s="8">
        <v>2.0497000000000001</v>
      </c>
      <c r="AL137" s="8">
        <v>2.0413999999999999</v>
      </c>
      <c r="AM137" s="8">
        <v>1.9725999999999999</v>
      </c>
      <c r="AN137" s="8">
        <v>1.9916</v>
      </c>
      <c r="AO137" s="8">
        <v>1.9914000000000001</v>
      </c>
      <c r="AP137" s="8">
        <v>2.0007000000000001</v>
      </c>
      <c r="AQ137" s="8">
        <v>2.0165000000000002</v>
      </c>
      <c r="AR137" s="8">
        <v>1.9844999999999999</v>
      </c>
      <c r="AS137" s="8">
        <v>2.0480999999999998</v>
      </c>
      <c r="AT137" s="8">
        <v>2.0493999999999999</v>
      </c>
      <c r="AU137" s="8">
        <v>2.0630000000000002</v>
      </c>
      <c r="AV137" s="8">
        <v>2.0533999999999999</v>
      </c>
      <c r="AW137" s="8">
        <v>2.0568</v>
      </c>
      <c r="AX137" s="8">
        <v>2.0350000000000001</v>
      </c>
      <c r="AY137" s="8">
        <v>2.0447000000000002</v>
      </c>
      <c r="AZ137" s="8">
        <v>2.0371999999999999</v>
      </c>
      <c r="BA137" s="8">
        <v>2.0306999999999999</v>
      </c>
      <c r="BB137" s="8">
        <v>2.0358000000000001</v>
      </c>
      <c r="BC137" s="8">
        <v>2.0346000000000002</v>
      </c>
      <c r="BD137" s="8">
        <v>2.0051000000000001</v>
      </c>
    </row>
    <row r="138" spans="2:56" s="13" customFormat="1" x14ac:dyDescent="0.3">
      <c r="B138" s="22">
        <f t="shared" si="38"/>
        <v>936.00000000000011</v>
      </c>
      <c r="C138" s="40">
        <f t="shared" si="39"/>
        <v>17.881161542215725</v>
      </c>
      <c r="D138" s="40">
        <f t="shared" si="40"/>
        <v>17.764275256222472</v>
      </c>
      <c r="E138" s="40">
        <f t="shared" si="41"/>
        <v>23.752074182528137</v>
      </c>
      <c r="F138" s="40">
        <f t="shared" si="42"/>
        <v>23.983894582723249</v>
      </c>
      <c r="G138" s="40">
        <f t="shared" si="43"/>
        <v>27.21571498291831</v>
      </c>
      <c r="H138" s="40">
        <f t="shared" si="44"/>
        <v>27.616886285993356</v>
      </c>
      <c r="I138" s="40">
        <f t="shared" si="45"/>
        <v>55.051488530990767</v>
      </c>
      <c r="J138" s="40">
        <f t="shared" si="46"/>
        <v>46.322840409955937</v>
      </c>
      <c r="K138" s="40">
        <f t="shared" si="47"/>
        <v>39.03343094192293</v>
      </c>
      <c r="L138" s="40">
        <f t="shared" si="48"/>
        <v>41.489019033674943</v>
      </c>
      <c r="M138" s="40">
        <f t="shared" si="49"/>
        <v>32.717179111761872</v>
      </c>
      <c r="N138" s="40">
        <f t="shared" si="50"/>
        <v>29.93533430941914</v>
      </c>
      <c r="O138" s="40"/>
      <c r="P138" s="39">
        <f t="shared" si="51"/>
        <v>30.212054660810058</v>
      </c>
      <c r="Q138" s="39">
        <f t="shared" si="52"/>
        <v>27.902391410444121</v>
      </c>
      <c r="R138" s="39">
        <f t="shared" si="53"/>
        <v>27.944119082479236</v>
      </c>
      <c r="S138" s="39">
        <f t="shared" si="54"/>
        <v>28.591752074182438</v>
      </c>
      <c r="T138" s="39">
        <f t="shared" si="55"/>
        <v>28.748413860419852</v>
      </c>
      <c r="U138" s="39">
        <f t="shared" si="56"/>
        <v>24.220595412396182</v>
      </c>
      <c r="V138" s="39">
        <f t="shared" si="57"/>
        <v>29.465836993655508</v>
      </c>
      <c r="W138" s="39">
        <f t="shared" si="58"/>
        <v>32.938262567105859</v>
      </c>
      <c r="X138" s="39">
        <f t="shared" si="59"/>
        <v>31.005124450951911</v>
      </c>
      <c r="Y138" s="39">
        <f t="shared" si="60"/>
        <v>33.375305026842284</v>
      </c>
      <c r="Z138" s="39">
        <f t="shared" si="61"/>
        <v>33.241825280624596</v>
      </c>
      <c r="AA138" s="39">
        <f t="shared" si="62"/>
        <v>34.895070766227377</v>
      </c>
      <c r="AB138" s="38"/>
      <c r="AE138" s="15">
        <v>1.0833333333333334E-2</v>
      </c>
      <c r="AF138" s="14">
        <f t="shared" si="63"/>
        <v>936.00000000000011</v>
      </c>
      <c r="AG138" s="8">
        <v>2.0676999999999999</v>
      </c>
      <c r="AH138" s="8">
        <v>2.0527000000000002</v>
      </c>
      <c r="AI138" s="8">
        <v>2.0577999999999999</v>
      </c>
      <c r="AJ138" s="8">
        <v>2.0451000000000001</v>
      </c>
      <c r="AK138" s="8">
        <v>2.0487000000000002</v>
      </c>
      <c r="AL138" s="8">
        <v>2.0417999999999998</v>
      </c>
      <c r="AM138" s="8">
        <v>1.9716</v>
      </c>
      <c r="AN138" s="8">
        <v>1.9896</v>
      </c>
      <c r="AO138" s="8">
        <v>1.9903999999999999</v>
      </c>
      <c r="AP138" s="8">
        <v>1.9997</v>
      </c>
      <c r="AQ138" s="8">
        <v>2.0177999999999998</v>
      </c>
      <c r="AR138" s="8">
        <v>1.9839</v>
      </c>
      <c r="AS138" s="8">
        <v>2.0468999999999999</v>
      </c>
      <c r="AT138" s="8">
        <v>2.0474999999999999</v>
      </c>
      <c r="AU138" s="8">
        <v>2.0617000000000001</v>
      </c>
      <c r="AV138" s="8">
        <v>2.0522</v>
      </c>
      <c r="AW138" s="8">
        <v>2.056</v>
      </c>
      <c r="AX138" s="8">
        <v>2.0346000000000002</v>
      </c>
      <c r="AY138" s="8">
        <v>2.0444</v>
      </c>
      <c r="AZ138" s="8">
        <v>2.0373999999999999</v>
      </c>
      <c r="BA138" s="8">
        <v>2.0312999999999999</v>
      </c>
      <c r="BB138" s="8">
        <v>2.0367000000000002</v>
      </c>
      <c r="BC138" s="8">
        <v>2.0371000000000001</v>
      </c>
      <c r="BD138" s="8">
        <v>2.0043000000000002</v>
      </c>
    </row>
    <row r="139" spans="2:56" s="13" customFormat="1" x14ac:dyDescent="0.3">
      <c r="B139" s="22">
        <f t="shared" si="38"/>
        <v>943.99999999999989</v>
      </c>
      <c r="C139" s="40">
        <f t="shared" si="39"/>
        <v>18.418008784772901</v>
      </c>
      <c r="D139" s="40">
        <f t="shared" si="40"/>
        <v>18.642752562225521</v>
      </c>
      <c r="E139" s="40">
        <f t="shared" si="41"/>
        <v>24.240117130307489</v>
      </c>
      <c r="F139" s="40">
        <f t="shared" si="42"/>
        <v>24.374328940946949</v>
      </c>
      <c r="G139" s="40">
        <f t="shared" si="43"/>
        <v>26.727672035138959</v>
      </c>
      <c r="H139" s="40">
        <f t="shared" si="44"/>
        <v>27.958516349438796</v>
      </c>
      <c r="I139" s="40">
        <f t="shared" si="45"/>
        <v>55.588335773548167</v>
      </c>
      <c r="J139" s="40">
        <f t="shared" si="46"/>
        <v>46.957296242069198</v>
      </c>
      <c r="K139" s="40">
        <f t="shared" si="47"/>
        <v>39.131039531478805</v>
      </c>
      <c r="L139" s="40">
        <f t="shared" si="48"/>
        <v>41.489019033674943</v>
      </c>
      <c r="M139" s="40">
        <f t="shared" si="49"/>
        <v>33.156417764763184</v>
      </c>
      <c r="N139" s="40">
        <f t="shared" si="50"/>
        <v>29.93533430941914</v>
      </c>
      <c r="O139" s="40"/>
      <c r="P139" s="39">
        <f t="shared" si="51"/>
        <v>29.333577354807009</v>
      </c>
      <c r="Q139" s="39">
        <f t="shared" si="52"/>
        <v>27.072718399219116</v>
      </c>
      <c r="R139" s="39">
        <f t="shared" si="53"/>
        <v>28.236944851146848</v>
      </c>
      <c r="S139" s="39">
        <f t="shared" si="54"/>
        <v>28.445339189848525</v>
      </c>
      <c r="T139" s="39">
        <f t="shared" si="55"/>
        <v>29.285261102977248</v>
      </c>
      <c r="U139" s="39">
        <f t="shared" si="56"/>
        <v>24.122986822840314</v>
      </c>
      <c r="V139" s="39">
        <f t="shared" si="57"/>
        <v>29.905075646657032</v>
      </c>
      <c r="W139" s="39">
        <f t="shared" si="58"/>
        <v>32.987066861883676</v>
      </c>
      <c r="X139" s="39">
        <f t="shared" si="59"/>
        <v>31.346754514397347</v>
      </c>
      <c r="Y139" s="39">
        <f t="shared" si="60"/>
        <v>34.546608101512945</v>
      </c>
      <c r="Z139" s="39">
        <f t="shared" si="61"/>
        <v>33.973889702293732</v>
      </c>
      <c r="AA139" s="39">
        <f t="shared" si="62"/>
        <v>34.797462176671509</v>
      </c>
      <c r="AB139" s="38"/>
      <c r="AE139" s="15">
        <v>1.0925925925925924E-2</v>
      </c>
      <c r="AF139" s="14">
        <f t="shared" si="63"/>
        <v>943.99999999999989</v>
      </c>
      <c r="AG139" s="8">
        <v>2.0666000000000002</v>
      </c>
      <c r="AH139" s="8">
        <v>2.0508999999999999</v>
      </c>
      <c r="AI139" s="8">
        <v>2.0568</v>
      </c>
      <c r="AJ139" s="8">
        <v>2.0442999999999998</v>
      </c>
      <c r="AK139" s="8">
        <v>2.0497000000000001</v>
      </c>
      <c r="AL139" s="8">
        <v>2.0411000000000001</v>
      </c>
      <c r="AM139" s="8">
        <v>1.9704999999999999</v>
      </c>
      <c r="AN139" s="8">
        <v>1.9883</v>
      </c>
      <c r="AO139" s="8">
        <v>1.9902</v>
      </c>
      <c r="AP139" s="8">
        <v>1.9997</v>
      </c>
      <c r="AQ139" s="8">
        <v>2.0169000000000001</v>
      </c>
      <c r="AR139" s="8">
        <v>1.9839</v>
      </c>
      <c r="AS139" s="8">
        <v>2.0487000000000002</v>
      </c>
      <c r="AT139" s="8">
        <v>2.0491999999999999</v>
      </c>
      <c r="AU139" s="8">
        <v>2.0611000000000002</v>
      </c>
      <c r="AV139" s="8">
        <v>2.0525000000000002</v>
      </c>
      <c r="AW139" s="8">
        <v>2.0548999999999999</v>
      </c>
      <c r="AX139" s="8">
        <v>2.0348000000000002</v>
      </c>
      <c r="AY139" s="8">
        <v>2.0434999999999999</v>
      </c>
      <c r="AZ139" s="8">
        <v>2.0373000000000001</v>
      </c>
      <c r="BA139" s="8">
        <v>2.0306000000000002</v>
      </c>
      <c r="BB139" s="8">
        <v>2.0343</v>
      </c>
      <c r="BC139" s="8">
        <v>2.0356000000000001</v>
      </c>
      <c r="BD139" s="8">
        <v>2.0045000000000002</v>
      </c>
    </row>
    <row r="140" spans="2:56" s="13" customFormat="1" x14ac:dyDescent="0.3">
      <c r="B140" s="22">
        <f t="shared" si="38"/>
        <v>951.99999999999989</v>
      </c>
      <c r="C140" s="40">
        <f t="shared" si="39"/>
        <v>18.613225963884858</v>
      </c>
      <c r="D140" s="40">
        <f t="shared" si="40"/>
        <v>17.569058077110736</v>
      </c>
      <c r="E140" s="40">
        <f t="shared" si="41"/>
        <v>24.044899951195749</v>
      </c>
      <c r="F140" s="40">
        <f t="shared" si="42"/>
        <v>24.569546120058686</v>
      </c>
      <c r="G140" s="40">
        <f t="shared" si="43"/>
        <v>26.874084919472875</v>
      </c>
      <c r="H140" s="40">
        <f t="shared" si="44"/>
        <v>27.665690580771184</v>
      </c>
      <c r="I140" s="40">
        <f t="shared" si="45"/>
        <v>55.344314299658379</v>
      </c>
      <c r="J140" s="40">
        <f t="shared" si="46"/>
        <v>47.591752074182352</v>
      </c>
      <c r="K140" s="40">
        <f t="shared" si="47"/>
        <v>38.496583699365537</v>
      </c>
      <c r="L140" s="40">
        <f t="shared" si="48"/>
        <v>41.244997559785261</v>
      </c>
      <c r="M140" s="40">
        <f t="shared" si="49"/>
        <v>34.034895070766233</v>
      </c>
      <c r="N140" s="40">
        <f t="shared" si="50"/>
        <v>29.93533430941914</v>
      </c>
      <c r="O140" s="40"/>
      <c r="P140" s="39">
        <f t="shared" si="51"/>
        <v>29.528794533918965</v>
      </c>
      <c r="Q140" s="39">
        <f t="shared" si="52"/>
        <v>27.316739873108684</v>
      </c>
      <c r="R140" s="39">
        <f t="shared" si="53"/>
        <v>28.773792093704245</v>
      </c>
      <c r="S140" s="39">
        <f t="shared" si="54"/>
        <v>28.298926305514829</v>
      </c>
      <c r="T140" s="39">
        <f t="shared" si="55"/>
        <v>29.480478282088988</v>
      </c>
      <c r="U140" s="39">
        <f t="shared" si="56"/>
        <v>24.220595412396182</v>
      </c>
      <c r="V140" s="39">
        <f t="shared" si="57"/>
        <v>31.027574426549648</v>
      </c>
      <c r="W140" s="39">
        <f t="shared" si="58"/>
        <v>33.328696925329332</v>
      </c>
      <c r="X140" s="39">
        <f t="shared" si="59"/>
        <v>31.493167398731263</v>
      </c>
      <c r="Y140" s="39">
        <f t="shared" si="60"/>
        <v>34.253782332845326</v>
      </c>
      <c r="Z140" s="39">
        <f t="shared" si="61"/>
        <v>35.242801366520261</v>
      </c>
      <c r="AA140" s="39">
        <f t="shared" si="62"/>
        <v>35.090287945339334</v>
      </c>
      <c r="AB140" s="38"/>
      <c r="AE140" s="15">
        <v>1.1018518518518518E-2</v>
      </c>
      <c r="AF140" s="14">
        <f t="shared" si="63"/>
        <v>951.99999999999989</v>
      </c>
      <c r="AG140" s="8">
        <v>2.0661999999999998</v>
      </c>
      <c r="AH140" s="8">
        <v>2.0531000000000001</v>
      </c>
      <c r="AI140" s="8">
        <v>2.0571999999999999</v>
      </c>
      <c r="AJ140" s="8">
        <v>2.0438999999999998</v>
      </c>
      <c r="AK140" s="8">
        <v>2.0493999999999999</v>
      </c>
      <c r="AL140" s="8">
        <v>2.0417000000000001</v>
      </c>
      <c r="AM140" s="8">
        <v>1.9710000000000001</v>
      </c>
      <c r="AN140" s="8">
        <v>1.9870000000000001</v>
      </c>
      <c r="AO140" s="8">
        <v>1.9915</v>
      </c>
      <c r="AP140" s="8">
        <v>2.0002</v>
      </c>
      <c r="AQ140" s="8">
        <v>2.0150999999999999</v>
      </c>
      <c r="AR140" s="8">
        <v>1.9839</v>
      </c>
      <c r="AS140" s="8">
        <v>2.0482999999999998</v>
      </c>
      <c r="AT140" s="8">
        <v>2.0487000000000002</v>
      </c>
      <c r="AU140" s="8">
        <v>2.06</v>
      </c>
      <c r="AV140" s="8">
        <v>2.0528</v>
      </c>
      <c r="AW140" s="8">
        <v>2.0545</v>
      </c>
      <c r="AX140" s="8">
        <v>2.0346000000000002</v>
      </c>
      <c r="AY140" s="8">
        <v>2.0411999999999999</v>
      </c>
      <c r="AZ140" s="8">
        <v>2.0366</v>
      </c>
      <c r="BA140" s="8">
        <v>2.0303</v>
      </c>
      <c r="BB140" s="8">
        <v>2.0348999999999999</v>
      </c>
      <c r="BC140" s="8">
        <v>2.0329999999999999</v>
      </c>
      <c r="BD140" s="8">
        <v>2.0038999999999998</v>
      </c>
    </row>
    <row r="141" spans="2:56" s="13" customFormat="1" x14ac:dyDescent="0.3">
      <c r="B141" s="22">
        <f t="shared" si="38"/>
        <v>960</v>
      </c>
      <c r="C141" s="40">
        <f t="shared" si="39"/>
        <v>19.29648609077595</v>
      </c>
      <c r="D141" s="40">
        <f t="shared" si="40"/>
        <v>18.154709614446173</v>
      </c>
      <c r="E141" s="40">
        <f t="shared" si="41"/>
        <v>24.728160078086841</v>
      </c>
      <c r="F141" s="40">
        <f t="shared" si="42"/>
        <v>24.667154709614557</v>
      </c>
      <c r="G141" s="40">
        <f t="shared" si="43"/>
        <v>26.82528062469483</v>
      </c>
      <c r="H141" s="40">
        <f t="shared" si="44"/>
        <v>27.470473401659444</v>
      </c>
      <c r="I141" s="40">
        <f t="shared" si="45"/>
        <v>54.319424109321631</v>
      </c>
      <c r="J141" s="40">
        <f t="shared" si="46"/>
        <v>47.786969253294203</v>
      </c>
      <c r="K141" s="40">
        <f t="shared" si="47"/>
        <v>38.984626647144999</v>
      </c>
      <c r="L141" s="40">
        <f t="shared" si="48"/>
        <v>41.92825768667646</v>
      </c>
      <c r="M141" s="40">
        <f t="shared" si="49"/>
        <v>33.693265007320576</v>
      </c>
      <c r="N141" s="40">
        <f t="shared" si="50"/>
        <v>29.740117130307404</v>
      </c>
      <c r="O141" s="40"/>
      <c r="P141" s="39">
        <f t="shared" si="51"/>
        <v>29.821620302586577</v>
      </c>
      <c r="Q141" s="39">
        <f t="shared" si="52"/>
        <v>27.267935578330857</v>
      </c>
      <c r="R141" s="39">
        <f t="shared" si="53"/>
        <v>28.13933626159098</v>
      </c>
      <c r="S141" s="39">
        <f t="shared" si="54"/>
        <v>28.152513421180913</v>
      </c>
      <c r="T141" s="39">
        <f t="shared" si="55"/>
        <v>28.309175207418331</v>
      </c>
      <c r="U141" s="39">
        <f t="shared" si="56"/>
        <v>24.806246949731623</v>
      </c>
      <c r="V141" s="39">
        <f t="shared" si="57"/>
        <v>30.588335773548124</v>
      </c>
      <c r="W141" s="39">
        <f t="shared" si="58"/>
        <v>33.719131283552812</v>
      </c>
      <c r="X141" s="39">
        <f t="shared" si="59"/>
        <v>31.444363103953215</v>
      </c>
      <c r="Y141" s="39">
        <f t="shared" si="60"/>
        <v>34.497803806734893</v>
      </c>
      <c r="Z141" s="39">
        <f t="shared" si="61"/>
        <v>35.047584187408525</v>
      </c>
      <c r="AA141" s="39">
        <f t="shared" si="62"/>
        <v>35.627135187896513</v>
      </c>
      <c r="AB141" s="38"/>
      <c r="AE141" s="15">
        <v>1.1111111111111112E-2</v>
      </c>
      <c r="AF141" s="14">
        <f t="shared" si="63"/>
        <v>960</v>
      </c>
      <c r="AG141" s="8">
        <v>2.0648</v>
      </c>
      <c r="AH141" s="8">
        <v>2.0518999999999998</v>
      </c>
      <c r="AI141" s="8">
        <v>2.0558000000000001</v>
      </c>
      <c r="AJ141" s="8">
        <v>2.0436999999999999</v>
      </c>
      <c r="AK141" s="8">
        <v>2.0495000000000001</v>
      </c>
      <c r="AL141" s="8">
        <v>2.0421</v>
      </c>
      <c r="AM141" s="8">
        <v>1.9731000000000001</v>
      </c>
      <c r="AN141" s="8">
        <v>1.9865999999999999</v>
      </c>
      <c r="AO141" s="8">
        <v>1.9904999999999999</v>
      </c>
      <c r="AP141" s="8">
        <v>1.9987999999999999</v>
      </c>
      <c r="AQ141" s="8">
        <v>2.0158</v>
      </c>
      <c r="AR141" s="8">
        <v>1.9843</v>
      </c>
      <c r="AS141" s="8">
        <v>2.0476999999999999</v>
      </c>
      <c r="AT141" s="8">
        <v>2.0488</v>
      </c>
      <c r="AU141" s="8">
        <v>2.0613000000000001</v>
      </c>
      <c r="AV141" s="8">
        <v>2.0531000000000001</v>
      </c>
      <c r="AW141" s="8">
        <v>2.0569000000000002</v>
      </c>
      <c r="AX141" s="8">
        <v>2.0333999999999999</v>
      </c>
      <c r="AY141" s="8">
        <v>2.0421</v>
      </c>
      <c r="AZ141" s="8">
        <v>2.0358000000000001</v>
      </c>
      <c r="BA141" s="8">
        <v>2.0304000000000002</v>
      </c>
      <c r="BB141" s="8">
        <v>2.0344000000000002</v>
      </c>
      <c r="BC141" s="8">
        <v>2.0333999999999999</v>
      </c>
      <c r="BD141" s="8">
        <v>2.0028000000000001</v>
      </c>
    </row>
    <row r="142" spans="2:56" s="13" customFormat="1" x14ac:dyDescent="0.3">
      <c r="B142" s="22">
        <f t="shared" si="38"/>
        <v>968</v>
      </c>
      <c r="C142" s="40">
        <f t="shared" si="39"/>
        <v>18.662030258662686</v>
      </c>
      <c r="D142" s="40">
        <f t="shared" si="40"/>
        <v>18.447535383113784</v>
      </c>
      <c r="E142" s="40">
        <f t="shared" si="41"/>
        <v>25.069790141532494</v>
      </c>
      <c r="F142" s="40">
        <f t="shared" si="42"/>
        <v>24.130307467057165</v>
      </c>
      <c r="G142" s="40">
        <f t="shared" si="43"/>
        <v>27.069302098584615</v>
      </c>
      <c r="H142" s="40">
        <f t="shared" si="44"/>
        <v>27.763299170327052</v>
      </c>
      <c r="I142" s="40">
        <f t="shared" si="45"/>
        <v>55.929965836993709</v>
      </c>
      <c r="J142" s="40">
        <f t="shared" si="46"/>
        <v>48.128599316739745</v>
      </c>
      <c r="K142" s="40">
        <f t="shared" si="47"/>
        <v>39.375061005368487</v>
      </c>
      <c r="L142" s="40">
        <f t="shared" si="48"/>
        <v>42.757930697901358</v>
      </c>
      <c r="M142" s="40">
        <f t="shared" si="49"/>
        <v>33.644460712542752</v>
      </c>
      <c r="N142" s="40">
        <f t="shared" si="50"/>
        <v>30.472181551976536</v>
      </c>
      <c r="O142" s="40"/>
      <c r="P142" s="39">
        <f t="shared" si="51"/>
        <v>31.285749145924633</v>
      </c>
      <c r="Q142" s="39">
        <f t="shared" si="52"/>
        <v>27.609565641776509</v>
      </c>
      <c r="R142" s="39">
        <f t="shared" si="53"/>
        <v>28.188140556369021</v>
      </c>
      <c r="S142" s="39">
        <f t="shared" si="54"/>
        <v>28.542947779404614</v>
      </c>
      <c r="T142" s="39">
        <f t="shared" si="55"/>
        <v>29.187652513421376</v>
      </c>
      <c r="U142" s="39">
        <f t="shared" si="56"/>
        <v>24.415812591508143</v>
      </c>
      <c r="V142" s="39">
        <f t="shared" si="57"/>
        <v>30.246705710102471</v>
      </c>
      <c r="W142" s="39">
        <f t="shared" si="58"/>
        <v>34.207174231332168</v>
      </c>
      <c r="X142" s="39">
        <f t="shared" si="59"/>
        <v>31.249145924841478</v>
      </c>
      <c r="Y142" s="39">
        <f t="shared" si="60"/>
        <v>34.10736944851142</v>
      </c>
      <c r="Z142" s="39">
        <f t="shared" si="61"/>
        <v>35.535627135187866</v>
      </c>
      <c r="AA142" s="39">
        <f t="shared" si="62"/>
        <v>35.43191800878477</v>
      </c>
      <c r="AB142" s="38"/>
      <c r="AE142" s="15">
        <v>1.1203703703703704E-2</v>
      </c>
      <c r="AF142" s="14">
        <f t="shared" si="63"/>
        <v>968</v>
      </c>
      <c r="AG142" s="8">
        <v>2.0661</v>
      </c>
      <c r="AH142" s="8">
        <v>2.0512999999999999</v>
      </c>
      <c r="AI142" s="8">
        <v>2.0550999999999999</v>
      </c>
      <c r="AJ142" s="8">
        <v>2.0448</v>
      </c>
      <c r="AK142" s="8">
        <v>2.0489999999999999</v>
      </c>
      <c r="AL142" s="8">
        <v>2.0415000000000001</v>
      </c>
      <c r="AM142" s="8">
        <v>1.9698</v>
      </c>
      <c r="AN142" s="8">
        <v>1.9859</v>
      </c>
      <c r="AO142" s="8">
        <v>1.9897</v>
      </c>
      <c r="AP142" s="8">
        <v>1.9971000000000001</v>
      </c>
      <c r="AQ142" s="8">
        <v>2.0158999999999998</v>
      </c>
      <c r="AR142" s="8">
        <v>1.9827999999999999</v>
      </c>
      <c r="AS142" s="8">
        <v>2.0447000000000002</v>
      </c>
      <c r="AT142" s="8">
        <v>2.0480999999999998</v>
      </c>
      <c r="AU142" s="8">
        <v>2.0611999999999999</v>
      </c>
      <c r="AV142" s="8">
        <v>2.0522999999999998</v>
      </c>
      <c r="AW142" s="8">
        <v>2.0550999999999999</v>
      </c>
      <c r="AX142" s="8">
        <v>2.0341999999999998</v>
      </c>
      <c r="AY142" s="8">
        <v>2.0428000000000002</v>
      </c>
      <c r="AZ142" s="8">
        <v>2.0348000000000002</v>
      </c>
      <c r="BA142" s="8">
        <v>2.0308000000000002</v>
      </c>
      <c r="BB142" s="8">
        <v>2.0352000000000001</v>
      </c>
      <c r="BC142" s="8">
        <v>2.0324</v>
      </c>
      <c r="BD142" s="8">
        <v>2.0032000000000001</v>
      </c>
    </row>
    <row r="143" spans="2:56" s="13" customFormat="1" x14ac:dyDescent="0.3">
      <c r="B143" s="22">
        <f t="shared" si="38"/>
        <v>976</v>
      </c>
      <c r="C143" s="40">
        <f t="shared" si="39"/>
        <v>19.052464616886166</v>
      </c>
      <c r="D143" s="40">
        <f t="shared" si="40"/>
        <v>17.910688140556388</v>
      </c>
      <c r="E143" s="40">
        <f t="shared" si="41"/>
        <v>23.605661298194224</v>
      </c>
      <c r="F143" s="40">
        <f t="shared" si="42"/>
        <v>24.423133235724773</v>
      </c>
      <c r="G143" s="40">
        <f t="shared" si="43"/>
        <v>27.118106393362442</v>
      </c>
      <c r="H143" s="40">
        <f t="shared" si="44"/>
        <v>27.812103465105096</v>
      </c>
      <c r="I143" s="40">
        <f t="shared" si="45"/>
        <v>55.881161542215771</v>
      </c>
      <c r="J143" s="40">
        <f t="shared" si="46"/>
        <v>48.030990727183877</v>
      </c>
      <c r="K143" s="40">
        <f t="shared" si="47"/>
        <v>38.887018057589131</v>
      </c>
      <c r="L143" s="40">
        <f t="shared" si="48"/>
        <v>42.367496339677878</v>
      </c>
      <c r="M143" s="40">
        <f t="shared" si="49"/>
        <v>34.132503660322101</v>
      </c>
      <c r="N143" s="40">
        <f t="shared" si="50"/>
        <v>31.106637384089691</v>
      </c>
      <c r="O143" s="40"/>
      <c r="P143" s="39">
        <f t="shared" si="51"/>
        <v>30.163250366032013</v>
      </c>
      <c r="Q143" s="39">
        <f t="shared" si="52"/>
        <v>28.244021473889557</v>
      </c>
      <c r="R143" s="39">
        <f t="shared" si="53"/>
        <v>29.213030746705769</v>
      </c>
      <c r="S143" s="39">
        <f t="shared" si="54"/>
        <v>29.519033674963314</v>
      </c>
      <c r="T143" s="39">
        <f t="shared" si="55"/>
        <v>29.236456808199204</v>
      </c>
      <c r="U143" s="39">
        <f t="shared" si="56"/>
        <v>24.952659834065319</v>
      </c>
      <c r="V143" s="39">
        <f t="shared" si="57"/>
        <v>30.539531478770297</v>
      </c>
      <c r="W143" s="39">
        <f t="shared" si="58"/>
        <v>35.622498779892609</v>
      </c>
      <c r="X143" s="39">
        <f t="shared" si="59"/>
        <v>32.225231820400388</v>
      </c>
      <c r="Y143" s="39">
        <f t="shared" si="60"/>
        <v>34.253782332845326</v>
      </c>
      <c r="Z143" s="39">
        <f t="shared" si="61"/>
        <v>34.657149829185038</v>
      </c>
      <c r="AA143" s="39">
        <f t="shared" si="62"/>
        <v>36.115178135676082</v>
      </c>
      <c r="AB143" s="38"/>
      <c r="AE143" s="15">
        <v>1.1296296296296296E-2</v>
      </c>
      <c r="AF143" s="14">
        <f t="shared" si="63"/>
        <v>976</v>
      </c>
      <c r="AG143" s="8">
        <v>2.0653000000000001</v>
      </c>
      <c r="AH143" s="8">
        <v>2.0524</v>
      </c>
      <c r="AI143" s="8">
        <v>2.0581</v>
      </c>
      <c r="AJ143" s="8">
        <v>2.0442</v>
      </c>
      <c r="AK143" s="8">
        <v>2.0489000000000002</v>
      </c>
      <c r="AL143" s="8">
        <v>2.0413999999999999</v>
      </c>
      <c r="AM143" s="8">
        <v>1.9699</v>
      </c>
      <c r="AN143" s="8">
        <v>1.9861</v>
      </c>
      <c r="AO143" s="8">
        <v>1.9906999999999999</v>
      </c>
      <c r="AP143" s="8">
        <v>1.9979</v>
      </c>
      <c r="AQ143" s="8">
        <v>2.0148999999999999</v>
      </c>
      <c r="AR143" s="8">
        <v>1.9815</v>
      </c>
      <c r="AS143" s="8">
        <v>2.0470000000000002</v>
      </c>
      <c r="AT143" s="8">
        <v>2.0468000000000002</v>
      </c>
      <c r="AU143" s="8">
        <v>2.0590999999999999</v>
      </c>
      <c r="AV143" s="8">
        <v>2.0503</v>
      </c>
      <c r="AW143" s="8">
        <v>2.0550000000000002</v>
      </c>
      <c r="AX143" s="8">
        <v>2.0331000000000001</v>
      </c>
      <c r="AY143" s="8">
        <v>2.0421999999999998</v>
      </c>
      <c r="AZ143" s="8">
        <v>2.0318999999999998</v>
      </c>
      <c r="BA143" s="8">
        <v>2.0287999999999999</v>
      </c>
      <c r="BB143" s="8">
        <v>2.0348999999999999</v>
      </c>
      <c r="BC143" s="8">
        <v>2.0341999999999998</v>
      </c>
      <c r="BD143" s="8">
        <v>2.0017999999999998</v>
      </c>
    </row>
    <row r="144" spans="2:56" s="13" customFormat="1" x14ac:dyDescent="0.3">
      <c r="B144" s="22">
        <f t="shared" si="38"/>
        <v>983.99999999999989</v>
      </c>
      <c r="C144" s="40">
        <f t="shared" si="39"/>
        <v>18.71083455344073</v>
      </c>
      <c r="D144" s="40">
        <f t="shared" si="40"/>
        <v>18.301122498779868</v>
      </c>
      <c r="E144" s="40">
        <f t="shared" si="41"/>
        <v>23.996095656417705</v>
      </c>
      <c r="F144" s="40">
        <f t="shared" si="42"/>
        <v>24.471937530502817</v>
      </c>
      <c r="G144" s="40">
        <f t="shared" si="43"/>
        <v>26.776476329917003</v>
      </c>
      <c r="H144" s="40">
        <f t="shared" si="44"/>
        <v>28.641776476330101</v>
      </c>
      <c r="I144" s="40">
        <f t="shared" si="45"/>
        <v>55.490727183992291</v>
      </c>
      <c r="J144" s="40">
        <f t="shared" si="46"/>
        <v>50.080771107857373</v>
      </c>
      <c r="K144" s="40">
        <f t="shared" si="47"/>
        <v>39.716691068814029</v>
      </c>
      <c r="L144" s="40">
        <f t="shared" si="48"/>
        <v>42.757930697901358</v>
      </c>
      <c r="M144" s="40">
        <f t="shared" si="49"/>
        <v>34.230112249877976</v>
      </c>
      <c r="N144" s="40">
        <f t="shared" si="50"/>
        <v>30.27696437286469</v>
      </c>
      <c r="O144" s="40"/>
      <c r="P144" s="39">
        <f t="shared" si="51"/>
        <v>30.260858955587885</v>
      </c>
      <c r="Q144" s="39">
        <f t="shared" si="52"/>
        <v>28.341630063445425</v>
      </c>
      <c r="R144" s="39">
        <f t="shared" si="53"/>
        <v>28.773792093704245</v>
      </c>
      <c r="S144" s="39">
        <f t="shared" si="54"/>
        <v>28.542947779404614</v>
      </c>
      <c r="T144" s="39">
        <f t="shared" si="55"/>
        <v>30.35895558809182</v>
      </c>
      <c r="U144" s="39">
        <f t="shared" si="56"/>
        <v>24.855051244509447</v>
      </c>
      <c r="V144" s="39">
        <f t="shared" si="57"/>
        <v>30.197901415324644</v>
      </c>
      <c r="W144" s="39">
        <f t="shared" si="58"/>
        <v>33.377501220107163</v>
      </c>
      <c r="X144" s="39">
        <f t="shared" si="59"/>
        <v>31.639580283065168</v>
      </c>
      <c r="Y144" s="39">
        <f t="shared" si="60"/>
        <v>33.57052220595402</v>
      </c>
      <c r="Z144" s="39">
        <f t="shared" si="61"/>
        <v>34.901171303074605</v>
      </c>
      <c r="AA144" s="39">
        <f t="shared" si="62"/>
        <v>36.603221083455431</v>
      </c>
      <c r="AB144" s="38"/>
      <c r="AE144" s="15">
        <v>1.1388888888888888E-2</v>
      </c>
      <c r="AF144" s="14">
        <f t="shared" si="63"/>
        <v>983.99999999999989</v>
      </c>
      <c r="AG144" s="8">
        <v>2.0659999999999998</v>
      </c>
      <c r="AH144" s="8">
        <v>2.0516000000000001</v>
      </c>
      <c r="AI144" s="8">
        <v>2.0573000000000001</v>
      </c>
      <c r="AJ144" s="8">
        <v>2.0440999999999998</v>
      </c>
      <c r="AK144" s="8">
        <v>2.0495999999999999</v>
      </c>
      <c r="AL144" s="8">
        <v>2.0396999999999998</v>
      </c>
      <c r="AM144" s="8">
        <v>1.9706999999999999</v>
      </c>
      <c r="AN144" s="8">
        <v>1.9819</v>
      </c>
      <c r="AO144" s="8">
        <v>1.9890000000000001</v>
      </c>
      <c r="AP144" s="8">
        <v>1.9971000000000001</v>
      </c>
      <c r="AQ144" s="8">
        <v>2.0146999999999999</v>
      </c>
      <c r="AR144" s="8">
        <v>1.9832000000000001</v>
      </c>
      <c r="AS144" s="8">
        <v>2.0468000000000002</v>
      </c>
      <c r="AT144" s="8">
        <v>2.0466000000000002</v>
      </c>
      <c r="AU144" s="8">
        <v>2.06</v>
      </c>
      <c r="AV144" s="8">
        <v>2.0522999999999998</v>
      </c>
      <c r="AW144" s="8">
        <v>2.0527000000000002</v>
      </c>
      <c r="AX144" s="8">
        <v>2.0333000000000001</v>
      </c>
      <c r="AY144" s="8">
        <v>2.0428999999999999</v>
      </c>
      <c r="AZ144" s="8">
        <v>2.0365000000000002</v>
      </c>
      <c r="BA144" s="8">
        <v>2.0299999999999998</v>
      </c>
      <c r="BB144" s="8">
        <v>2.0363000000000002</v>
      </c>
      <c r="BC144" s="8">
        <v>2.0337000000000001</v>
      </c>
      <c r="BD144" s="8">
        <v>2.0007999999999999</v>
      </c>
    </row>
    <row r="145" spans="2:56" s="13" customFormat="1" x14ac:dyDescent="0.3">
      <c r="B145" s="22">
        <f t="shared" si="38"/>
        <v>992.00000000000011</v>
      </c>
      <c r="C145" s="40">
        <f t="shared" si="39"/>
        <v>19.150073206442034</v>
      </c>
      <c r="D145" s="40">
        <f t="shared" si="40"/>
        <v>19.081991215227045</v>
      </c>
      <c r="E145" s="40">
        <f t="shared" si="41"/>
        <v>24.923377257198581</v>
      </c>
      <c r="F145" s="40">
        <f t="shared" si="42"/>
        <v>23.739873108833681</v>
      </c>
      <c r="G145" s="40">
        <f t="shared" si="43"/>
        <v>27.606149341142007</v>
      </c>
      <c r="H145" s="40">
        <f t="shared" si="44"/>
        <v>27.763299170327052</v>
      </c>
      <c r="I145" s="40">
        <f t="shared" si="45"/>
        <v>55.97877013177164</v>
      </c>
      <c r="J145" s="40">
        <f t="shared" si="46"/>
        <v>49.641532454855948</v>
      </c>
      <c r="K145" s="40">
        <f t="shared" si="47"/>
        <v>40.448755490483158</v>
      </c>
      <c r="L145" s="40">
        <f t="shared" si="48"/>
        <v>42.416300634455816</v>
      </c>
      <c r="M145" s="40">
        <f t="shared" si="49"/>
        <v>34.913372376769061</v>
      </c>
      <c r="N145" s="40">
        <f t="shared" si="50"/>
        <v>30.765007320644145</v>
      </c>
      <c r="O145" s="40"/>
      <c r="P145" s="39">
        <f t="shared" si="51"/>
        <v>30.651293313811582</v>
      </c>
      <c r="Q145" s="39">
        <f t="shared" si="52"/>
        <v>28.341630063445425</v>
      </c>
      <c r="R145" s="39">
        <f t="shared" si="53"/>
        <v>29.213030746705769</v>
      </c>
      <c r="S145" s="39">
        <f t="shared" si="54"/>
        <v>29.616642264519182</v>
      </c>
      <c r="T145" s="39">
        <f t="shared" si="55"/>
        <v>29.285261102977248</v>
      </c>
      <c r="U145" s="39">
        <f t="shared" si="56"/>
        <v>25.147877013177059</v>
      </c>
      <c r="V145" s="39">
        <f t="shared" si="57"/>
        <v>30.783552952659864</v>
      </c>
      <c r="W145" s="39">
        <f t="shared" si="58"/>
        <v>33.914348462664556</v>
      </c>
      <c r="X145" s="39">
        <f t="shared" si="59"/>
        <v>33.298926305514961</v>
      </c>
      <c r="Y145" s="39">
        <f t="shared" si="60"/>
        <v>34.741825280624681</v>
      </c>
      <c r="Z145" s="39">
        <f t="shared" si="61"/>
        <v>35.242801366520261</v>
      </c>
      <c r="AA145" s="39">
        <f t="shared" si="62"/>
        <v>36.652025378233255</v>
      </c>
      <c r="AB145" s="38"/>
      <c r="AE145" s="15">
        <v>1.1481481481481483E-2</v>
      </c>
      <c r="AF145" s="14">
        <f t="shared" si="63"/>
        <v>992.00000000000011</v>
      </c>
      <c r="AG145" s="8">
        <v>2.0651000000000002</v>
      </c>
      <c r="AH145" s="8">
        <v>2.0499999999999998</v>
      </c>
      <c r="AI145" s="8">
        <v>2.0554000000000001</v>
      </c>
      <c r="AJ145" s="8">
        <v>2.0455999999999999</v>
      </c>
      <c r="AK145" s="8">
        <v>2.0478999999999998</v>
      </c>
      <c r="AL145" s="8">
        <v>2.0415000000000001</v>
      </c>
      <c r="AM145" s="8">
        <v>1.9697</v>
      </c>
      <c r="AN145" s="8">
        <v>1.9827999999999999</v>
      </c>
      <c r="AO145" s="8">
        <v>1.9875</v>
      </c>
      <c r="AP145" s="8">
        <v>1.9978</v>
      </c>
      <c r="AQ145" s="8">
        <v>2.0133000000000001</v>
      </c>
      <c r="AR145" s="8">
        <v>1.9822</v>
      </c>
      <c r="AS145" s="8">
        <v>2.0459999999999998</v>
      </c>
      <c r="AT145" s="8">
        <v>2.0466000000000002</v>
      </c>
      <c r="AU145" s="8">
        <v>2.0590999999999999</v>
      </c>
      <c r="AV145" s="8">
        <v>2.0501</v>
      </c>
      <c r="AW145" s="8">
        <v>2.0548999999999999</v>
      </c>
      <c r="AX145" s="8">
        <v>2.0327000000000002</v>
      </c>
      <c r="AY145" s="8">
        <v>2.0417000000000001</v>
      </c>
      <c r="AZ145" s="8">
        <v>2.0354000000000001</v>
      </c>
      <c r="BA145" s="8">
        <v>2.0266000000000002</v>
      </c>
      <c r="BB145" s="8">
        <v>2.0339</v>
      </c>
      <c r="BC145" s="8">
        <v>2.0329999999999999</v>
      </c>
      <c r="BD145" s="8">
        <v>2.0007000000000001</v>
      </c>
    </row>
    <row r="146" spans="2:56" s="13" customFormat="1" x14ac:dyDescent="0.3">
      <c r="B146" s="22">
        <f t="shared" si="38"/>
        <v>1000.0000000000001</v>
      </c>
      <c r="C146" s="40">
        <f t="shared" si="39"/>
        <v>19.003660322108342</v>
      </c>
      <c r="D146" s="40">
        <f t="shared" si="40"/>
        <v>18.154709614446173</v>
      </c>
      <c r="E146" s="40">
        <f t="shared" si="41"/>
        <v>23.800878477305965</v>
      </c>
      <c r="F146" s="40">
        <f t="shared" si="42"/>
        <v>24.471937530502817</v>
      </c>
      <c r="G146" s="40">
        <f t="shared" si="43"/>
        <v>28.338213762810927</v>
      </c>
      <c r="H146" s="40">
        <f t="shared" si="44"/>
        <v>26.933626159102047</v>
      </c>
      <c r="I146" s="40">
        <f t="shared" si="45"/>
        <v>55.051488530990767</v>
      </c>
      <c r="J146" s="40">
        <f t="shared" si="46"/>
        <v>49.543923865299973</v>
      </c>
      <c r="K146" s="40">
        <f t="shared" si="47"/>
        <v>41.034407027818489</v>
      </c>
      <c r="L146" s="40">
        <f t="shared" si="48"/>
        <v>42.904343582235278</v>
      </c>
      <c r="M146" s="40">
        <f t="shared" si="49"/>
        <v>34.2789165446558</v>
      </c>
      <c r="N146" s="40">
        <f t="shared" si="50"/>
        <v>30.813811615422082</v>
      </c>
      <c r="O146" s="40"/>
      <c r="P146" s="39">
        <f t="shared" si="51"/>
        <v>30.89531478770115</v>
      </c>
      <c r="Q146" s="39">
        <f t="shared" si="52"/>
        <v>28.683260126891078</v>
      </c>
      <c r="R146" s="39">
        <f t="shared" si="53"/>
        <v>28.871400683260116</v>
      </c>
      <c r="S146" s="39">
        <f t="shared" si="54"/>
        <v>28.689360663738309</v>
      </c>
      <c r="T146" s="39">
        <f t="shared" si="55"/>
        <v>29.334065397755072</v>
      </c>
      <c r="U146" s="39">
        <f t="shared" si="56"/>
        <v>24.855051244509447</v>
      </c>
      <c r="V146" s="39">
        <f t="shared" si="57"/>
        <v>30.783552952659864</v>
      </c>
      <c r="W146" s="39">
        <f t="shared" si="58"/>
        <v>34.011957052220431</v>
      </c>
      <c r="X146" s="39">
        <f t="shared" si="59"/>
        <v>31.981210346510615</v>
      </c>
      <c r="Y146" s="39">
        <f t="shared" si="60"/>
        <v>34.595412396290982</v>
      </c>
      <c r="Z146" s="39">
        <f t="shared" si="61"/>
        <v>35.535627135187866</v>
      </c>
      <c r="AA146" s="39">
        <f t="shared" si="62"/>
        <v>36.603221083455431</v>
      </c>
      <c r="AB146" s="38"/>
      <c r="AE146" s="15">
        <v>1.1574074074074075E-2</v>
      </c>
      <c r="AF146" s="14">
        <f t="shared" si="63"/>
        <v>1000.0000000000001</v>
      </c>
      <c r="AG146" s="8">
        <v>2.0653999999999999</v>
      </c>
      <c r="AH146" s="8">
        <v>2.0518999999999998</v>
      </c>
      <c r="AI146" s="8">
        <v>2.0577000000000001</v>
      </c>
      <c r="AJ146" s="8">
        <v>2.0440999999999998</v>
      </c>
      <c r="AK146" s="8">
        <v>2.0464000000000002</v>
      </c>
      <c r="AL146" s="8">
        <v>2.0432000000000001</v>
      </c>
      <c r="AM146" s="8">
        <v>1.9716</v>
      </c>
      <c r="AN146" s="8">
        <v>1.9830000000000001</v>
      </c>
      <c r="AO146" s="8">
        <v>1.9863</v>
      </c>
      <c r="AP146" s="8">
        <v>1.9967999999999999</v>
      </c>
      <c r="AQ146" s="8">
        <v>2.0146000000000002</v>
      </c>
      <c r="AR146" s="8">
        <v>1.9821</v>
      </c>
      <c r="AS146" s="8">
        <v>2.0455000000000001</v>
      </c>
      <c r="AT146" s="8">
        <v>2.0459000000000001</v>
      </c>
      <c r="AU146" s="8">
        <v>2.0598000000000001</v>
      </c>
      <c r="AV146" s="8">
        <v>2.052</v>
      </c>
      <c r="AW146" s="8">
        <v>2.0548000000000002</v>
      </c>
      <c r="AX146" s="8">
        <v>2.0333000000000001</v>
      </c>
      <c r="AY146" s="8">
        <v>2.0417000000000001</v>
      </c>
      <c r="AZ146" s="8">
        <v>2.0352000000000001</v>
      </c>
      <c r="BA146" s="8">
        <v>2.0293000000000001</v>
      </c>
      <c r="BB146" s="8">
        <v>2.0341999999999998</v>
      </c>
      <c r="BC146" s="8">
        <v>2.0324</v>
      </c>
      <c r="BD146" s="8">
        <v>2.0007999999999999</v>
      </c>
    </row>
    <row r="147" spans="2:56" s="13" customFormat="1" x14ac:dyDescent="0.3">
      <c r="B147" s="22">
        <f t="shared" si="38"/>
        <v>1008</v>
      </c>
      <c r="C147" s="40">
        <f t="shared" si="39"/>
        <v>19.442898975109863</v>
      </c>
      <c r="D147" s="40">
        <f t="shared" si="40"/>
        <v>18.935578330893133</v>
      </c>
      <c r="E147" s="40">
        <f t="shared" si="41"/>
        <v>25.216203025866189</v>
      </c>
      <c r="F147" s="40">
        <f t="shared" si="42"/>
        <v>24.325524646168905</v>
      </c>
      <c r="G147" s="40">
        <f t="shared" si="43"/>
        <v>27.606149341142007</v>
      </c>
      <c r="H147" s="40">
        <f t="shared" si="44"/>
        <v>28.739385065885969</v>
      </c>
      <c r="I147" s="40">
        <f t="shared" si="45"/>
        <v>55.97877013177164</v>
      </c>
      <c r="J147" s="40">
        <f t="shared" si="46"/>
        <v>50.764031234748572</v>
      </c>
      <c r="K147" s="40">
        <f t="shared" si="47"/>
        <v>41.571254270375775</v>
      </c>
      <c r="L147" s="40">
        <f t="shared" si="48"/>
        <v>43.294777940458751</v>
      </c>
      <c r="M147" s="40">
        <f t="shared" si="49"/>
        <v>34.571742313323625</v>
      </c>
      <c r="N147" s="40">
        <f t="shared" si="50"/>
        <v>31.204245973645559</v>
      </c>
      <c r="O147" s="40"/>
      <c r="P147" s="39">
        <f t="shared" si="51"/>
        <v>31.041727672035066</v>
      </c>
      <c r="Q147" s="39">
        <f t="shared" si="52"/>
        <v>28.341630063445425</v>
      </c>
      <c r="R147" s="39">
        <f t="shared" si="53"/>
        <v>28.773792093704245</v>
      </c>
      <c r="S147" s="39">
        <f t="shared" si="54"/>
        <v>28.689360663738309</v>
      </c>
      <c r="T147" s="39">
        <f t="shared" si="55"/>
        <v>29.675695461200725</v>
      </c>
      <c r="U147" s="39">
        <f t="shared" si="56"/>
        <v>25.001464128843363</v>
      </c>
      <c r="V147" s="39">
        <f t="shared" si="57"/>
        <v>30.685944363103996</v>
      </c>
      <c r="W147" s="39">
        <f t="shared" si="58"/>
        <v>34.499999999999993</v>
      </c>
      <c r="X147" s="39">
        <f t="shared" si="59"/>
        <v>32.713274768179744</v>
      </c>
      <c r="Y147" s="39">
        <f t="shared" si="60"/>
        <v>35.08345534407033</v>
      </c>
      <c r="Z147" s="39">
        <f t="shared" si="61"/>
        <v>35.193997071742217</v>
      </c>
      <c r="AA147" s="39">
        <f t="shared" si="62"/>
        <v>37.091264031234786</v>
      </c>
      <c r="AB147" s="38"/>
      <c r="AE147" s="15">
        <v>1.1666666666666667E-2</v>
      </c>
      <c r="AF147" s="14">
        <f t="shared" si="63"/>
        <v>1008</v>
      </c>
      <c r="AG147" s="8">
        <v>2.0644999999999998</v>
      </c>
      <c r="AH147" s="8">
        <v>2.0503</v>
      </c>
      <c r="AI147" s="8">
        <v>2.0548000000000002</v>
      </c>
      <c r="AJ147" s="8">
        <v>2.0444</v>
      </c>
      <c r="AK147" s="8">
        <v>2.0478999999999998</v>
      </c>
      <c r="AL147" s="8">
        <v>2.0394999999999999</v>
      </c>
      <c r="AM147" s="8">
        <v>1.9697</v>
      </c>
      <c r="AN147" s="8">
        <v>1.9804999999999999</v>
      </c>
      <c r="AO147" s="8">
        <v>1.9852000000000001</v>
      </c>
      <c r="AP147" s="8">
        <v>1.996</v>
      </c>
      <c r="AQ147" s="8">
        <v>2.0139999999999998</v>
      </c>
      <c r="AR147" s="8">
        <v>1.9813000000000001</v>
      </c>
      <c r="AS147" s="8">
        <v>2.0451999999999999</v>
      </c>
      <c r="AT147" s="8">
        <v>2.0466000000000002</v>
      </c>
      <c r="AU147" s="8">
        <v>2.06</v>
      </c>
      <c r="AV147" s="8">
        <v>2.052</v>
      </c>
      <c r="AW147" s="8">
        <v>2.0541</v>
      </c>
      <c r="AX147" s="8">
        <v>2.0329999999999999</v>
      </c>
      <c r="AY147" s="8">
        <v>2.0419</v>
      </c>
      <c r="AZ147" s="8">
        <v>2.0341999999999998</v>
      </c>
      <c r="BA147" s="8">
        <v>2.0278</v>
      </c>
      <c r="BB147" s="8">
        <v>2.0331999999999999</v>
      </c>
      <c r="BC147" s="8">
        <v>2.0331000000000001</v>
      </c>
      <c r="BD147" s="8">
        <v>1.9998</v>
      </c>
    </row>
    <row r="148" spans="2:56" s="13" customFormat="1" x14ac:dyDescent="0.3">
      <c r="B148" s="22">
        <f t="shared" ref="B148:B211" si="64">AF148</f>
        <v>1016</v>
      </c>
      <c r="C148" s="40">
        <f t="shared" si="39"/>
        <v>18.564421669106814</v>
      </c>
      <c r="D148" s="40">
        <f t="shared" si="40"/>
        <v>18.252318204002041</v>
      </c>
      <c r="E148" s="40">
        <f t="shared" si="41"/>
        <v>25.265007320644234</v>
      </c>
      <c r="F148" s="40">
        <f t="shared" si="42"/>
        <v>24.569546120058686</v>
      </c>
      <c r="G148" s="40">
        <f t="shared" si="43"/>
        <v>28.338213762810927</v>
      </c>
      <c r="H148" s="40">
        <f t="shared" si="44"/>
        <v>28.251342118106404</v>
      </c>
      <c r="I148" s="40">
        <f t="shared" si="45"/>
        <v>55.832357247437841</v>
      </c>
      <c r="J148" s="40">
        <f t="shared" si="46"/>
        <v>51.008052708638246</v>
      </c>
      <c r="K148" s="40">
        <f t="shared" si="47"/>
        <v>42.010492923377299</v>
      </c>
      <c r="L148" s="40">
        <f t="shared" si="48"/>
        <v>43.880429477794081</v>
      </c>
      <c r="M148" s="40">
        <f t="shared" si="49"/>
        <v>34.962176671547105</v>
      </c>
      <c r="N148" s="40">
        <f t="shared" si="50"/>
        <v>31.05783308931176</v>
      </c>
      <c r="O148" s="40"/>
      <c r="P148" s="39">
        <f t="shared" si="51"/>
        <v>30.651293313811582</v>
      </c>
      <c r="Q148" s="39">
        <f t="shared" si="52"/>
        <v>29.561737432894127</v>
      </c>
      <c r="R148" s="39">
        <f t="shared" si="53"/>
        <v>29.310639336261637</v>
      </c>
      <c r="S148" s="39">
        <f t="shared" si="54"/>
        <v>29.177403611517661</v>
      </c>
      <c r="T148" s="39">
        <f t="shared" si="55"/>
        <v>29.236456808199204</v>
      </c>
      <c r="U148" s="39">
        <f t="shared" si="56"/>
        <v>25.343094192288799</v>
      </c>
      <c r="V148" s="39">
        <f t="shared" si="57"/>
        <v>30.881161542215732</v>
      </c>
      <c r="W148" s="39">
        <f t="shared" si="58"/>
        <v>34.451195705221949</v>
      </c>
      <c r="X148" s="39">
        <f t="shared" si="59"/>
        <v>33.152513421181268</v>
      </c>
      <c r="Y148" s="39">
        <f t="shared" si="60"/>
        <v>35.571498291849686</v>
      </c>
      <c r="Z148" s="39">
        <f t="shared" si="61"/>
        <v>34.852367008296774</v>
      </c>
      <c r="AA148" s="39">
        <f t="shared" si="62"/>
        <v>36.603221083455431</v>
      </c>
      <c r="AB148" s="38"/>
      <c r="AE148" s="15">
        <v>1.1759259259259259E-2</v>
      </c>
      <c r="AF148" s="14">
        <f t="shared" si="63"/>
        <v>1016</v>
      </c>
      <c r="AG148" s="8">
        <v>2.0663</v>
      </c>
      <c r="AH148" s="8">
        <v>2.0516999999999999</v>
      </c>
      <c r="AI148" s="8">
        <v>2.0547</v>
      </c>
      <c r="AJ148" s="8">
        <v>2.0438999999999998</v>
      </c>
      <c r="AK148" s="8">
        <v>2.0464000000000002</v>
      </c>
      <c r="AL148" s="8">
        <v>2.0405000000000002</v>
      </c>
      <c r="AM148" s="8">
        <v>1.97</v>
      </c>
      <c r="AN148" s="8">
        <v>1.98</v>
      </c>
      <c r="AO148" s="8">
        <v>1.9843</v>
      </c>
      <c r="AP148" s="8">
        <v>1.9947999999999999</v>
      </c>
      <c r="AQ148" s="8">
        <v>2.0131999999999999</v>
      </c>
      <c r="AR148" s="8">
        <v>1.9816</v>
      </c>
      <c r="AS148" s="8">
        <v>2.0459999999999998</v>
      </c>
      <c r="AT148" s="8">
        <v>2.0440999999999998</v>
      </c>
      <c r="AU148" s="8">
        <v>2.0589</v>
      </c>
      <c r="AV148" s="8">
        <v>2.0510000000000002</v>
      </c>
      <c r="AW148" s="8">
        <v>2.0550000000000002</v>
      </c>
      <c r="AX148" s="8">
        <v>2.0323000000000002</v>
      </c>
      <c r="AY148" s="8">
        <v>2.0415000000000001</v>
      </c>
      <c r="AZ148" s="8">
        <v>2.0343</v>
      </c>
      <c r="BA148" s="8">
        <v>2.0268999999999999</v>
      </c>
      <c r="BB148" s="8">
        <v>2.0322</v>
      </c>
      <c r="BC148" s="8">
        <v>2.0337999999999998</v>
      </c>
      <c r="BD148" s="8">
        <v>2.0007999999999999</v>
      </c>
    </row>
    <row r="149" spans="2:56" s="13" customFormat="1" x14ac:dyDescent="0.3">
      <c r="B149" s="22">
        <f t="shared" si="64"/>
        <v>1024</v>
      </c>
      <c r="C149" s="40">
        <f t="shared" ref="C149:C212" si="65">((C$9-AG149-($A$5*$A$9*((C$3/10^6)-((C$3/10^6)*EXP(-1*$A$11*$B149)))))/(($A$5+$A$7)*$A$9))*10^6</f>
        <v>21.834309419228788</v>
      </c>
      <c r="D149" s="40">
        <f t="shared" ref="D149:D212" si="66">((D$9-AH149-($A$5*$A$9*((D$3/10^6)-((D$3/10^6)*EXP(-1*$A$11*$B149)))))/(($A$5+$A$7)*$A$9))*10^6</f>
        <v>21.180575890678362</v>
      </c>
      <c r="E149" s="40">
        <f t="shared" ref="E149:E212" si="67">((E$9-AI149-($A$5*$A$9*((E$3/10^6)-((E$3/10^6)*EXP(-1*$A$11*$B149)))))/(($A$5+$A$7)*$A$9))*10^6</f>
        <v>28.486090775988384</v>
      </c>
      <c r="F149" s="40">
        <f t="shared" ref="F149:F212" si="68">((F$9-AJ149-($A$5*$A$9*((F$3/10^6)-((F$3/10^6)*EXP(-1*$A$11*$B149)))))/(($A$5+$A$7)*$A$9))*10^6</f>
        <v>27.741825280624791</v>
      </c>
      <c r="G149" s="40">
        <f t="shared" ref="G149:G212" si="69">((G$9-AK149-($A$5*$A$9*((G$3/10^6)-((G$3/10^6)*EXP(-1*$A$11*$B149)))))/(($A$5+$A$7)*$A$9))*10^6</f>
        <v>31.168862859931593</v>
      </c>
      <c r="H149" s="40">
        <f t="shared" ref="H149:H212" si="70">((H$9-AL149-($A$5*$A$9*((H$3/10^6)-((H$3/10^6)*EXP(-1*$A$11*$B149)))))/(($A$5+$A$7)*$A$9))*10^6</f>
        <v>30.69155685700359</v>
      </c>
      <c r="I149" s="40">
        <f t="shared" ref="I149:I212" si="71">((I$9-AM149-($A$5*$A$9*((I$3/10^6)-((I$3/10^6)*EXP(-1*$A$11*$B149)))))/(($A$5+$A$7)*$A$9))*10^6</f>
        <v>59.834309419228944</v>
      </c>
      <c r="J149" s="40">
        <f t="shared" ref="J149:J212" si="72">((J$9-AN149-($A$5*$A$9*((J$3/10^6)-((J$3/10^6)*EXP(-1*$A$11*$B149)))))/(($A$5+$A$7)*$A$9))*10^6</f>
        <v>53.789897510980872</v>
      </c>
      <c r="K149" s="40">
        <f t="shared" ref="K149:K212" si="73">((K$9-AO149-($A$5*$A$9*((K$3/10^6)-((K$3/10^6)*EXP(-1*$A$11*$B149)))))/(($A$5+$A$7)*$A$9))*10^6</f>
        <v>44.889946315275793</v>
      </c>
      <c r="L149" s="40">
        <f t="shared" ref="L149:L212" si="74">((L$9-AP149-($A$5*$A$9*((L$3/10^6)-((L$3/10^6)*EXP(-1*$A$11*$B149)))))/(($A$5+$A$7)*$A$9))*10^6</f>
        <v>46.85749145924845</v>
      </c>
      <c r="M149" s="40">
        <f t="shared" ref="M149:M212" si="75">((M$9-AQ149-($A$5*$A$9*((M$3/10^6)-((M$3/10^6)*EXP(-1*$A$11*$B149)))))/(($A$5+$A$7)*$A$9))*10^6</f>
        <v>37.353587115666031</v>
      </c>
      <c r="N149" s="40">
        <f t="shared" ref="N149:N212" si="76">((N$9-AR149-($A$5*$A$9*((N$3/10^6)-((N$3/10^6)*EXP(-1*$A$11*$B149)))))/(($A$5+$A$7)*$A$9))*10^6</f>
        <v>34.2789165446558</v>
      </c>
      <c r="O149" s="40"/>
      <c r="P149" s="39">
        <f t="shared" ref="P149:P212" si="77">((P$9-AS149-($A$5*$A$9*((P$3/10^6)-((P$3/10^6)*EXP(-1*$A$13*$B149)))))/(($A$5+$A$7)*$A$9))*10^6</f>
        <v>31.285749145924633</v>
      </c>
      <c r="Q149" s="39">
        <f t="shared" ref="Q149:Q212" si="78">((Q$9-AT149-($A$5*$A$9*((Q$3/10^6)-((Q$3/10^6)*EXP(-1*$A$13*$B149)))))/(($A$5+$A$7)*$A$9))*10^6</f>
        <v>28.927281600780862</v>
      </c>
      <c r="R149" s="39">
        <f t="shared" ref="R149:R212" si="79">((R$9-AU149-($A$5*$A$9*((R$3/10^6)-((R$3/10^6)*EXP(-1*$A$13*$B149)))))/(($A$5+$A$7)*$A$9))*10^6</f>
        <v>29.603465104929249</v>
      </c>
      <c r="S149" s="39">
        <f t="shared" ref="S149:S212" si="80">((S$9-AV149-($A$5*$A$9*((S$3/10^6)-((S$3/10^6)*EXP(-1*$A$13*$B149)))))/(($A$5+$A$7)*$A$9))*10^6</f>
        <v>29.372620790629401</v>
      </c>
      <c r="T149" s="39">
        <f t="shared" ref="T149:T212" si="81">((T$9-AW149-($A$5*$A$9*((T$3/10^6)-((T$3/10^6)*EXP(-1*$A$13*$B149)))))/(($A$5+$A$7)*$A$9))*10^6</f>
        <v>29.968521229868337</v>
      </c>
      <c r="U149" s="39">
        <f t="shared" ref="U149:U212" si="82">((U$9-AX149-($A$5*$A$9*((U$3/10^6)-((U$3/10^6)*EXP(-1*$A$13*$B149)))))/(($A$5+$A$7)*$A$9))*10^6</f>
        <v>25.391898487066843</v>
      </c>
      <c r="V149" s="39">
        <f t="shared" ref="V149:V212" si="83">((V$9-AY149-($A$5*$A$9*((V$3/10^6)-((V$3/10^6)*EXP(-1*$A$13*$B149)))))/(($A$5+$A$7)*$A$9))*10^6</f>
        <v>30.783552952659864</v>
      </c>
      <c r="W149" s="39">
        <f t="shared" ref="W149:W212" si="84">((W$9-AZ149-($A$5*$A$9*((W$3/10^6)-((W$3/10^6)*EXP(-1*$A$13*$B149)))))/(($A$5+$A$7)*$A$9))*10^6</f>
        <v>34.35358711566608</v>
      </c>
      <c r="X149" s="39">
        <f t="shared" ref="X149:X212" si="85">((X$9-BA149-($A$5*$A$9*((X$3/10^6)-((X$3/10^6)*EXP(-1*$A$13*$B149)))))/(($A$5+$A$7)*$A$9))*10^6</f>
        <v>32.566861883846052</v>
      </c>
      <c r="Y149" s="39">
        <f t="shared" ref="Y149:Y212" si="86">((Y$9-BB149-($A$5*$A$9*((Y$3/10^6)-((Y$3/10^6)*EXP(-1*$A$13*$B149)))))/(($A$5+$A$7)*$A$9))*10^6</f>
        <v>35.522693997071642</v>
      </c>
      <c r="Z149" s="39">
        <f t="shared" ref="Z149:Z212" si="87">((Z$9-BC149-($A$5*$A$9*((Z$3/10^6)-((Z$3/10^6)*EXP(-1*$A$13*$B149)))))/(($A$5+$A$7)*$A$9))*10^6</f>
        <v>34.998779892630473</v>
      </c>
      <c r="AA149" s="39">
        <f t="shared" ref="AA149:AA212" si="88">((AA$9-BD149-($A$5*$A$9*((AA$3/10^6)-((AA$3/10^6)*EXP(-1*$A$13*$B149)))))/(($A$5+$A$7)*$A$9))*10^6</f>
        <v>37.091264031234786</v>
      </c>
      <c r="AB149" s="38"/>
      <c r="AE149" s="15">
        <v>1.1851851851851851E-2</v>
      </c>
      <c r="AF149" s="14">
        <f t="shared" si="63"/>
        <v>1024</v>
      </c>
      <c r="AG149" s="8">
        <v>2.0596000000000001</v>
      </c>
      <c r="AH149" s="8">
        <v>2.0457000000000001</v>
      </c>
      <c r="AI149" s="8">
        <v>2.0480999999999998</v>
      </c>
      <c r="AJ149" s="8">
        <v>2.0373999999999999</v>
      </c>
      <c r="AK149" s="8">
        <v>2.0406</v>
      </c>
      <c r="AL149" s="8">
        <v>2.0354999999999999</v>
      </c>
      <c r="AM149" s="8">
        <v>1.9618</v>
      </c>
      <c r="AN149" s="8">
        <v>1.9742999999999999</v>
      </c>
      <c r="AO149" s="8">
        <v>1.9783999999999999</v>
      </c>
      <c r="AP149" s="8">
        <v>1.9886999999999999</v>
      </c>
      <c r="AQ149" s="8">
        <v>2.0083000000000002</v>
      </c>
      <c r="AR149" s="8">
        <v>1.9750000000000001</v>
      </c>
      <c r="AS149" s="8">
        <v>2.0447000000000002</v>
      </c>
      <c r="AT149" s="8">
        <v>2.0453999999999999</v>
      </c>
      <c r="AU149" s="8">
        <v>2.0583</v>
      </c>
      <c r="AV149" s="8">
        <v>2.0506000000000002</v>
      </c>
      <c r="AW149" s="8">
        <v>2.0535000000000001</v>
      </c>
      <c r="AX149" s="8">
        <v>2.0322</v>
      </c>
      <c r="AY149" s="8">
        <v>2.0417000000000001</v>
      </c>
      <c r="AZ149" s="8">
        <v>2.0345</v>
      </c>
      <c r="BA149" s="8">
        <v>2.0280999999999998</v>
      </c>
      <c r="BB149" s="8">
        <v>2.0323000000000002</v>
      </c>
      <c r="BC149" s="8">
        <v>2.0335000000000001</v>
      </c>
      <c r="BD149" s="8">
        <v>1.9998</v>
      </c>
    </row>
    <row r="150" spans="2:56" s="13" customFormat="1" x14ac:dyDescent="0.3">
      <c r="B150" s="22">
        <f t="shared" si="64"/>
        <v>1032</v>
      </c>
      <c r="C150" s="40">
        <f t="shared" si="65"/>
        <v>18.076378721327462</v>
      </c>
      <c r="D150" s="40">
        <f t="shared" si="66"/>
        <v>18.545143972669653</v>
      </c>
      <c r="E150" s="40">
        <f t="shared" si="67"/>
        <v>24.825768667642709</v>
      </c>
      <c r="F150" s="40">
        <f t="shared" si="68"/>
        <v>25.008784773059993</v>
      </c>
      <c r="G150" s="40">
        <f t="shared" si="69"/>
        <v>27.166910688140486</v>
      </c>
      <c r="H150" s="40">
        <f t="shared" si="70"/>
        <v>28.056124938994664</v>
      </c>
      <c r="I150" s="40">
        <f t="shared" si="71"/>
        <v>56.662030258662838</v>
      </c>
      <c r="J150" s="40">
        <f t="shared" si="72"/>
        <v>51.447291361639657</v>
      </c>
      <c r="K150" s="40">
        <f t="shared" si="73"/>
        <v>42.352122986822842</v>
      </c>
      <c r="L150" s="40">
        <f t="shared" si="74"/>
        <v>43.880429477794081</v>
      </c>
      <c r="M150" s="40">
        <f t="shared" si="75"/>
        <v>34.620546608101449</v>
      </c>
      <c r="N150" s="40">
        <f t="shared" si="76"/>
        <v>31.05783308931176</v>
      </c>
      <c r="O150" s="40"/>
      <c r="P150" s="39">
        <f t="shared" si="77"/>
        <v>31.432162030258542</v>
      </c>
      <c r="Q150" s="39">
        <f t="shared" si="78"/>
        <v>29.317715959004346</v>
      </c>
      <c r="R150" s="39">
        <f t="shared" si="79"/>
        <v>31.018789653489474</v>
      </c>
      <c r="S150" s="39">
        <f t="shared" si="80"/>
        <v>29.372620790629401</v>
      </c>
      <c r="T150" s="39">
        <f t="shared" si="81"/>
        <v>30.212542703758121</v>
      </c>
      <c r="U150" s="39">
        <f t="shared" si="82"/>
        <v>24.903855539287495</v>
      </c>
      <c r="V150" s="39">
        <f t="shared" si="83"/>
        <v>32.345290385554001</v>
      </c>
      <c r="W150" s="39">
        <f t="shared" si="84"/>
        <v>34.890434358223473</v>
      </c>
      <c r="X150" s="39">
        <f t="shared" si="85"/>
        <v>32.615666178623876</v>
      </c>
      <c r="Y150" s="39">
        <f t="shared" si="86"/>
        <v>34.937042459736418</v>
      </c>
      <c r="Z150" s="39">
        <f t="shared" si="87"/>
        <v>36.072474377745266</v>
      </c>
      <c r="AA150" s="39">
        <f t="shared" si="88"/>
        <v>36.993655441678918</v>
      </c>
      <c r="AB150" s="38"/>
      <c r="AE150" s="15">
        <v>1.1944444444444445E-2</v>
      </c>
      <c r="AF150" s="14">
        <f t="shared" ref="AF150:AF213" si="89">AE150*24*60*60</f>
        <v>1032</v>
      </c>
      <c r="AG150" s="8">
        <v>2.0672999999999999</v>
      </c>
      <c r="AH150" s="8">
        <v>2.0510999999999999</v>
      </c>
      <c r="AI150" s="8">
        <v>2.0556000000000001</v>
      </c>
      <c r="AJ150" s="8">
        <v>2.0430000000000001</v>
      </c>
      <c r="AK150" s="8">
        <v>2.0488</v>
      </c>
      <c r="AL150" s="8">
        <v>2.0409000000000002</v>
      </c>
      <c r="AM150" s="8">
        <v>1.9682999999999999</v>
      </c>
      <c r="AN150" s="8">
        <v>1.9791000000000001</v>
      </c>
      <c r="AO150" s="8">
        <v>1.9836</v>
      </c>
      <c r="AP150" s="8">
        <v>1.9947999999999999</v>
      </c>
      <c r="AQ150" s="8">
        <v>2.0139</v>
      </c>
      <c r="AR150" s="8">
        <v>1.9816</v>
      </c>
      <c r="AS150" s="8">
        <v>2.0444</v>
      </c>
      <c r="AT150" s="8">
        <v>2.0446</v>
      </c>
      <c r="AU150" s="8">
        <v>2.0554000000000001</v>
      </c>
      <c r="AV150" s="8">
        <v>2.0506000000000002</v>
      </c>
      <c r="AW150" s="8">
        <v>2.0529999999999999</v>
      </c>
      <c r="AX150" s="8">
        <v>2.0331999999999999</v>
      </c>
      <c r="AY150" s="8">
        <v>2.0385</v>
      </c>
      <c r="AZ150" s="8">
        <v>2.0333999999999999</v>
      </c>
      <c r="BA150" s="8">
        <v>2.028</v>
      </c>
      <c r="BB150" s="8">
        <v>2.0335000000000001</v>
      </c>
      <c r="BC150" s="8">
        <v>2.0312999999999999</v>
      </c>
      <c r="BD150" s="8">
        <v>2</v>
      </c>
    </row>
    <row r="151" spans="2:56" s="13" customFormat="1" x14ac:dyDescent="0.3">
      <c r="B151" s="22">
        <f t="shared" si="64"/>
        <v>1040</v>
      </c>
      <c r="C151" s="40">
        <f t="shared" si="65"/>
        <v>18.906051732552466</v>
      </c>
      <c r="D151" s="40">
        <f t="shared" si="66"/>
        <v>18.886774036115305</v>
      </c>
      <c r="E151" s="40">
        <f t="shared" si="67"/>
        <v>24.972181551976622</v>
      </c>
      <c r="F151" s="40">
        <f t="shared" si="68"/>
        <v>24.471937530502817</v>
      </c>
      <c r="G151" s="40">
        <f t="shared" si="69"/>
        <v>27.557345046363967</v>
      </c>
      <c r="H151" s="40">
        <f t="shared" si="70"/>
        <v>28.251342118106404</v>
      </c>
      <c r="I151" s="40">
        <f t="shared" si="71"/>
        <v>56.710834553440776</v>
      </c>
      <c r="J151" s="40">
        <f t="shared" si="72"/>
        <v>52.081747193752925</v>
      </c>
      <c r="K151" s="40">
        <f t="shared" si="73"/>
        <v>41.376037091264031</v>
      </c>
      <c r="L151" s="40">
        <f t="shared" si="74"/>
        <v>44.856515373352892</v>
      </c>
      <c r="M151" s="40">
        <f t="shared" si="75"/>
        <v>35.450219619326454</v>
      </c>
      <c r="N151" s="40">
        <f t="shared" si="76"/>
        <v>31.448267447535343</v>
      </c>
      <c r="O151" s="40"/>
      <c r="P151" s="39">
        <f t="shared" si="77"/>
        <v>31.529770619814411</v>
      </c>
      <c r="Q151" s="39">
        <f t="shared" si="78"/>
        <v>29.317715959004346</v>
      </c>
      <c r="R151" s="39">
        <f t="shared" si="79"/>
        <v>29.65226939970729</v>
      </c>
      <c r="S151" s="39">
        <f t="shared" si="80"/>
        <v>30.25109809663245</v>
      </c>
      <c r="T151" s="39">
        <f t="shared" si="81"/>
        <v>29.822108345534641</v>
      </c>
      <c r="U151" s="39">
        <f t="shared" si="82"/>
        <v>24.806246949731623</v>
      </c>
      <c r="V151" s="39">
        <f t="shared" si="83"/>
        <v>31.662030258662917</v>
      </c>
      <c r="W151" s="39">
        <f t="shared" si="84"/>
        <v>35.232064421668909</v>
      </c>
      <c r="X151" s="39">
        <f t="shared" si="85"/>
        <v>34.128599316739972</v>
      </c>
      <c r="Y151" s="39">
        <f t="shared" si="86"/>
        <v>35.376281112737949</v>
      </c>
      <c r="Z151" s="39">
        <f t="shared" si="87"/>
        <v>36.267691556857002</v>
      </c>
      <c r="AA151" s="39">
        <f t="shared" si="88"/>
        <v>37.725719863348047</v>
      </c>
      <c r="AB151" s="38"/>
      <c r="AE151" s="15">
        <v>1.2037037037037035E-2</v>
      </c>
      <c r="AF151" s="14">
        <f t="shared" si="89"/>
        <v>1040</v>
      </c>
      <c r="AG151" s="8">
        <v>2.0655999999999999</v>
      </c>
      <c r="AH151" s="8">
        <v>2.0503999999999998</v>
      </c>
      <c r="AI151" s="8">
        <v>2.0552999999999999</v>
      </c>
      <c r="AJ151" s="8">
        <v>2.0440999999999998</v>
      </c>
      <c r="AK151" s="8">
        <v>2.048</v>
      </c>
      <c r="AL151" s="8">
        <v>2.0405000000000002</v>
      </c>
      <c r="AM151" s="8">
        <v>1.9681999999999999</v>
      </c>
      <c r="AN151" s="8">
        <v>1.9778</v>
      </c>
      <c r="AO151" s="8">
        <v>1.9856</v>
      </c>
      <c r="AP151" s="8">
        <v>1.9927999999999999</v>
      </c>
      <c r="AQ151" s="8">
        <v>2.0122</v>
      </c>
      <c r="AR151" s="8">
        <v>1.9807999999999999</v>
      </c>
      <c r="AS151" s="8">
        <v>2.0442</v>
      </c>
      <c r="AT151" s="8">
        <v>2.0446</v>
      </c>
      <c r="AU151" s="8">
        <v>2.0581999999999998</v>
      </c>
      <c r="AV151" s="8">
        <v>2.0488</v>
      </c>
      <c r="AW151" s="8">
        <v>2.0537999999999998</v>
      </c>
      <c r="AX151" s="8">
        <v>2.0333999999999999</v>
      </c>
      <c r="AY151" s="8">
        <v>2.0398999999999998</v>
      </c>
      <c r="AZ151" s="8">
        <v>2.0327000000000002</v>
      </c>
      <c r="BA151" s="8">
        <v>2.0249000000000001</v>
      </c>
      <c r="BB151" s="8">
        <v>2.0326</v>
      </c>
      <c r="BC151" s="8">
        <v>2.0308999999999999</v>
      </c>
      <c r="BD151" s="8">
        <v>1.9984999999999999</v>
      </c>
    </row>
    <row r="152" spans="2:56" s="13" customFormat="1" x14ac:dyDescent="0.3">
      <c r="B152" s="22">
        <f t="shared" si="64"/>
        <v>1048</v>
      </c>
      <c r="C152" s="40">
        <f t="shared" si="65"/>
        <v>18.662030258662686</v>
      </c>
      <c r="D152" s="40">
        <f t="shared" si="66"/>
        <v>18.496339677891608</v>
      </c>
      <c r="E152" s="40">
        <f t="shared" si="67"/>
        <v>25.41142020497815</v>
      </c>
      <c r="F152" s="40">
        <f t="shared" si="68"/>
        <v>24.08150317227912</v>
      </c>
      <c r="G152" s="40">
        <f t="shared" si="69"/>
        <v>27.557345046363967</v>
      </c>
      <c r="H152" s="40">
        <f t="shared" si="70"/>
        <v>28.20253782332858</v>
      </c>
      <c r="I152" s="40">
        <f t="shared" si="71"/>
        <v>55.246705710102511</v>
      </c>
      <c r="J152" s="40">
        <f t="shared" si="72"/>
        <v>52.716203025866186</v>
      </c>
      <c r="K152" s="40">
        <f t="shared" si="73"/>
        <v>42.205710102489036</v>
      </c>
      <c r="L152" s="40">
        <f t="shared" si="74"/>
        <v>45.295754026354309</v>
      </c>
      <c r="M152" s="40">
        <f t="shared" si="75"/>
        <v>35.206198145436673</v>
      </c>
      <c r="N152" s="40">
        <f t="shared" si="76"/>
        <v>31.643484626647091</v>
      </c>
      <c r="O152" s="40"/>
      <c r="P152" s="39">
        <f t="shared" si="77"/>
        <v>31.480966325036587</v>
      </c>
      <c r="Q152" s="39">
        <f t="shared" si="78"/>
        <v>29.512933138116086</v>
      </c>
      <c r="R152" s="39">
        <f t="shared" si="79"/>
        <v>29.261835041483597</v>
      </c>
      <c r="S152" s="39">
        <f t="shared" si="80"/>
        <v>29.909468033186794</v>
      </c>
      <c r="T152" s="39">
        <f t="shared" si="81"/>
        <v>29.968521229868337</v>
      </c>
      <c r="U152" s="39">
        <f t="shared" si="82"/>
        <v>25.440702781844887</v>
      </c>
      <c r="V152" s="39">
        <f t="shared" si="83"/>
        <v>32.345290385554001</v>
      </c>
      <c r="W152" s="39">
        <f t="shared" si="84"/>
        <v>35.183260126891085</v>
      </c>
      <c r="X152" s="39">
        <f t="shared" si="85"/>
        <v>33.103709126403224</v>
      </c>
      <c r="Y152" s="39">
        <f t="shared" si="86"/>
        <v>34.888238164958594</v>
      </c>
      <c r="Z152" s="39">
        <f t="shared" si="87"/>
        <v>35.584431429965697</v>
      </c>
      <c r="AA152" s="39">
        <f t="shared" si="88"/>
        <v>37.530502684236303</v>
      </c>
      <c r="AB152" s="38"/>
      <c r="AE152" s="15">
        <v>1.2129629629629629E-2</v>
      </c>
      <c r="AF152" s="14">
        <f t="shared" si="89"/>
        <v>1048</v>
      </c>
      <c r="AG152" s="8">
        <v>2.0661</v>
      </c>
      <c r="AH152" s="8">
        <v>2.0512000000000001</v>
      </c>
      <c r="AI152" s="8">
        <v>2.0543999999999998</v>
      </c>
      <c r="AJ152" s="8">
        <v>2.0449000000000002</v>
      </c>
      <c r="AK152" s="8">
        <v>2.048</v>
      </c>
      <c r="AL152" s="8">
        <v>2.0406</v>
      </c>
      <c r="AM152" s="8">
        <v>1.9712000000000001</v>
      </c>
      <c r="AN152" s="8">
        <v>1.9764999999999999</v>
      </c>
      <c r="AO152" s="8">
        <v>1.9839</v>
      </c>
      <c r="AP152" s="8">
        <v>1.9919</v>
      </c>
      <c r="AQ152" s="8">
        <v>2.0127000000000002</v>
      </c>
      <c r="AR152" s="8">
        <v>1.9803999999999999</v>
      </c>
      <c r="AS152" s="8">
        <v>2.0442999999999998</v>
      </c>
      <c r="AT152" s="8">
        <v>2.0442</v>
      </c>
      <c r="AU152" s="8">
        <v>2.0590000000000002</v>
      </c>
      <c r="AV152" s="8">
        <v>2.0495000000000001</v>
      </c>
      <c r="AW152" s="8">
        <v>2.0535000000000001</v>
      </c>
      <c r="AX152" s="8">
        <v>2.0320999999999998</v>
      </c>
      <c r="AY152" s="8">
        <v>2.0385</v>
      </c>
      <c r="AZ152" s="8">
        <v>2.0327999999999999</v>
      </c>
      <c r="BA152" s="8">
        <v>2.0270000000000001</v>
      </c>
      <c r="BB152" s="8">
        <v>2.0335999999999999</v>
      </c>
      <c r="BC152" s="8">
        <v>2.0323000000000002</v>
      </c>
      <c r="BD152" s="8">
        <v>1.9988999999999999</v>
      </c>
    </row>
    <row r="153" spans="2:56" s="13" customFormat="1" x14ac:dyDescent="0.3">
      <c r="B153" s="22">
        <f t="shared" si="64"/>
        <v>1056</v>
      </c>
      <c r="C153" s="40">
        <f t="shared" si="65"/>
        <v>19.10126891166421</v>
      </c>
      <c r="D153" s="40">
        <f t="shared" si="66"/>
        <v>18.78916544655922</v>
      </c>
      <c r="E153" s="40">
        <f t="shared" si="67"/>
        <v>25.850658857979457</v>
      </c>
      <c r="F153" s="40">
        <f t="shared" si="68"/>
        <v>25.448023426061518</v>
      </c>
      <c r="G153" s="40">
        <f t="shared" si="69"/>
        <v>27.996583699365491</v>
      </c>
      <c r="H153" s="40">
        <f t="shared" si="70"/>
        <v>28.397755002440316</v>
      </c>
      <c r="I153" s="40">
        <f t="shared" si="71"/>
        <v>56.271595900439252</v>
      </c>
      <c r="J153" s="40">
        <f t="shared" si="72"/>
        <v>52.667398731088255</v>
      </c>
      <c r="K153" s="40">
        <f t="shared" si="73"/>
        <v>42.547340165934585</v>
      </c>
      <c r="L153" s="40">
        <f t="shared" si="74"/>
        <v>44.95412396290876</v>
      </c>
      <c r="M153" s="40">
        <f t="shared" si="75"/>
        <v>36.231088335773421</v>
      </c>
      <c r="N153" s="40">
        <f t="shared" si="76"/>
        <v>31.106637384089691</v>
      </c>
      <c r="O153" s="40"/>
      <c r="P153" s="39">
        <f t="shared" si="77"/>
        <v>31.432162030258542</v>
      </c>
      <c r="Q153" s="39">
        <f t="shared" si="78"/>
        <v>29.366520253782173</v>
      </c>
      <c r="R153" s="39">
        <f t="shared" si="79"/>
        <v>31.067593948267522</v>
      </c>
      <c r="S153" s="39">
        <f t="shared" si="80"/>
        <v>29.66544655929723</v>
      </c>
      <c r="T153" s="39">
        <f t="shared" si="81"/>
        <v>29.968521229868337</v>
      </c>
      <c r="U153" s="39">
        <f t="shared" si="82"/>
        <v>26.075158613957935</v>
      </c>
      <c r="V153" s="39">
        <f t="shared" si="83"/>
        <v>31.808443142996605</v>
      </c>
      <c r="W153" s="39">
        <f t="shared" si="84"/>
        <v>35.622498779892609</v>
      </c>
      <c r="X153" s="39">
        <f t="shared" si="85"/>
        <v>33.054904831625393</v>
      </c>
      <c r="Y153" s="39">
        <f t="shared" si="86"/>
        <v>35.22986822840403</v>
      </c>
      <c r="Z153" s="39">
        <f t="shared" si="87"/>
        <v>36.462908735968746</v>
      </c>
      <c r="AA153" s="39">
        <f t="shared" si="88"/>
        <v>37.481698389458259</v>
      </c>
      <c r="AB153" s="38"/>
      <c r="AE153" s="15">
        <v>1.2222222222222223E-2</v>
      </c>
      <c r="AF153" s="14">
        <f t="shared" si="89"/>
        <v>1056</v>
      </c>
      <c r="AG153" s="8">
        <v>2.0651999999999999</v>
      </c>
      <c r="AH153" s="8">
        <v>2.0506000000000002</v>
      </c>
      <c r="AI153" s="8">
        <v>2.0535000000000001</v>
      </c>
      <c r="AJ153" s="8">
        <v>2.0421</v>
      </c>
      <c r="AK153" s="8">
        <v>2.0470999999999999</v>
      </c>
      <c r="AL153" s="8">
        <v>2.0402</v>
      </c>
      <c r="AM153" s="8">
        <v>1.9691000000000001</v>
      </c>
      <c r="AN153" s="8">
        <v>1.9765999999999999</v>
      </c>
      <c r="AO153" s="8">
        <v>1.9832000000000001</v>
      </c>
      <c r="AP153" s="8">
        <v>1.9925999999999999</v>
      </c>
      <c r="AQ153" s="8">
        <v>2.0106000000000002</v>
      </c>
      <c r="AR153" s="8">
        <v>1.9815</v>
      </c>
      <c r="AS153" s="8">
        <v>2.0444</v>
      </c>
      <c r="AT153" s="8">
        <v>2.0445000000000002</v>
      </c>
      <c r="AU153" s="8">
        <v>2.0552999999999999</v>
      </c>
      <c r="AV153" s="8">
        <v>2.0499999999999998</v>
      </c>
      <c r="AW153" s="8">
        <v>2.0535000000000001</v>
      </c>
      <c r="AX153" s="8">
        <v>2.0308000000000002</v>
      </c>
      <c r="AY153" s="8">
        <v>2.0396000000000001</v>
      </c>
      <c r="AZ153" s="8">
        <v>2.0318999999999998</v>
      </c>
      <c r="BA153" s="8">
        <v>2.0270999999999999</v>
      </c>
      <c r="BB153" s="8">
        <v>2.0329000000000002</v>
      </c>
      <c r="BC153" s="8">
        <v>2.0305</v>
      </c>
      <c r="BD153" s="8">
        <v>1.9990000000000001</v>
      </c>
    </row>
    <row r="154" spans="2:56" s="13" customFormat="1" x14ac:dyDescent="0.3">
      <c r="B154" s="22">
        <f t="shared" si="64"/>
        <v>1064</v>
      </c>
      <c r="C154" s="40">
        <f t="shared" si="65"/>
        <v>19.589311859443562</v>
      </c>
      <c r="D154" s="40">
        <f t="shared" si="66"/>
        <v>18.154709614446173</v>
      </c>
      <c r="E154" s="40">
        <f t="shared" si="67"/>
        <v>25.313811615422061</v>
      </c>
      <c r="F154" s="40">
        <f t="shared" si="68"/>
        <v>24.959980478282169</v>
      </c>
      <c r="G154" s="40">
        <f t="shared" si="69"/>
        <v>28.045387994143319</v>
      </c>
      <c r="H154" s="40">
        <f t="shared" si="70"/>
        <v>28.495363591996188</v>
      </c>
      <c r="I154" s="40">
        <f t="shared" si="71"/>
        <v>56.466813079551102</v>
      </c>
      <c r="J154" s="40">
        <f t="shared" si="72"/>
        <v>52.618594436310318</v>
      </c>
      <c r="K154" s="40">
        <f t="shared" si="73"/>
        <v>43.474621766715465</v>
      </c>
      <c r="L154" s="40">
        <f t="shared" si="74"/>
        <v>45.295754026354309</v>
      </c>
      <c r="M154" s="40">
        <f t="shared" si="75"/>
        <v>35.108589555880805</v>
      </c>
      <c r="N154" s="40">
        <f t="shared" si="76"/>
        <v>31.838701805758827</v>
      </c>
      <c r="O154" s="40"/>
      <c r="P154" s="39">
        <f t="shared" si="77"/>
        <v>31.676183504148327</v>
      </c>
      <c r="Q154" s="39">
        <f t="shared" si="78"/>
        <v>29.268911664226302</v>
      </c>
      <c r="R154" s="39">
        <f t="shared" si="79"/>
        <v>29.993899463152729</v>
      </c>
      <c r="S154" s="39">
        <f t="shared" si="80"/>
        <v>30.055880917520707</v>
      </c>
      <c r="T154" s="39">
        <f t="shared" si="81"/>
        <v>31.530258662762478</v>
      </c>
      <c r="U154" s="39">
        <f t="shared" si="82"/>
        <v>25.977550024402063</v>
      </c>
      <c r="V154" s="39">
        <f t="shared" si="83"/>
        <v>31.662030258662917</v>
      </c>
      <c r="W154" s="39">
        <f t="shared" si="84"/>
        <v>35.573694485114565</v>
      </c>
      <c r="X154" s="39">
        <f t="shared" si="85"/>
        <v>33.152513421181268</v>
      </c>
      <c r="Y154" s="39">
        <f t="shared" si="86"/>
        <v>36.15714982918491</v>
      </c>
      <c r="Z154" s="39">
        <f t="shared" si="87"/>
        <v>36.365300146412871</v>
      </c>
      <c r="AA154" s="39">
        <f t="shared" si="88"/>
        <v>38.848218643240664</v>
      </c>
      <c r="AB154" s="38"/>
      <c r="AE154" s="15">
        <v>1.2314814814814815E-2</v>
      </c>
      <c r="AF154" s="14">
        <f t="shared" si="89"/>
        <v>1064</v>
      </c>
      <c r="AG154" s="8">
        <v>2.0642</v>
      </c>
      <c r="AH154" s="8">
        <v>2.0518999999999998</v>
      </c>
      <c r="AI154" s="8">
        <v>2.0546000000000002</v>
      </c>
      <c r="AJ154" s="8">
        <v>2.0430999999999999</v>
      </c>
      <c r="AK154" s="8">
        <v>2.0470000000000002</v>
      </c>
      <c r="AL154" s="8">
        <v>2.04</v>
      </c>
      <c r="AM154" s="8">
        <v>1.9686999999999999</v>
      </c>
      <c r="AN154" s="8">
        <v>1.9766999999999999</v>
      </c>
      <c r="AO154" s="8">
        <v>1.9813000000000001</v>
      </c>
      <c r="AP154" s="8">
        <v>1.9919</v>
      </c>
      <c r="AQ154" s="8">
        <v>2.0129000000000001</v>
      </c>
      <c r="AR154" s="8">
        <v>1.98</v>
      </c>
      <c r="AS154" s="8">
        <v>2.0438999999999998</v>
      </c>
      <c r="AT154" s="8">
        <v>2.0447000000000002</v>
      </c>
      <c r="AU154" s="8">
        <v>2.0575000000000001</v>
      </c>
      <c r="AV154" s="8">
        <v>2.0491999999999999</v>
      </c>
      <c r="AW154" s="8">
        <v>2.0503</v>
      </c>
      <c r="AX154" s="8">
        <v>2.0310000000000001</v>
      </c>
      <c r="AY154" s="8">
        <v>2.0398999999999998</v>
      </c>
      <c r="AZ154" s="8">
        <v>2.032</v>
      </c>
      <c r="BA154" s="8">
        <v>2.0268999999999999</v>
      </c>
      <c r="BB154" s="8">
        <v>2.0310000000000001</v>
      </c>
      <c r="BC154" s="8">
        <v>2.0306999999999999</v>
      </c>
      <c r="BD154" s="8">
        <v>1.9962</v>
      </c>
    </row>
    <row r="155" spans="2:56" s="13" customFormat="1" x14ac:dyDescent="0.3">
      <c r="B155" s="22">
        <f t="shared" si="64"/>
        <v>1072</v>
      </c>
      <c r="C155" s="40">
        <f t="shared" si="65"/>
        <v>19.735724743777475</v>
      </c>
      <c r="D155" s="40">
        <f t="shared" si="66"/>
        <v>18.545143972669653</v>
      </c>
      <c r="E155" s="40">
        <f t="shared" si="67"/>
        <v>25.801854563201626</v>
      </c>
      <c r="F155" s="40">
        <f t="shared" si="68"/>
        <v>24.813567593948253</v>
      </c>
      <c r="G155" s="40">
        <f t="shared" si="69"/>
        <v>28.191800878477231</v>
      </c>
      <c r="H155" s="40">
        <f t="shared" si="70"/>
        <v>28.446559297218361</v>
      </c>
      <c r="I155" s="40">
        <f t="shared" si="71"/>
        <v>56.076378721327508</v>
      </c>
      <c r="J155" s="40">
        <f t="shared" si="72"/>
        <v>53.057833089311735</v>
      </c>
      <c r="K155" s="40">
        <f t="shared" si="73"/>
        <v>43.96266471449492</v>
      </c>
      <c r="L155" s="40">
        <f t="shared" si="74"/>
        <v>45.100536847242566</v>
      </c>
      <c r="M155" s="40">
        <f t="shared" si="75"/>
        <v>35.743045387994073</v>
      </c>
      <c r="N155" s="40">
        <f t="shared" si="76"/>
        <v>31.692288921425021</v>
      </c>
      <c r="O155" s="40"/>
      <c r="P155" s="39">
        <f t="shared" si="77"/>
        <v>32.213030746705506</v>
      </c>
      <c r="Q155" s="39">
        <f t="shared" si="78"/>
        <v>29.708150317227826</v>
      </c>
      <c r="R155" s="39">
        <f t="shared" si="79"/>
        <v>29.554660810151422</v>
      </c>
      <c r="S155" s="39">
        <f t="shared" si="80"/>
        <v>31.373596876525067</v>
      </c>
      <c r="T155" s="39">
        <f t="shared" si="81"/>
        <v>30.700585651537473</v>
      </c>
      <c r="U155" s="39">
        <f t="shared" si="82"/>
        <v>25.587115666178583</v>
      </c>
      <c r="V155" s="39">
        <f t="shared" si="83"/>
        <v>32.101268911664221</v>
      </c>
      <c r="W155" s="39">
        <f t="shared" si="84"/>
        <v>36.012933138116097</v>
      </c>
      <c r="X155" s="39">
        <f t="shared" si="85"/>
        <v>33.152513421181268</v>
      </c>
      <c r="Y155" s="39">
        <f t="shared" si="86"/>
        <v>36.547584187408603</v>
      </c>
      <c r="Z155" s="39">
        <f t="shared" si="87"/>
        <v>36.365300146412871</v>
      </c>
      <c r="AA155" s="39">
        <f t="shared" si="88"/>
        <v>37.774524158125985</v>
      </c>
      <c r="AB155" s="38"/>
      <c r="AE155" s="15">
        <v>1.2407407407407409E-2</v>
      </c>
      <c r="AF155" s="14">
        <f t="shared" si="89"/>
        <v>1072</v>
      </c>
      <c r="AG155" s="8">
        <v>2.0638999999999998</v>
      </c>
      <c r="AH155" s="8">
        <v>2.0510999999999999</v>
      </c>
      <c r="AI155" s="8">
        <v>2.0535999999999999</v>
      </c>
      <c r="AJ155" s="8">
        <v>2.0434000000000001</v>
      </c>
      <c r="AK155" s="8">
        <v>2.0467</v>
      </c>
      <c r="AL155" s="8">
        <v>2.0400999999999998</v>
      </c>
      <c r="AM155" s="8">
        <v>1.9695</v>
      </c>
      <c r="AN155" s="8">
        <v>1.9758</v>
      </c>
      <c r="AO155" s="8">
        <v>1.9802999999999999</v>
      </c>
      <c r="AP155" s="8">
        <v>1.9923</v>
      </c>
      <c r="AQ155" s="8">
        <v>2.0116000000000001</v>
      </c>
      <c r="AR155" s="8">
        <v>1.9802999999999999</v>
      </c>
      <c r="AS155" s="8">
        <v>2.0428000000000002</v>
      </c>
      <c r="AT155" s="8">
        <v>2.0438000000000001</v>
      </c>
      <c r="AU155" s="8">
        <v>2.0583999999999998</v>
      </c>
      <c r="AV155" s="8">
        <v>2.0465</v>
      </c>
      <c r="AW155" s="8">
        <v>2.052</v>
      </c>
      <c r="AX155" s="8">
        <v>2.0318000000000001</v>
      </c>
      <c r="AY155" s="8">
        <v>2.0390000000000001</v>
      </c>
      <c r="AZ155" s="8">
        <v>2.0310999999999999</v>
      </c>
      <c r="BA155" s="8">
        <v>2.0268999999999999</v>
      </c>
      <c r="BB155" s="8">
        <v>2.0301999999999998</v>
      </c>
      <c r="BC155" s="8">
        <v>2.0306999999999999</v>
      </c>
      <c r="BD155" s="8">
        <v>1.9984</v>
      </c>
    </row>
    <row r="156" spans="2:56" s="13" customFormat="1" x14ac:dyDescent="0.3">
      <c r="B156" s="22">
        <f t="shared" si="64"/>
        <v>1080</v>
      </c>
      <c r="C156" s="40">
        <f t="shared" si="65"/>
        <v>19.88213762811117</v>
      </c>
      <c r="D156" s="40">
        <f t="shared" si="66"/>
        <v>19.326012689116613</v>
      </c>
      <c r="E156" s="40">
        <f t="shared" si="67"/>
        <v>25.948267447535326</v>
      </c>
      <c r="F156" s="40">
        <f t="shared" si="68"/>
        <v>25.39921913128369</v>
      </c>
      <c r="G156" s="40">
        <f t="shared" si="69"/>
        <v>27.459736456808095</v>
      </c>
      <c r="H156" s="40">
        <f t="shared" si="70"/>
        <v>28.836993655441841</v>
      </c>
      <c r="I156" s="40">
        <f t="shared" si="71"/>
        <v>56.271595900439252</v>
      </c>
      <c r="J156" s="40">
        <f t="shared" si="72"/>
        <v>53.253050268423479</v>
      </c>
      <c r="K156" s="40">
        <f t="shared" si="73"/>
        <v>44.304294777940463</v>
      </c>
      <c r="L156" s="40">
        <f t="shared" si="74"/>
        <v>45.68618838457779</v>
      </c>
      <c r="M156" s="40">
        <f t="shared" si="75"/>
        <v>36.231088335773421</v>
      </c>
      <c r="N156" s="40">
        <f t="shared" si="76"/>
        <v>32.277940458760241</v>
      </c>
      <c r="O156" s="40"/>
      <c r="P156" s="39">
        <f t="shared" si="77"/>
        <v>31.969009272815939</v>
      </c>
      <c r="Q156" s="39">
        <f t="shared" si="78"/>
        <v>30.586627623230875</v>
      </c>
      <c r="R156" s="39">
        <f t="shared" si="79"/>
        <v>30.433138116154254</v>
      </c>
      <c r="S156" s="39">
        <f t="shared" si="80"/>
        <v>30.007076622742666</v>
      </c>
      <c r="T156" s="39">
        <f t="shared" si="81"/>
        <v>30.846998535871389</v>
      </c>
      <c r="U156" s="39">
        <f t="shared" si="82"/>
        <v>26.953635919960984</v>
      </c>
      <c r="V156" s="39">
        <f t="shared" si="83"/>
        <v>32.296486090775957</v>
      </c>
      <c r="W156" s="39">
        <f t="shared" si="84"/>
        <v>36.110541727671965</v>
      </c>
      <c r="X156" s="39">
        <f t="shared" si="85"/>
        <v>33.103709126403224</v>
      </c>
      <c r="Y156" s="39">
        <f t="shared" si="86"/>
        <v>36.15714982918491</v>
      </c>
      <c r="Z156" s="39">
        <f t="shared" si="87"/>
        <v>36.999755978526139</v>
      </c>
      <c r="AA156" s="39">
        <f t="shared" si="88"/>
        <v>38.604197169350989</v>
      </c>
      <c r="AB156" s="38"/>
      <c r="AE156" s="15">
        <v>1.2499999999999999E-2</v>
      </c>
      <c r="AF156" s="14">
        <f t="shared" si="89"/>
        <v>1080</v>
      </c>
      <c r="AG156" s="8">
        <v>2.0636000000000001</v>
      </c>
      <c r="AH156" s="8">
        <v>2.0495000000000001</v>
      </c>
      <c r="AI156" s="8">
        <v>2.0533000000000001</v>
      </c>
      <c r="AJ156" s="8">
        <v>2.0421999999999998</v>
      </c>
      <c r="AK156" s="8">
        <v>2.0482</v>
      </c>
      <c r="AL156" s="8">
        <v>2.0392999999999999</v>
      </c>
      <c r="AM156" s="8">
        <v>1.9691000000000001</v>
      </c>
      <c r="AN156" s="8">
        <v>1.9754</v>
      </c>
      <c r="AO156" s="8">
        <v>1.9796</v>
      </c>
      <c r="AP156" s="8">
        <v>1.9911000000000001</v>
      </c>
      <c r="AQ156" s="8">
        <v>2.0106000000000002</v>
      </c>
      <c r="AR156" s="8">
        <v>1.9791000000000001</v>
      </c>
      <c r="AS156" s="8">
        <v>2.0432999999999999</v>
      </c>
      <c r="AT156" s="8">
        <v>2.0419999999999998</v>
      </c>
      <c r="AU156" s="8">
        <v>2.0566</v>
      </c>
      <c r="AV156" s="8">
        <v>2.0493000000000001</v>
      </c>
      <c r="AW156" s="8">
        <v>2.0516999999999999</v>
      </c>
      <c r="AX156" s="8">
        <v>2.0289999999999999</v>
      </c>
      <c r="AY156" s="8">
        <v>2.0386000000000002</v>
      </c>
      <c r="AZ156" s="8">
        <v>2.0308999999999999</v>
      </c>
      <c r="BA156" s="8">
        <v>2.0270000000000001</v>
      </c>
      <c r="BB156" s="8">
        <v>2.0310000000000001</v>
      </c>
      <c r="BC156" s="8">
        <v>2.0293999999999999</v>
      </c>
      <c r="BD156" s="8">
        <v>1.9966999999999999</v>
      </c>
    </row>
    <row r="157" spans="2:56" s="13" customFormat="1" x14ac:dyDescent="0.3">
      <c r="B157" s="22">
        <f t="shared" si="64"/>
        <v>1088</v>
      </c>
      <c r="C157" s="40">
        <f t="shared" si="65"/>
        <v>20.272571986334651</v>
      </c>
      <c r="D157" s="40">
        <f t="shared" si="66"/>
        <v>19.228404099560741</v>
      </c>
      <c r="E157" s="40">
        <f t="shared" si="67"/>
        <v>26.241093216202938</v>
      </c>
      <c r="F157" s="40">
        <f t="shared" si="68"/>
        <v>25.643240605173258</v>
      </c>
      <c r="G157" s="40">
        <f t="shared" si="69"/>
        <v>28.191800878477231</v>
      </c>
      <c r="H157" s="40">
        <f t="shared" si="70"/>
        <v>28.739385065885969</v>
      </c>
      <c r="I157" s="40">
        <f t="shared" si="71"/>
        <v>56.418008784773058</v>
      </c>
      <c r="J157" s="40">
        <f t="shared" si="72"/>
        <v>54.473157637871957</v>
      </c>
      <c r="K157" s="40">
        <f t="shared" si="73"/>
        <v>44.060273304050796</v>
      </c>
      <c r="L157" s="40">
        <f t="shared" si="74"/>
        <v>45.979014153245508</v>
      </c>
      <c r="M157" s="40">
        <f t="shared" si="75"/>
        <v>36.621522693997115</v>
      </c>
      <c r="N157" s="40">
        <f t="shared" si="76"/>
        <v>31.643484626647091</v>
      </c>
      <c r="O157" s="40"/>
      <c r="P157" s="39">
        <f t="shared" si="77"/>
        <v>33.091508052708548</v>
      </c>
      <c r="Q157" s="39">
        <f t="shared" si="78"/>
        <v>31.123474865788047</v>
      </c>
      <c r="R157" s="39">
        <f t="shared" si="79"/>
        <v>30.921181063933606</v>
      </c>
      <c r="S157" s="39">
        <f t="shared" si="80"/>
        <v>30.446315275744187</v>
      </c>
      <c r="T157" s="39">
        <f t="shared" si="81"/>
        <v>32.115910200097701</v>
      </c>
      <c r="U157" s="39">
        <f t="shared" si="82"/>
        <v>25.928745729624239</v>
      </c>
      <c r="V157" s="39">
        <f t="shared" si="83"/>
        <v>32.686920448999658</v>
      </c>
      <c r="W157" s="39">
        <f t="shared" si="84"/>
        <v>36.647388970229358</v>
      </c>
      <c r="X157" s="39">
        <f t="shared" si="85"/>
        <v>33.786969253294529</v>
      </c>
      <c r="Y157" s="39">
        <f t="shared" si="86"/>
        <v>36.01073694485121</v>
      </c>
      <c r="Z157" s="39">
        <f t="shared" si="87"/>
        <v>36.999755978526139</v>
      </c>
      <c r="AA157" s="39">
        <f t="shared" si="88"/>
        <v>38.213762811127395</v>
      </c>
      <c r="AB157" s="38"/>
      <c r="AE157" s="15">
        <v>1.2592592592592593E-2</v>
      </c>
      <c r="AF157" s="14">
        <f t="shared" si="89"/>
        <v>1088</v>
      </c>
      <c r="AG157" s="8">
        <v>2.0628000000000002</v>
      </c>
      <c r="AH157" s="8">
        <v>2.0497000000000001</v>
      </c>
      <c r="AI157" s="8">
        <v>2.0527000000000002</v>
      </c>
      <c r="AJ157" s="8">
        <v>2.0417000000000001</v>
      </c>
      <c r="AK157" s="8">
        <v>2.0467</v>
      </c>
      <c r="AL157" s="8">
        <v>2.0394999999999999</v>
      </c>
      <c r="AM157" s="8">
        <v>1.9688000000000001</v>
      </c>
      <c r="AN157" s="8">
        <v>1.9729000000000001</v>
      </c>
      <c r="AO157" s="8">
        <v>1.9801</v>
      </c>
      <c r="AP157" s="8">
        <v>1.9904999999999999</v>
      </c>
      <c r="AQ157" s="8">
        <v>2.0097999999999998</v>
      </c>
      <c r="AR157" s="8">
        <v>1.9803999999999999</v>
      </c>
      <c r="AS157" s="8">
        <v>2.0409999999999999</v>
      </c>
      <c r="AT157" s="8">
        <v>2.0409000000000002</v>
      </c>
      <c r="AU157" s="8">
        <v>2.0556000000000001</v>
      </c>
      <c r="AV157" s="8">
        <v>2.0484</v>
      </c>
      <c r="AW157" s="8">
        <v>2.0491000000000001</v>
      </c>
      <c r="AX157" s="8">
        <v>2.0310999999999999</v>
      </c>
      <c r="AY157" s="8">
        <v>2.0377999999999998</v>
      </c>
      <c r="AZ157" s="8">
        <v>2.0297999999999998</v>
      </c>
      <c r="BA157" s="8">
        <v>2.0255999999999998</v>
      </c>
      <c r="BB157" s="8">
        <v>2.0312999999999999</v>
      </c>
      <c r="BC157" s="8">
        <v>2.0293999999999999</v>
      </c>
      <c r="BD157" s="8">
        <v>1.9975000000000001</v>
      </c>
    </row>
    <row r="158" spans="2:56" s="13" customFormat="1" x14ac:dyDescent="0.3">
      <c r="B158" s="22">
        <f t="shared" si="64"/>
        <v>1096</v>
      </c>
      <c r="C158" s="40">
        <f t="shared" si="65"/>
        <v>18.613225963884858</v>
      </c>
      <c r="D158" s="40">
        <f t="shared" si="66"/>
        <v>19.081991215227045</v>
      </c>
      <c r="E158" s="40">
        <f t="shared" si="67"/>
        <v>25.899463152757502</v>
      </c>
      <c r="F158" s="40">
        <f t="shared" si="68"/>
        <v>25.594436310395434</v>
      </c>
      <c r="G158" s="40">
        <f t="shared" si="69"/>
        <v>28.484626647144839</v>
      </c>
      <c r="H158" s="40">
        <f t="shared" si="70"/>
        <v>28.7881893606638</v>
      </c>
      <c r="I158" s="40">
        <f t="shared" si="71"/>
        <v>55.295510004880441</v>
      </c>
      <c r="J158" s="40">
        <f t="shared" si="72"/>
        <v>54.180331869204352</v>
      </c>
      <c r="K158" s="40">
        <f t="shared" si="73"/>
        <v>44.938750610053731</v>
      </c>
      <c r="L158" s="40">
        <f t="shared" si="74"/>
        <v>46.613469985358662</v>
      </c>
      <c r="M158" s="40">
        <f t="shared" si="75"/>
        <v>36.279892630551458</v>
      </c>
      <c r="N158" s="40">
        <f t="shared" si="76"/>
        <v>32.229136163982311</v>
      </c>
      <c r="O158" s="40"/>
      <c r="P158" s="39">
        <f t="shared" si="77"/>
        <v>32.603465104929199</v>
      </c>
      <c r="Q158" s="39">
        <f t="shared" si="78"/>
        <v>30.098584675451306</v>
      </c>
      <c r="R158" s="39">
        <f t="shared" si="79"/>
        <v>30.042703757930774</v>
      </c>
      <c r="S158" s="39">
        <f t="shared" si="80"/>
        <v>31.031966813079411</v>
      </c>
      <c r="T158" s="39">
        <f t="shared" si="81"/>
        <v>31.188628599316825</v>
      </c>
      <c r="U158" s="39">
        <f t="shared" si="82"/>
        <v>25.587115666178583</v>
      </c>
      <c r="V158" s="39">
        <f t="shared" si="83"/>
        <v>32.882137628111394</v>
      </c>
      <c r="W158" s="39">
        <f t="shared" si="84"/>
        <v>36.842606149341101</v>
      </c>
      <c r="X158" s="39">
        <f t="shared" si="85"/>
        <v>33.250122010737144</v>
      </c>
      <c r="Y158" s="39">
        <f t="shared" si="86"/>
        <v>35.961932650073166</v>
      </c>
      <c r="Z158" s="39">
        <f t="shared" si="87"/>
        <v>36.755734504636358</v>
      </c>
      <c r="AA158" s="39">
        <f t="shared" si="88"/>
        <v>37.969741337237721</v>
      </c>
      <c r="AB158" s="38"/>
      <c r="AE158" s="15">
        <v>1.2685185185185183E-2</v>
      </c>
      <c r="AF158" s="14">
        <f t="shared" si="89"/>
        <v>1096</v>
      </c>
      <c r="AG158" s="8">
        <v>2.0661999999999998</v>
      </c>
      <c r="AH158" s="8">
        <v>2.0499999999999998</v>
      </c>
      <c r="AI158" s="8">
        <v>2.0533999999999999</v>
      </c>
      <c r="AJ158" s="8">
        <v>2.0417999999999998</v>
      </c>
      <c r="AK158" s="8">
        <v>2.0461</v>
      </c>
      <c r="AL158" s="8">
        <v>2.0394000000000001</v>
      </c>
      <c r="AM158" s="8">
        <v>1.9711000000000001</v>
      </c>
      <c r="AN158" s="8">
        <v>1.9735</v>
      </c>
      <c r="AO158" s="8">
        <v>1.9782999999999999</v>
      </c>
      <c r="AP158" s="8">
        <v>1.9892000000000001</v>
      </c>
      <c r="AQ158" s="8">
        <v>2.0105</v>
      </c>
      <c r="AR158" s="8">
        <v>1.9792000000000001</v>
      </c>
      <c r="AS158" s="8">
        <v>2.0419999999999998</v>
      </c>
      <c r="AT158" s="8">
        <v>2.0430000000000001</v>
      </c>
      <c r="AU158" s="8">
        <v>2.0573999999999999</v>
      </c>
      <c r="AV158" s="8">
        <v>2.0472000000000001</v>
      </c>
      <c r="AW158" s="8">
        <v>2.0510000000000002</v>
      </c>
      <c r="AX158" s="8">
        <v>2.0318000000000001</v>
      </c>
      <c r="AY158" s="8">
        <v>2.0373999999999999</v>
      </c>
      <c r="AZ158" s="8">
        <v>2.0293999999999999</v>
      </c>
      <c r="BA158" s="8">
        <v>2.0266999999999999</v>
      </c>
      <c r="BB158" s="8">
        <v>2.0314000000000001</v>
      </c>
      <c r="BC158" s="8">
        <v>2.0299</v>
      </c>
      <c r="BD158" s="8">
        <v>1.998</v>
      </c>
    </row>
    <row r="159" spans="2:56" s="13" customFormat="1" x14ac:dyDescent="0.3">
      <c r="B159" s="22">
        <f t="shared" si="64"/>
        <v>1104</v>
      </c>
      <c r="C159" s="40">
        <f t="shared" si="65"/>
        <v>19.589311859443562</v>
      </c>
      <c r="D159" s="40">
        <f t="shared" si="66"/>
        <v>18.447535383113784</v>
      </c>
      <c r="E159" s="40">
        <f t="shared" si="67"/>
        <v>26.19228892142511</v>
      </c>
      <c r="F159" s="40">
        <f t="shared" si="68"/>
        <v>25.155197657393906</v>
      </c>
      <c r="G159" s="40">
        <f t="shared" si="69"/>
        <v>28.972669594924191</v>
      </c>
      <c r="H159" s="40">
        <f t="shared" si="70"/>
        <v>28.300146412884448</v>
      </c>
      <c r="I159" s="40">
        <f t="shared" si="71"/>
        <v>57.589311859443718</v>
      </c>
      <c r="J159" s="40">
        <f t="shared" si="72"/>
        <v>54.668374816983807</v>
      </c>
      <c r="K159" s="40">
        <f t="shared" si="73"/>
        <v>45.231576378721343</v>
      </c>
      <c r="L159" s="40">
        <f t="shared" si="74"/>
        <v>46.564665690580725</v>
      </c>
      <c r="M159" s="40">
        <f t="shared" si="75"/>
        <v>36.621522693997115</v>
      </c>
      <c r="N159" s="40">
        <f t="shared" si="76"/>
        <v>32.619570522205898</v>
      </c>
      <c r="O159" s="40"/>
      <c r="P159" s="39">
        <f t="shared" si="77"/>
        <v>31.627379209370286</v>
      </c>
      <c r="Q159" s="39">
        <f t="shared" si="78"/>
        <v>30.537823328452827</v>
      </c>
      <c r="R159" s="39">
        <f t="shared" si="79"/>
        <v>30.38433382137621</v>
      </c>
      <c r="S159" s="39">
        <f t="shared" si="80"/>
        <v>30.787945339189843</v>
      </c>
      <c r="T159" s="39">
        <f t="shared" si="81"/>
        <v>31.091020009760957</v>
      </c>
      <c r="U159" s="39">
        <f t="shared" si="82"/>
        <v>25.587115666178583</v>
      </c>
      <c r="V159" s="39">
        <f t="shared" si="83"/>
        <v>34.541483650561403</v>
      </c>
      <c r="W159" s="39">
        <f t="shared" si="84"/>
        <v>36.696193265007182</v>
      </c>
      <c r="X159" s="39">
        <f t="shared" si="85"/>
        <v>33.152513421181268</v>
      </c>
      <c r="Y159" s="39">
        <f t="shared" si="86"/>
        <v>36.254758418740778</v>
      </c>
      <c r="Z159" s="39">
        <f t="shared" si="87"/>
        <v>36.90214738897027</v>
      </c>
      <c r="AA159" s="39">
        <f t="shared" si="88"/>
        <v>38.262567105905333</v>
      </c>
      <c r="AB159" s="38"/>
      <c r="AE159" s="15">
        <v>1.2777777777777777E-2</v>
      </c>
      <c r="AF159" s="14">
        <f t="shared" si="89"/>
        <v>1104</v>
      </c>
      <c r="AG159" s="8">
        <v>2.0642</v>
      </c>
      <c r="AH159" s="8">
        <v>2.0512999999999999</v>
      </c>
      <c r="AI159" s="8">
        <v>2.0528</v>
      </c>
      <c r="AJ159" s="8">
        <v>2.0427</v>
      </c>
      <c r="AK159" s="8">
        <v>2.0451000000000001</v>
      </c>
      <c r="AL159" s="8">
        <v>2.0404</v>
      </c>
      <c r="AM159" s="8">
        <v>1.9663999999999999</v>
      </c>
      <c r="AN159" s="8">
        <v>1.9724999999999999</v>
      </c>
      <c r="AO159" s="8">
        <v>1.9777</v>
      </c>
      <c r="AP159" s="8">
        <v>1.9893000000000001</v>
      </c>
      <c r="AQ159" s="8">
        <v>2.0097999999999998</v>
      </c>
      <c r="AR159" s="8">
        <v>1.9783999999999999</v>
      </c>
      <c r="AS159" s="8">
        <v>2.044</v>
      </c>
      <c r="AT159" s="8">
        <v>2.0421</v>
      </c>
      <c r="AU159" s="8">
        <v>2.0567000000000002</v>
      </c>
      <c r="AV159" s="8">
        <v>2.0476999999999999</v>
      </c>
      <c r="AW159" s="8">
        <v>2.0512000000000001</v>
      </c>
      <c r="AX159" s="8">
        <v>2.0318000000000001</v>
      </c>
      <c r="AY159" s="8">
        <v>2.0339999999999998</v>
      </c>
      <c r="AZ159" s="8">
        <v>2.0297000000000001</v>
      </c>
      <c r="BA159" s="8">
        <v>2.0268999999999999</v>
      </c>
      <c r="BB159" s="8">
        <v>2.0308000000000002</v>
      </c>
      <c r="BC159" s="8">
        <v>2.0295999999999998</v>
      </c>
      <c r="BD159" s="8">
        <v>1.9974000000000001</v>
      </c>
    </row>
    <row r="160" spans="2:56" s="13" customFormat="1" x14ac:dyDescent="0.3">
      <c r="B160" s="22">
        <f t="shared" si="64"/>
        <v>1112</v>
      </c>
      <c r="C160" s="40">
        <f t="shared" si="65"/>
        <v>19.052464616886166</v>
      </c>
      <c r="D160" s="40">
        <f t="shared" si="66"/>
        <v>18.447535383113784</v>
      </c>
      <c r="E160" s="40">
        <f t="shared" si="67"/>
        <v>26.241093216202938</v>
      </c>
      <c r="F160" s="40">
        <f t="shared" si="68"/>
        <v>26.082479258174786</v>
      </c>
      <c r="G160" s="40">
        <f t="shared" si="69"/>
        <v>28.533430941922884</v>
      </c>
      <c r="H160" s="40">
        <f t="shared" si="70"/>
        <v>28.446559297218361</v>
      </c>
      <c r="I160" s="40">
        <f t="shared" si="71"/>
        <v>56.710834553440776</v>
      </c>
      <c r="J160" s="40">
        <f t="shared" si="72"/>
        <v>54.717179111761745</v>
      </c>
      <c r="K160" s="40">
        <f t="shared" si="73"/>
        <v>45.573206442166885</v>
      </c>
      <c r="L160" s="40">
        <f t="shared" si="74"/>
        <v>47.296730112249861</v>
      </c>
      <c r="M160" s="40">
        <f t="shared" si="75"/>
        <v>36.426305514885158</v>
      </c>
      <c r="N160" s="40">
        <f t="shared" si="76"/>
        <v>32.424353343094154</v>
      </c>
      <c r="O160" s="40"/>
      <c r="P160" s="39">
        <f t="shared" si="77"/>
        <v>32.896290873596811</v>
      </c>
      <c r="Q160" s="39">
        <f t="shared" si="78"/>
        <v>30.684236212786743</v>
      </c>
      <c r="R160" s="39">
        <f t="shared" si="79"/>
        <v>30.140312347486642</v>
      </c>
      <c r="S160" s="39">
        <f t="shared" si="80"/>
        <v>33.03294289897508</v>
      </c>
      <c r="T160" s="39">
        <f t="shared" si="81"/>
        <v>30.651781356759642</v>
      </c>
      <c r="U160" s="39">
        <f t="shared" si="82"/>
        <v>27.002440214738812</v>
      </c>
      <c r="V160" s="39">
        <f t="shared" si="83"/>
        <v>33.174963396779013</v>
      </c>
      <c r="W160" s="39">
        <f t="shared" si="84"/>
        <v>37.135431918008706</v>
      </c>
      <c r="X160" s="39">
        <f t="shared" si="85"/>
        <v>33.83577354807236</v>
      </c>
      <c r="Y160" s="39">
        <f t="shared" si="86"/>
        <v>36.108345534407079</v>
      </c>
      <c r="Z160" s="39">
        <f t="shared" si="87"/>
        <v>37.487798926305494</v>
      </c>
      <c r="AA160" s="39">
        <f t="shared" si="88"/>
        <v>38.116154221571527</v>
      </c>
      <c r="AB160" s="38"/>
      <c r="AE160" s="15">
        <v>1.2870370370370372E-2</v>
      </c>
      <c r="AF160" s="14">
        <f t="shared" si="89"/>
        <v>1112</v>
      </c>
      <c r="AG160" s="8">
        <v>2.0653000000000001</v>
      </c>
      <c r="AH160" s="8">
        <v>2.0512999999999999</v>
      </c>
      <c r="AI160" s="8">
        <v>2.0527000000000002</v>
      </c>
      <c r="AJ160" s="8">
        <v>2.0407999999999999</v>
      </c>
      <c r="AK160" s="8">
        <v>2.0459999999999998</v>
      </c>
      <c r="AL160" s="8">
        <v>2.0400999999999998</v>
      </c>
      <c r="AM160" s="8">
        <v>1.9681999999999999</v>
      </c>
      <c r="AN160" s="8">
        <v>1.9723999999999999</v>
      </c>
      <c r="AO160" s="8">
        <v>1.9770000000000001</v>
      </c>
      <c r="AP160" s="8">
        <v>1.9878</v>
      </c>
      <c r="AQ160" s="8">
        <v>2.0102000000000002</v>
      </c>
      <c r="AR160" s="8">
        <v>1.9787999999999999</v>
      </c>
      <c r="AS160" s="8">
        <v>2.0413999999999999</v>
      </c>
      <c r="AT160" s="8">
        <v>2.0417999999999998</v>
      </c>
      <c r="AU160" s="8">
        <v>2.0571999999999999</v>
      </c>
      <c r="AV160" s="8">
        <v>2.0430999999999999</v>
      </c>
      <c r="AW160" s="8">
        <v>2.0520999999999998</v>
      </c>
      <c r="AX160" s="8">
        <v>2.0289000000000001</v>
      </c>
      <c r="AY160" s="8">
        <v>2.0367999999999999</v>
      </c>
      <c r="AZ160" s="8">
        <v>2.0287999999999999</v>
      </c>
      <c r="BA160" s="8">
        <v>2.0255000000000001</v>
      </c>
      <c r="BB160" s="8">
        <v>2.0310999999999999</v>
      </c>
      <c r="BC160" s="8">
        <v>2.0284</v>
      </c>
      <c r="BD160" s="8">
        <v>1.9977</v>
      </c>
    </row>
    <row r="161" spans="2:56" s="13" customFormat="1" x14ac:dyDescent="0.3">
      <c r="B161" s="22">
        <f t="shared" si="64"/>
        <v>1120</v>
      </c>
      <c r="C161" s="40">
        <f t="shared" si="65"/>
        <v>19.49170326988769</v>
      </c>
      <c r="D161" s="40">
        <f t="shared" si="66"/>
        <v>18.740361151781393</v>
      </c>
      <c r="E161" s="40">
        <f t="shared" si="67"/>
        <v>27.16837481698381</v>
      </c>
      <c r="F161" s="40">
        <f t="shared" si="68"/>
        <v>26.619326500732175</v>
      </c>
      <c r="G161" s="40">
        <f t="shared" si="69"/>
        <v>29.802342606149196</v>
      </c>
      <c r="H161" s="40">
        <f t="shared" si="70"/>
        <v>28.20253782332858</v>
      </c>
      <c r="I161" s="40">
        <f t="shared" si="71"/>
        <v>56.808443142996644</v>
      </c>
      <c r="J161" s="40">
        <f t="shared" si="72"/>
        <v>54.961200585651419</v>
      </c>
      <c r="K161" s="40">
        <f t="shared" si="73"/>
        <v>46.110053684724278</v>
      </c>
      <c r="L161" s="40">
        <f t="shared" si="74"/>
        <v>47.97999023914106</v>
      </c>
      <c r="M161" s="40">
        <f t="shared" si="75"/>
        <v>36.96315275744255</v>
      </c>
      <c r="N161" s="40">
        <f t="shared" si="76"/>
        <v>33.010004880429378</v>
      </c>
      <c r="O161" s="40"/>
      <c r="P161" s="39">
        <f t="shared" si="77"/>
        <v>32.701073694485068</v>
      </c>
      <c r="Q161" s="39">
        <f t="shared" si="78"/>
        <v>30.244997559785222</v>
      </c>
      <c r="R161" s="39">
        <f t="shared" si="79"/>
        <v>30.433138116154254</v>
      </c>
      <c r="S161" s="39">
        <f t="shared" si="80"/>
        <v>31.520009760858976</v>
      </c>
      <c r="T161" s="39">
        <f t="shared" si="81"/>
        <v>31.530258662762478</v>
      </c>
      <c r="U161" s="39">
        <f t="shared" si="82"/>
        <v>26.416788677403588</v>
      </c>
      <c r="V161" s="39">
        <f t="shared" si="83"/>
        <v>34.346266471449454</v>
      </c>
      <c r="W161" s="39">
        <f t="shared" si="84"/>
        <v>37.769887750121974</v>
      </c>
      <c r="X161" s="39">
        <f t="shared" si="85"/>
        <v>34.275012201073885</v>
      </c>
      <c r="Y161" s="39">
        <f t="shared" si="86"/>
        <v>36.986822840409914</v>
      </c>
      <c r="Z161" s="39">
        <f t="shared" si="87"/>
        <v>36.999755978526139</v>
      </c>
      <c r="AA161" s="39">
        <f t="shared" si="88"/>
        <v>37.872132747681853</v>
      </c>
      <c r="AB161" s="38"/>
      <c r="AE161" s="15">
        <v>1.2962962962962963E-2</v>
      </c>
      <c r="AF161" s="14">
        <f t="shared" si="89"/>
        <v>1120</v>
      </c>
      <c r="AG161" s="8">
        <v>2.0644</v>
      </c>
      <c r="AH161" s="8">
        <v>2.0507</v>
      </c>
      <c r="AI161" s="8">
        <v>2.0508000000000002</v>
      </c>
      <c r="AJ161" s="8">
        <v>2.0396999999999998</v>
      </c>
      <c r="AK161" s="8">
        <v>2.0434000000000001</v>
      </c>
      <c r="AL161" s="8">
        <v>2.0406</v>
      </c>
      <c r="AM161" s="8">
        <v>1.968</v>
      </c>
      <c r="AN161" s="8">
        <v>1.9719</v>
      </c>
      <c r="AO161" s="8">
        <v>1.9759</v>
      </c>
      <c r="AP161" s="8">
        <v>1.9863999999999999</v>
      </c>
      <c r="AQ161" s="8">
        <v>2.0091000000000001</v>
      </c>
      <c r="AR161" s="8">
        <v>1.9776</v>
      </c>
      <c r="AS161" s="8">
        <v>2.0417999999999998</v>
      </c>
      <c r="AT161" s="8">
        <v>2.0427</v>
      </c>
      <c r="AU161" s="8">
        <v>2.0566</v>
      </c>
      <c r="AV161" s="8">
        <v>2.0461999999999998</v>
      </c>
      <c r="AW161" s="8">
        <v>2.0503</v>
      </c>
      <c r="AX161" s="8">
        <v>2.0301</v>
      </c>
      <c r="AY161" s="8">
        <v>2.0344000000000002</v>
      </c>
      <c r="AZ161" s="8">
        <v>2.0274999999999999</v>
      </c>
      <c r="BA161" s="8">
        <v>2.0246</v>
      </c>
      <c r="BB161" s="8">
        <v>2.0293000000000001</v>
      </c>
      <c r="BC161" s="8">
        <v>2.0293999999999999</v>
      </c>
      <c r="BD161" s="8">
        <v>1.9982</v>
      </c>
    </row>
    <row r="162" spans="2:56" s="13" customFormat="1" x14ac:dyDescent="0.3">
      <c r="B162" s="22">
        <f t="shared" si="64"/>
        <v>1128</v>
      </c>
      <c r="C162" s="40">
        <f t="shared" si="65"/>
        <v>19.979746217667042</v>
      </c>
      <c r="D162" s="40">
        <f t="shared" si="66"/>
        <v>18.496339677891608</v>
      </c>
      <c r="E162" s="40">
        <f t="shared" si="67"/>
        <v>27.412396290873595</v>
      </c>
      <c r="F162" s="40">
        <f t="shared" si="68"/>
        <v>25.740849194729126</v>
      </c>
      <c r="G162" s="40">
        <f t="shared" si="69"/>
        <v>29.07027818448006</v>
      </c>
      <c r="H162" s="40">
        <f t="shared" si="70"/>
        <v>28.397755002440316</v>
      </c>
      <c r="I162" s="40">
        <f t="shared" si="71"/>
        <v>57.882137628111323</v>
      </c>
      <c r="J162" s="40">
        <f t="shared" si="72"/>
        <v>55.888482186432292</v>
      </c>
      <c r="K162" s="40">
        <f t="shared" si="73"/>
        <v>46.744509516837546</v>
      </c>
      <c r="L162" s="40">
        <f t="shared" si="74"/>
        <v>48.077598828696928</v>
      </c>
      <c r="M162" s="40">
        <f t="shared" si="75"/>
        <v>37.011957052220595</v>
      </c>
      <c r="N162" s="40">
        <f t="shared" si="76"/>
        <v>32.912396290873509</v>
      </c>
      <c r="O162" s="40"/>
      <c r="P162" s="39">
        <f t="shared" si="77"/>
        <v>33.433138116154204</v>
      </c>
      <c r="Q162" s="39">
        <f t="shared" si="78"/>
        <v>31.123474865788047</v>
      </c>
      <c r="R162" s="39">
        <f t="shared" si="79"/>
        <v>30.823572474377738</v>
      </c>
      <c r="S162" s="39">
        <f t="shared" si="80"/>
        <v>30.787945339189843</v>
      </c>
      <c r="T162" s="39">
        <f t="shared" si="81"/>
        <v>31.237432894094866</v>
      </c>
      <c r="U162" s="39">
        <f t="shared" si="82"/>
        <v>27.978526110297729</v>
      </c>
      <c r="V162" s="39">
        <f t="shared" si="83"/>
        <v>34.395070766227491</v>
      </c>
      <c r="W162" s="39">
        <f t="shared" si="84"/>
        <v>37.477061981454362</v>
      </c>
      <c r="X162" s="39">
        <f t="shared" si="85"/>
        <v>33.933382137628229</v>
      </c>
      <c r="Y162" s="39">
        <f t="shared" si="86"/>
        <v>36.645192776964478</v>
      </c>
      <c r="Z162" s="39">
        <f t="shared" si="87"/>
        <v>37.487798926305494</v>
      </c>
      <c r="AA162" s="39">
        <f t="shared" si="88"/>
        <v>38.213762811127395</v>
      </c>
      <c r="AB162" s="38"/>
      <c r="AE162" s="15">
        <v>1.3055555555555556E-2</v>
      </c>
      <c r="AF162" s="14">
        <f t="shared" si="89"/>
        <v>1128</v>
      </c>
      <c r="AG162" s="8">
        <v>2.0634000000000001</v>
      </c>
      <c r="AH162" s="8">
        <v>2.0512000000000001</v>
      </c>
      <c r="AI162" s="8">
        <v>2.0503</v>
      </c>
      <c r="AJ162" s="8">
        <v>2.0415000000000001</v>
      </c>
      <c r="AK162" s="8">
        <v>2.0449000000000002</v>
      </c>
      <c r="AL162" s="8">
        <v>2.0402</v>
      </c>
      <c r="AM162" s="8">
        <v>1.9658</v>
      </c>
      <c r="AN162" s="8">
        <v>1.97</v>
      </c>
      <c r="AO162" s="8">
        <v>1.9745999999999999</v>
      </c>
      <c r="AP162" s="8">
        <v>1.9862</v>
      </c>
      <c r="AQ162" s="8">
        <v>2.0089999999999999</v>
      </c>
      <c r="AR162" s="8">
        <v>1.9778</v>
      </c>
      <c r="AS162" s="8">
        <v>2.0402999999999998</v>
      </c>
      <c r="AT162" s="8">
        <v>2.0409000000000002</v>
      </c>
      <c r="AU162" s="8">
        <v>2.0558000000000001</v>
      </c>
      <c r="AV162" s="8">
        <v>2.0476999999999999</v>
      </c>
      <c r="AW162" s="8">
        <v>2.0508999999999999</v>
      </c>
      <c r="AX162" s="8">
        <v>2.0268999999999999</v>
      </c>
      <c r="AY162" s="8">
        <v>2.0343</v>
      </c>
      <c r="AZ162" s="8">
        <v>2.0280999999999998</v>
      </c>
      <c r="BA162" s="8">
        <v>2.0253000000000001</v>
      </c>
      <c r="BB162" s="8">
        <v>2.0299999999999998</v>
      </c>
      <c r="BC162" s="8">
        <v>2.0284</v>
      </c>
      <c r="BD162" s="8">
        <v>1.9975000000000001</v>
      </c>
    </row>
    <row r="163" spans="2:56" s="13" customFormat="1" x14ac:dyDescent="0.3">
      <c r="B163" s="22">
        <f t="shared" si="64"/>
        <v>1136</v>
      </c>
      <c r="C163" s="40">
        <f t="shared" si="65"/>
        <v>19.29648609077595</v>
      </c>
      <c r="D163" s="40">
        <f t="shared" si="66"/>
        <v>19.130795510004873</v>
      </c>
      <c r="E163" s="40">
        <f t="shared" si="67"/>
        <v>27.265983406539679</v>
      </c>
      <c r="F163" s="40">
        <f t="shared" si="68"/>
        <v>26.424109321620438</v>
      </c>
      <c r="G163" s="40">
        <f t="shared" si="69"/>
        <v>29.753538311371372</v>
      </c>
      <c r="H163" s="40">
        <f t="shared" si="70"/>
        <v>28.7881893606638</v>
      </c>
      <c r="I163" s="40">
        <f t="shared" si="71"/>
        <v>57.540507564665781</v>
      </c>
      <c r="J163" s="40">
        <f t="shared" si="72"/>
        <v>55.98609077598816</v>
      </c>
      <c r="K163" s="40">
        <f t="shared" si="73"/>
        <v>46.06124938994634</v>
      </c>
      <c r="L163" s="40">
        <f t="shared" si="74"/>
        <v>48.468033186920415</v>
      </c>
      <c r="M163" s="40">
        <f t="shared" si="75"/>
        <v>37.060761346998419</v>
      </c>
      <c r="N163" s="40">
        <f t="shared" si="76"/>
        <v>33.156417764763184</v>
      </c>
      <c r="O163" s="40"/>
      <c r="P163" s="39">
        <f t="shared" si="77"/>
        <v>33.042703757930511</v>
      </c>
      <c r="Q163" s="39">
        <f t="shared" si="78"/>
        <v>31.123474865788047</v>
      </c>
      <c r="R163" s="39">
        <f t="shared" si="79"/>
        <v>30.38433382137621</v>
      </c>
      <c r="S163" s="39">
        <f t="shared" si="80"/>
        <v>31.422401171302887</v>
      </c>
      <c r="T163" s="39">
        <f t="shared" si="81"/>
        <v>31.774280136652262</v>
      </c>
      <c r="U163" s="39">
        <f t="shared" si="82"/>
        <v>26.465592972181632</v>
      </c>
      <c r="V163" s="39">
        <f t="shared" si="83"/>
        <v>33.077354807223138</v>
      </c>
      <c r="W163" s="39">
        <f t="shared" si="84"/>
        <v>37.281844802342405</v>
      </c>
      <c r="X163" s="39">
        <f t="shared" si="85"/>
        <v>34.030990727184097</v>
      </c>
      <c r="Y163" s="39">
        <f t="shared" si="86"/>
        <v>36.40117130307469</v>
      </c>
      <c r="Z163" s="39">
        <f t="shared" si="87"/>
        <v>38.854319180087892</v>
      </c>
      <c r="AA163" s="39">
        <f t="shared" si="88"/>
        <v>37.969741337237721</v>
      </c>
      <c r="AB163" s="38"/>
      <c r="AE163" s="15">
        <v>1.3148148148148147E-2</v>
      </c>
      <c r="AF163" s="14">
        <f t="shared" si="89"/>
        <v>1136</v>
      </c>
      <c r="AG163" s="8">
        <v>2.0648</v>
      </c>
      <c r="AH163" s="8">
        <v>2.0499000000000001</v>
      </c>
      <c r="AI163" s="8">
        <v>2.0506000000000002</v>
      </c>
      <c r="AJ163" s="8">
        <v>2.0400999999999998</v>
      </c>
      <c r="AK163" s="8">
        <v>2.0434999999999999</v>
      </c>
      <c r="AL163" s="8">
        <v>2.0394000000000001</v>
      </c>
      <c r="AM163" s="8">
        <v>1.9664999999999999</v>
      </c>
      <c r="AN163" s="8">
        <v>1.9698</v>
      </c>
      <c r="AO163" s="8">
        <v>1.976</v>
      </c>
      <c r="AP163" s="8">
        <v>1.9854000000000001</v>
      </c>
      <c r="AQ163" s="8">
        <v>2.0089000000000001</v>
      </c>
      <c r="AR163" s="8">
        <v>1.9773000000000001</v>
      </c>
      <c r="AS163" s="8">
        <v>2.0411000000000001</v>
      </c>
      <c r="AT163" s="8">
        <v>2.0409000000000002</v>
      </c>
      <c r="AU163" s="8">
        <v>2.0567000000000002</v>
      </c>
      <c r="AV163" s="8">
        <v>2.0464000000000002</v>
      </c>
      <c r="AW163" s="8">
        <v>2.0497999999999998</v>
      </c>
      <c r="AX163" s="8">
        <v>2.0299999999999998</v>
      </c>
      <c r="AY163" s="8">
        <v>2.0369999999999999</v>
      </c>
      <c r="AZ163" s="8">
        <v>2.0285000000000002</v>
      </c>
      <c r="BA163" s="8">
        <v>2.0251000000000001</v>
      </c>
      <c r="BB163" s="8">
        <v>2.0305</v>
      </c>
      <c r="BC163" s="8">
        <v>2.0255999999999998</v>
      </c>
      <c r="BD163" s="8">
        <v>1.998</v>
      </c>
    </row>
    <row r="164" spans="2:56" s="13" customFormat="1" x14ac:dyDescent="0.3">
      <c r="B164" s="22">
        <f t="shared" si="64"/>
        <v>1144</v>
      </c>
      <c r="C164" s="40">
        <f t="shared" si="65"/>
        <v>19.735724743777475</v>
      </c>
      <c r="D164" s="40">
        <f t="shared" si="66"/>
        <v>18.252318204002041</v>
      </c>
      <c r="E164" s="40">
        <f t="shared" si="67"/>
        <v>27.217179111761855</v>
      </c>
      <c r="F164" s="40">
        <f t="shared" si="68"/>
        <v>26.033674963396738</v>
      </c>
      <c r="G164" s="40">
        <f t="shared" si="69"/>
        <v>29.6559297218155</v>
      </c>
      <c r="H164" s="40">
        <f t="shared" si="70"/>
        <v>28.446559297218361</v>
      </c>
      <c r="I164" s="40">
        <f t="shared" si="71"/>
        <v>57.003660322108388</v>
      </c>
      <c r="J164" s="40">
        <f t="shared" si="72"/>
        <v>56.52293801854556</v>
      </c>
      <c r="K164" s="40">
        <f t="shared" si="73"/>
        <v>46.646900927281571</v>
      </c>
      <c r="L164" s="40">
        <f t="shared" si="74"/>
        <v>48.760858955588134</v>
      </c>
      <c r="M164" s="40">
        <f t="shared" si="75"/>
        <v>37.548804294777987</v>
      </c>
      <c r="N164" s="40">
        <f t="shared" si="76"/>
        <v>33.107613469985246</v>
      </c>
      <c r="O164" s="40"/>
      <c r="P164" s="39">
        <f t="shared" si="77"/>
        <v>33.237920937042247</v>
      </c>
      <c r="Q164" s="39">
        <f t="shared" si="78"/>
        <v>30.87945339189848</v>
      </c>
      <c r="R164" s="39">
        <f t="shared" si="79"/>
        <v>31.506832601269043</v>
      </c>
      <c r="S164" s="39">
        <f t="shared" si="80"/>
        <v>31.080771107857451</v>
      </c>
      <c r="T164" s="39">
        <f t="shared" si="81"/>
        <v>30.993411420205081</v>
      </c>
      <c r="U164" s="39">
        <f t="shared" si="82"/>
        <v>27.148853099072724</v>
      </c>
      <c r="V164" s="39">
        <f t="shared" si="83"/>
        <v>34.248657881893585</v>
      </c>
      <c r="W164" s="39">
        <f t="shared" si="84"/>
        <v>37.818692044899798</v>
      </c>
      <c r="X164" s="39">
        <f t="shared" si="85"/>
        <v>34.128599316739972</v>
      </c>
      <c r="Y164" s="39">
        <f t="shared" si="86"/>
        <v>36.889214250854046</v>
      </c>
      <c r="Z164" s="39">
        <f t="shared" si="87"/>
        <v>38.219863347974631</v>
      </c>
      <c r="AA164" s="39">
        <f t="shared" si="88"/>
        <v>38.555392874573052</v>
      </c>
      <c r="AB164" s="38"/>
      <c r="AE164" s="15">
        <v>1.324074074074074E-2</v>
      </c>
      <c r="AF164" s="14">
        <f t="shared" si="89"/>
        <v>1144</v>
      </c>
      <c r="AG164" s="8">
        <v>2.0638999999999998</v>
      </c>
      <c r="AH164" s="8">
        <v>2.0516999999999999</v>
      </c>
      <c r="AI164" s="8">
        <v>2.0507</v>
      </c>
      <c r="AJ164" s="8">
        <v>2.0409000000000002</v>
      </c>
      <c r="AK164" s="8">
        <v>2.0436999999999999</v>
      </c>
      <c r="AL164" s="8">
        <v>2.0400999999999998</v>
      </c>
      <c r="AM164" s="8">
        <v>1.9676</v>
      </c>
      <c r="AN164" s="8">
        <v>1.9686999999999999</v>
      </c>
      <c r="AO164" s="8">
        <v>1.9748000000000001</v>
      </c>
      <c r="AP164" s="8">
        <v>1.9847999999999999</v>
      </c>
      <c r="AQ164" s="8">
        <v>2.0078999999999998</v>
      </c>
      <c r="AR164" s="8">
        <v>1.9774</v>
      </c>
      <c r="AS164" s="8">
        <v>2.0407000000000002</v>
      </c>
      <c r="AT164" s="8">
        <v>2.0413999999999999</v>
      </c>
      <c r="AU164" s="8">
        <v>2.0543999999999998</v>
      </c>
      <c r="AV164" s="8">
        <v>2.0470999999999999</v>
      </c>
      <c r="AW164" s="8">
        <v>2.0514000000000001</v>
      </c>
      <c r="AX164" s="8">
        <v>2.0286</v>
      </c>
      <c r="AY164" s="8">
        <v>2.0346000000000002</v>
      </c>
      <c r="AZ164" s="8">
        <v>2.0274000000000001</v>
      </c>
      <c r="BA164" s="8">
        <v>2.0249000000000001</v>
      </c>
      <c r="BB164" s="8">
        <v>2.0295000000000001</v>
      </c>
      <c r="BC164" s="8">
        <v>2.0268999999999999</v>
      </c>
      <c r="BD164" s="8">
        <v>1.9967999999999999</v>
      </c>
    </row>
    <row r="165" spans="2:56" s="13" customFormat="1" x14ac:dyDescent="0.3">
      <c r="B165" s="22">
        <f t="shared" si="64"/>
        <v>1152</v>
      </c>
      <c r="C165" s="40">
        <f t="shared" si="65"/>
        <v>19.88213762811117</v>
      </c>
      <c r="D165" s="40">
        <f t="shared" si="66"/>
        <v>19.472425573450526</v>
      </c>
      <c r="E165" s="40">
        <f t="shared" si="67"/>
        <v>26.924353343094243</v>
      </c>
      <c r="F165" s="40">
        <f t="shared" si="68"/>
        <v>26.668130795510006</v>
      </c>
      <c r="G165" s="40">
        <f t="shared" si="69"/>
        <v>29.753538311371372</v>
      </c>
      <c r="H165" s="40">
        <f t="shared" si="70"/>
        <v>29.081015129331409</v>
      </c>
      <c r="I165" s="40">
        <f t="shared" si="71"/>
        <v>57.345290385553938</v>
      </c>
      <c r="J165" s="40">
        <f t="shared" si="72"/>
        <v>56.669350902879359</v>
      </c>
      <c r="K165" s="40">
        <f t="shared" si="73"/>
        <v>47.818204001952225</v>
      </c>
      <c r="L165" s="40">
        <f t="shared" si="74"/>
        <v>48.419228892142478</v>
      </c>
      <c r="M165" s="40">
        <f t="shared" si="75"/>
        <v>37.646412884333856</v>
      </c>
      <c r="N165" s="40">
        <f t="shared" si="76"/>
        <v>33.058809175207315</v>
      </c>
      <c r="O165" s="40"/>
      <c r="P165" s="39">
        <f t="shared" si="77"/>
        <v>33.140312347486379</v>
      </c>
      <c r="Q165" s="39">
        <f t="shared" si="78"/>
        <v>31.221083455343926</v>
      </c>
      <c r="R165" s="39">
        <f t="shared" si="79"/>
        <v>31.458028306490998</v>
      </c>
      <c r="S165" s="39">
        <f t="shared" si="80"/>
        <v>31.373596876525067</v>
      </c>
      <c r="T165" s="39">
        <f t="shared" si="81"/>
        <v>31.725475841874218</v>
      </c>
      <c r="U165" s="39">
        <f t="shared" si="82"/>
        <v>26.660810151293372</v>
      </c>
      <c r="V165" s="39">
        <f t="shared" si="83"/>
        <v>34.248657881893585</v>
      </c>
      <c r="W165" s="39">
        <f t="shared" si="84"/>
        <v>37.672279160566099</v>
      </c>
      <c r="X165" s="39">
        <f t="shared" si="85"/>
        <v>34.079795021962148</v>
      </c>
      <c r="Y165" s="39">
        <f t="shared" si="86"/>
        <v>38.011713030746655</v>
      </c>
      <c r="Z165" s="39">
        <f t="shared" si="87"/>
        <v>39.244753538311372</v>
      </c>
      <c r="AA165" s="39">
        <f t="shared" si="88"/>
        <v>38.408979990239132</v>
      </c>
      <c r="AB165" s="38"/>
      <c r="AE165" s="15">
        <v>1.3333333333333334E-2</v>
      </c>
      <c r="AF165" s="14">
        <f t="shared" si="89"/>
        <v>1152</v>
      </c>
      <c r="AG165" s="8">
        <v>2.0636000000000001</v>
      </c>
      <c r="AH165" s="8">
        <v>2.0491999999999999</v>
      </c>
      <c r="AI165" s="8">
        <v>2.0512999999999999</v>
      </c>
      <c r="AJ165" s="8">
        <v>2.0396000000000001</v>
      </c>
      <c r="AK165" s="8">
        <v>2.0434999999999999</v>
      </c>
      <c r="AL165" s="8">
        <v>2.0388000000000002</v>
      </c>
      <c r="AM165" s="8">
        <v>1.9669000000000001</v>
      </c>
      <c r="AN165" s="8">
        <v>1.9683999999999999</v>
      </c>
      <c r="AO165" s="8">
        <v>1.9723999999999999</v>
      </c>
      <c r="AP165" s="8">
        <v>1.9855</v>
      </c>
      <c r="AQ165" s="8">
        <v>2.0076999999999998</v>
      </c>
      <c r="AR165" s="8">
        <v>1.9775</v>
      </c>
      <c r="AS165" s="8">
        <v>2.0409000000000002</v>
      </c>
      <c r="AT165" s="8">
        <v>2.0407000000000002</v>
      </c>
      <c r="AU165" s="8">
        <v>2.0545</v>
      </c>
      <c r="AV165" s="8">
        <v>2.0465</v>
      </c>
      <c r="AW165" s="8">
        <v>2.0499000000000001</v>
      </c>
      <c r="AX165" s="8">
        <v>2.0295999999999998</v>
      </c>
      <c r="AY165" s="8">
        <v>2.0346000000000002</v>
      </c>
      <c r="AZ165" s="8">
        <v>2.0276999999999998</v>
      </c>
      <c r="BA165" s="8">
        <v>2.0249999999999999</v>
      </c>
      <c r="BB165" s="8">
        <v>2.0272000000000001</v>
      </c>
      <c r="BC165" s="8">
        <v>2.0247999999999999</v>
      </c>
      <c r="BD165" s="8">
        <v>1.9971000000000001</v>
      </c>
    </row>
    <row r="166" spans="2:56" s="13" customFormat="1" x14ac:dyDescent="0.3">
      <c r="B166" s="22">
        <f t="shared" si="64"/>
        <v>1160</v>
      </c>
      <c r="C166" s="40">
        <f t="shared" si="65"/>
        <v>20.028550512445083</v>
      </c>
      <c r="D166" s="40">
        <f t="shared" si="66"/>
        <v>18.886774036115305</v>
      </c>
      <c r="E166" s="40">
        <f t="shared" si="67"/>
        <v>26.924353343094243</v>
      </c>
      <c r="F166" s="40">
        <f t="shared" si="68"/>
        <v>26.082479258174786</v>
      </c>
      <c r="G166" s="40">
        <f t="shared" si="69"/>
        <v>30.143972669594852</v>
      </c>
      <c r="H166" s="40">
        <f t="shared" si="70"/>
        <v>29.520253782332933</v>
      </c>
      <c r="I166" s="40">
        <f t="shared" si="71"/>
        <v>57.394094680331868</v>
      </c>
      <c r="J166" s="40">
        <f t="shared" si="72"/>
        <v>57.157393850658714</v>
      </c>
      <c r="K166" s="40">
        <f t="shared" si="73"/>
        <v>47.086139580283088</v>
      </c>
      <c r="L166" s="40">
        <f t="shared" si="74"/>
        <v>47.931185944363129</v>
      </c>
      <c r="M166" s="40">
        <f t="shared" si="75"/>
        <v>37.890434358223423</v>
      </c>
      <c r="N166" s="40">
        <f t="shared" si="76"/>
        <v>33.986090775988188</v>
      </c>
      <c r="O166" s="40"/>
      <c r="P166" s="39">
        <f t="shared" si="77"/>
        <v>33.872376769155508</v>
      </c>
      <c r="Q166" s="39">
        <f t="shared" si="78"/>
        <v>31.709126403123488</v>
      </c>
      <c r="R166" s="39">
        <f t="shared" si="79"/>
        <v>31.799658369936651</v>
      </c>
      <c r="S166" s="39">
        <f t="shared" si="80"/>
        <v>31.080771107857451</v>
      </c>
      <c r="T166" s="39">
        <f t="shared" si="81"/>
        <v>31.627867252318346</v>
      </c>
      <c r="U166" s="39">
        <f t="shared" si="82"/>
        <v>26.51439726695946</v>
      </c>
      <c r="V166" s="39">
        <f t="shared" si="83"/>
        <v>35.615178135675983</v>
      </c>
      <c r="W166" s="39">
        <f t="shared" si="84"/>
        <v>38.013909224011542</v>
      </c>
      <c r="X166" s="39">
        <f t="shared" si="85"/>
        <v>34.177403611518017</v>
      </c>
      <c r="Y166" s="39">
        <f t="shared" si="86"/>
        <v>38.987798926305572</v>
      </c>
      <c r="Z166" s="39">
        <f t="shared" si="87"/>
        <v>38.512689116642235</v>
      </c>
      <c r="AA166" s="39">
        <f t="shared" si="88"/>
        <v>37.579306979014241</v>
      </c>
      <c r="AB166" s="38"/>
      <c r="AE166" s="15">
        <v>1.3425925925925924E-2</v>
      </c>
      <c r="AF166" s="14">
        <f t="shared" si="89"/>
        <v>1160</v>
      </c>
      <c r="AG166" s="8">
        <v>2.0632999999999999</v>
      </c>
      <c r="AH166" s="8">
        <v>2.0503999999999998</v>
      </c>
      <c r="AI166" s="8">
        <v>2.0512999999999999</v>
      </c>
      <c r="AJ166" s="8">
        <v>2.0407999999999999</v>
      </c>
      <c r="AK166" s="8">
        <v>2.0427</v>
      </c>
      <c r="AL166" s="8">
        <v>2.0379</v>
      </c>
      <c r="AM166" s="8">
        <v>1.9668000000000001</v>
      </c>
      <c r="AN166" s="8">
        <v>1.9674</v>
      </c>
      <c r="AO166" s="8">
        <v>1.9739</v>
      </c>
      <c r="AP166" s="8">
        <v>1.9864999999999999</v>
      </c>
      <c r="AQ166" s="8">
        <v>2.0072000000000001</v>
      </c>
      <c r="AR166" s="8">
        <v>1.9756</v>
      </c>
      <c r="AS166" s="8">
        <v>2.0394000000000001</v>
      </c>
      <c r="AT166" s="8">
        <v>2.0396999999999998</v>
      </c>
      <c r="AU166" s="8">
        <v>2.0537999999999998</v>
      </c>
      <c r="AV166" s="8">
        <v>2.0470999999999999</v>
      </c>
      <c r="AW166" s="8">
        <v>2.0501</v>
      </c>
      <c r="AX166" s="8">
        <v>2.0299</v>
      </c>
      <c r="AY166" s="8">
        <v>2.0318000000000001</v>
      </c>
      <c r="AZ166" s="8">
        <v>2.0270000000000001</v>
      </c>
      <c r="BA166" s="8">
        <v>2.0247999999999999</v>
      </c>
      <c r="BB166" s="8">
        <v>2.0251999999999999</v>
      </c>
      <c r="BC166" s="8">
        <v>2.0263</v>
      </c>
      <c r="BD166" s="8">
        <v>1.9987999999999999</v>
      </c>
    </row>
    <row r="167" spans="2:56" s="13" customFormat="1" x14ac:dyDescent="0.3">
      <c r="B167" s="22">
        <f t="shared" si="64"/>
        <v>1168</v>
      </c>
      <c r="C167" s="40">
        <f t="shared" si="65"/>
        <v>19.784529038555299</v>
      </c>
      <c r="D167" s="40">
        <f t="shared" si="66"/>
        <v>18.642752562225521</v>
      </c>
      <c r="E167" s="40">
        <f t="shared" si="67"/>
        <v>26.97315763787207</v>
      </c>
      <c r="F167" s="40">
        <f t="shared" si="68"/>
        <v>27.253782332845226</v>
      </c>
      <c r="G167" s="40">
        <f t="shared" si="69"/>
        <v>29.997559785260936</v>
      </c>
      <c r="H167" s="40">
        <f t="shared" si="70"/>
        <v>29.520253782332933</v>
      </c>
      <c r="I167" s="40">
        <f t="shared" si="71"/>
        <v>57.345290385553938</v>
      </c>
      <c r="J167" s="40">
        <f t="shared" si="72"/>
        <v>57.206198145436652</v>
      </c>
      <c r="K167" s="40">
        <f t="shared" si="73"/>
        <v>47.671791117618419</v>
      </c>
      <c r="L167" s="40">
        <f t="shared" si="74"/>
        <v>48.858467545144002</v>
      </c>
      <c r="M167" s="40">
        <f t="shared" si="75"/>
        <v>37.304782820888207</v>
      </c>
      <c r="N167" s="40">
        <f t="shared" si="76"/>
        <v>33.839677891654382</v>
      </c>
      <c r="O167" s="40"/>
      <c r="P167" s="39">
        <f t="shared" si="77"/>
        <v>33.823572474377684</v>
      </c>
      <c r="Q167" s="39">
        <f t="shared" si="78"/>
        <v>31.806734992679363</v>
      </c>
      <c r="R167" s="39">
        <f t="shared" si="79"/>
        <v>31.214006832601214</v>
      </c>
      <c r="S167" s="39">
        <f t="shared" si="80"/>
        <v>32.008052708638324</v>
      </c>
      <c r="T167" s="39">
        <f t="shared" si="81"/>
        <v>32.555148853099219</v>
      </c>
      <c r="U167" s="39">
        <f t="shared" si="82"/>
        <v>26.856027330405112</v>
      </c>
      <c r="V167" s="39">
        <f t="shared" si="83"/>
        <v>34.639092240117279</v>
      </c>
      <c r="W167" s="39">
        <f t="shared" si="84"/>
        <v>38.062713518789579</v>
      </c>
      <c r="X167" s="39">
        <f t="shared" si="85"/>
        <v>35.202293801854758</v>
      </c>
      <c r="Y167" s="39">
        <f t="shared" si="86"/>
        <v>37.133235724743827</v>
      </c>
      <c r="Z167" s="39">
        <f t="shared" si="87"/>
        <v>38.02464616886288</v>
      </c>
      <c r="AA167" s="39">
        <f t="shared" si="88"/>
        <v>38.897022938018594</v>
      </c>
      <c r="AB167" s="38"/>
      <c r="AE167" s="15">
        <v>1.3518518518518518E-2</v>
      </c>
      <c r="AF167" s="14">
        <f t="shared" si="89"/>
        <v>1168</v>
      </c>
      <c r="AG167" s="8">
        <v>2.0638000000000001</v>
      </c>
      <c r="AH167" s="8">
        <v>2.0508999999999999</v>
      </c>
      <c r="AI167" s="8">
        <v>2.0512000000000001</v>
      </c>
      <c r="AJ167" s="8">
        <v>2.0384000000000002</v>
      </c>
      <c r="AK167" s="8">
        <v>2.0430000000000001</v>
      </c>
      <c r="AL167" s="8">
        <v>2.0379</v>
      </c>
      <c r="AM167" s="8">
        <v>1.9669000000000001</v>
      </c>
      <c r="AN167" s="8">
        <v>1.9673</v>
      </c>
      <c r="AO167" s="8">
        <v>1.9726999999999999</v>
      </c>
      <c r="AP167" s="8">
        <v>1.9845999999999999</v>
      </c>
      <c r="AQ167" s="8">
        <v>2.0084</v>
      </c>
      <c r="AR167" s="8">
        <v>1.9759</v>
      </c>
      <c r="AS167" s="8">
        <v>2.0394999999999999</v>
      </c>
      <c r="AT167" s="8">
        <v>2.0394999999999999</v>
      </c>
      <c r="AU167" s="8">
        <v>2.0550000000000002</v>
      </c>
      <c r="AV167" s="8">
        <v>2.0451999999999999</v>
      </c>
      <c r="AW167" s="8">
        <v>2.0482</v>
      </c>
      <c r="AX167" s="8">
        <v>2.0291999999999999</v>
      </c>
      <c r="AY167" s="8">
        <v>2.0337999999999998</v>
      </c>
      <c r="AZ167" s="8">
        <v>2.0268999999999999</v>
      </c>
      <c r="BA167" s="8">
        <v>2.0226999999999999</v>
      </c>
      <c r="BB167" s="8">
        <v>2.0289999999999999</v>
      </c>
      <c r="BC167" s="8">
        <v>2.0272999999999999</v>
      </c>
      <c r="BD167" s="8">
        <v>1.9961</v>
      </c>
    </row>
    <row r="168" spans="2:56" s="13" customFormat="1" x14ac:dyDescent="0.3">
      <c r="B168" s="22">
        <f t="shared" si="64"/>
        <v>1176</v>
      </c>
      <c r="C168" s="40">
        <f t="shared" si="65"/>
        <v>19.784529038555299</v>
      </c>
      <c r="D168" s="40">
        <f t="shared" si="66"/>
        <v>18.496339677891608</v>
      </c>
      <c r="E168" s="40">
        <f t="shared" si="67"/>
        <v>25.948267447535326</v>
      </c>
      <c r="F168" s="40">
        <f t="shared" si="68"/>
        <v>27.888238164958491</v>
      </c>
      <c r="G168" s="40">
        <f t="shared" si="69"/>
        <v>29.6559297218155</v>
      </c>
      <c r="H168" s="40">
        <f t="shared" si="70"/>
        <v>29.276232308443149</v>
      </c>
      <c r="I168" s="40">
        <f t="shared" si="71"/>
        <v>57.345290385553938</v>
      </c>
      <c r="J168" s="40">
        <f t="shared" si="72"/>
        <v>58.523914104441118</v>
      </c>
      <c r="K168" s="40">
        <f t="shared" si="73"/>
        <v>48.257442654953643</v>
      </c>
      <c r="L168" s="40">
        <f t="shared" si="74"/>
        <v>49.053684724255746</v>
      </c>
      <c r="M168" s="40">
        <f t="shared" si="75"/>
        <v>38.036847242557343</v>
      </c>
      <c r="N168" s="40">
        <f t="shared" si="76"/>
        <v>33.742069302098514</v>
      </c>
      <c r="O168" s="40"/>
      <c r="P168" s="39">
        <f t="shared" si="77"/>
        <v>34.067593948267252</v>
      </c>
      <c r="Q168" s="39">
        <f t="shared" si="78"/>
        <v>31.806734992679363</v>
      </c>
      <c r="R168" s="39">
        <f t="shared" si="79"/>
        <v>31.16520253782339</v>
      </c>
      <c r="S168" s="39">
        <f t="shared" si="80"/>
        <v>31.617618350414851</v>
      </c>
      <c r="T168" s="39">
        <f t="shared" si="81"/>
        <v>32.018301610541833</v>
      </c>
      <c r="U168" s="39">
        <f t="shared" si="82"/>
        <v>27.539287457296204</v>
      </c>
      <c r="V168" s="39">
        <f t="shared" si="83"/>
        <v>34.395070766227491</v>
      </c>
      <c r="W168" s="39">
        <f t="shared" si="84"/>
        <v>38.355539287457191</v>
      </c>
      <c r="X168" s="39">
        <f t="shared" si="85"/>
        <v>35.153489507076721</v>
      </c>
      <c r="Y168" s="39">
        <f t="shared" si="86"/>
        <v>37.865300146412956</v>
      </c>
      <c r="Z168" s="39">
        <f t="shared" si="87"/>
        <v>38.219863347974631</v>
      </c>
      <c r="AA168" s="39">
        <f t="shared" si="88"/>
        <v>39.433870180575887</v>
      </c>
      <c r="AB168" s="38"/>
      <c r="AE168" s="15">
        <v>1.3611111111111114E-2</v>
      </c>
      <c r="AF168" s="14">
        <f t="shared" si="89"/>
        <v>1176</v>
      </c>
      <c r="AG168" s="8">
        <v>2.0638000000000001</v>
      </c>
      <c r="AH168" s="8">
        <v>2.0512000000000001</v>
      </c>
      <c r="AI168" s="8">
        <v>2.0533000000000001</v>
      </c>
      <c r="AJ168" s="8">
        <v>2.0371000000000001</v>
      </c>
      <c r="AK168" s="8">
        <v>2.0436999999999999</v>
      </c>
      <c r="AL168" s="8">
        <v>2.0384000000000002</v>
      </c>
      <c r="AM168" s="8">
        <v>1.9669000000000001</v>
      </c>
      <c r="AN168" s="8">
        <v>1.9645999999999999</v>
      </c>
      <c r="AO168" s="8">
        <v>1.9715</v>
      </c>
      <c r="AP168" s="8">
        <v>1.9842</v>
      </c>
      <c r="AQ168" s="8">
        <v>2.0068999999999999</v>
      </c>
      <c r="AR168" s="8">
        <v>1.9761</v>
      </c>
      <c r="AS168" s="8">
        <v>2.0390000000000001</v>
      </c>
      <c r="AT168" s="8">
        <v>2.0394999999999999</v>
      </c>
      <c r="AU168" s="8">
        <v>2.0550999999999999</v>
      </c>
      <c r="AV168" s="8">
        <v>2.0459999999999998</v>
      </c>
      <c r="AW168" s="8">
        <v>2.0493000000000001</v>
      </c>
      <c r="AX168" s="8">
        <v>2.0278</v>
      </c>
      <c r="AY168" s="8">
        <v>2.0343</v>
      </c>
      <c r="AZ168" s="8">
        <v>2.0263</v>
      </c>
      <c r="BA168" s="8">
        <v>2.0228000000000002</v>
      </c>
      <c r="BB168" s="8">
        <v>2.0274999999999999</v>
      </c>
      <c r="BC168" s="8">
        <v>2.0268999999999999</v>
      </c>
      <c r="BD168" s="8">
        <v>1.9950000000000001</v>
      </c>
    </row>
    <row r="169" spans="2:56" s="13" customFormat="1" x14ac:dyDescent="0.3">
      <c r="B169" s="22">
        <f t="shared" si="64"/>
        <v>1184</v>
      </c>
      <c r="C169" s="40">
        <f t="shared" si="65"/>
        <v>19.394094680331818</v>
      </c>
      <c r="D169" s="40">
        <f t="shared" si="66"/>
        <v>19.570034163006394</v>
      </c>
      <c r="E169" s="40">
        <f t="shared" si="67"/>
        <v>25.655441678867717</v>
      </c>
      <c r="F169" s="40">
        <f t="shared" si="68"/>
        <v>26.765739385065874</v>
      </c>
      <c r="G169" s="40">
        <f t="shared" si="69"/>
        <v>29.704734016593324</v>
      </c>
      <c r="H169" s="40">
        <f t="shared" si="70"/>
        <v>28.885797950219668</v>
      </c>
      <c r="I169" s="40">
        <f t="shared" si="71"/>
        <v>57.394094680331868</v>
      </c>
      <c r="J169" s="40">
        <f t="shared" si="72"/>
        <v>58.572718399219049</v>
      </c>
      <c r="K169" s="40">
        <f t="shared" si="73"/>
        <v>49.135919960956578</v>
      </c>
      <c r="L169" s="40">
        <f t="shared" si="74"/>
        <v>49.29770619814542</v>
      </c>
      <c r="M169" s="40">
        <f t="shared" si="75"/>
        <v>39.012933138116047</v>
      </c>
      <c r="N169" s="40">
        <f t="shared" si="76"/>
        <v>33.693265007320576</v>
      </c>
      <c r="O169" s="40"/>
      <c r="P169" s="39">
        <f t="shared" si="77"/>
        <v>33.872376769155508</v>
      </c>
      <c r="Q169" s="39">
        <f t="shared" si="78"/>
        <v>32.392386530014583</v>
      </c>
      <c r="R169" s="39">
        <f t="shared" si="79"/>
        <v>31.555636896046867</v>
      </c>
      <c r="S169" s="39">
        <f t="shared" si="80"/>
        <v>31.617618350414851</v>
      </c>
      <c r="T169" s="39">
        <f t="shared" si="81"/>
        <v>31.579062957540518</v>
      </c>
      <c r="U169" s="39">
        <f t="shared" si="82"/>
        <v>27.246461688628596</v>
      </c>
      <c r="V169" s="39">
        <f t="shared" si="83"/>
        <v>34.883113714006846</v>
      </c>
      <c r="W169" s="39">
        <f t="shared" si="84"/>
        <v>38.550756466568934</v>
      </c>
      <c r="X169" s="39">
        <f t="shared" si="85"/>
        <v>34.958272327964977</v>
      </c>
      <c r="Y169" s="39">
        <f t="shared" si="86"/>
        <v>37.084431429965782</v>
      </c>
      <c r="Z169" s="39">
        <f t="shared" si="87"/>
        <v>40.318448023425944</v>
      </c>
      <c r="AA169" s="39">
        <f t="shared" si="88"/>
        <v>38.945827232796532</v>
      </c>
      <c r="AB169" s="38"/>
      <c r="AE169" s="15">
        <v>1.3703703703703704E-2</v>
      </c>
      <c r="AF169" s="14">
        <f t="shared" si="89"/>
        <v>1184</v>
      </c>
      <c r="AG169" s="8">
        <v>2.0646</v>
      </c>
      <c r="AH169" s="8">
        <v>2.0489999999999999</v>
      </c>
      <c r="AI169" s="8">
        <v>2.0539000000000001</v>
      </c>
      <c r="AJ169" s="8">
        <v>2.0394000000000001</v>
      </c>
      <c r="AK169" s="8">
        <v>2.0436000000000001</v>
      </c>
      <c r="AL169" s="8">
        <v>2.0392000000000001</v>
      </c>
      <c r="AM169" s="8">
        <v>1.9668000000000001</v>
      </c>
      <c r="AN169" s="8">
        <v>1.9644999999999999</v>
      </c>
      <c r="AO169" s="8">
        <v>1.9697</v>
      </c>
      <c r="AP169" s="8">
        <v>1.9837</v>
      </c>
      <c r="AQ169" s="8">
        <v>2.0049000000000001</v>
      </c>
      <c r="AR169" s="8">
        <v>1.9762</v>
      </c>
      <c r="AS169" s="8">
        <v>2.0394000000000001</v>
      </c>
      <c r="AT169" s="8">
        <v>2.0383</v>
      </c>
      <c r="AU169" s="8">
        <v>2.0543</v>
      </c>
      <c r="AV169" s="8">
        <v>2.0459999999999998</v>
      </c>
      <c r="AW169" s="8">
        <v>2.0501999999999998</v>
      </c>
      <c r="AX169" s="8">
        <v>2.0284</v>
      </c>
      <c r="AY169" s="8">
        <v>2.0333000000000001</v>
      </c>
      <c r="AZ169" s="8">
        <v>2.0259</v>
      </c>
      <c r="BA169" s="8">
        <v>2.0232000000000001</v>
      </c>
      <c r="BB169" s="8">
        <v>2.0291000000000001</v>
      </c>
      <c r="BC169" s="8">
        <v>2.0226000000000002</v>
      </c>
      <c r="BD169" s="8">
        <v>1.996</v>
      </c>
    </row>
    <row r="170" spans="2:56" s="13" customFormat="1" x14ac:dyDescent="0.3">
      <c r="B170" s="22">
        <f t="shared" si="64"/>
        <v>1192</v>
      </c>
      <c r="C170" s="40">
        <f t="shared" si="65"/>
        <v>22.175939482674448</v>
      </c>
      <c r="D170" s="40">
        <f t="shared" si="66"/>
        <v>19.667642752562269</v>
      </c>
      <c r="E170" s="40">
        <f t="shared" si="67"/>
        <v>27.363591996095771</v>
      </c>
      <c r="F170" s="40">
        <f t="shared" si="68"/>
        <v>27.253782332845226</v>
      </c>
      <c r="G170" s="40">
        <f t="shared" si="69"/>
        <v>29.607125427037456</v>
      </c>
      <c r="H170" s="40">
        <f t="shared" si="70"/>
        <v>29.715470961444673</v>
      </c>
      <c r="I170" s="40">
        <f t="shared" si="71"/>
        <v>57.979746217667198</v>
      </c>
      <c r="J170" s="40">
        <f t="shared" si="72"/>
        <v>58.377501220107199</v>
      </c>
      <c r="K170" s="40">
        <f t="shared" si="73"/>
        <v>49.135919960956578</v>
      </c>
      <c r="L170" s="40">
        <f t="shared" si="74"/>
        <v>49.200097608589552</v>
      </c>
      <c r="M170" s="40">
        <f t="shared" si="75"/>
        <v>38.671303074670611</v>
      </c>
      <c r="N170" s="40">
        <f t="shared" si="76"/>
        <v>33.693265007320576</v>
      </c>
      <c r="O170" s="40"/>
      <c r="P170" s="39">
        <f t="shared" si="77"/>
        <v>33.628355295265948</v>
      </c>
      <c r="Q170" s="39">
        <f t="shared" si="78"/>
        <v>32.58760370912632</v>
      </c>
      <c r="R170" s="39">
        <f t="shared" si="79"/>
        <v>31.94607125427035</v>
      </c>
      <c r="S170" s="39">
        <f t="shared" si="80"/>
        <v>32.300878477305943</v>
      </c>
      <c r="T170" s="39">
        <f t="shared" si="81"/>
        <v>31.87188872620813</v>
      </c>
      <c r="U170" s="39">
        <f t="shared" si="82"/>
        <v>26.953635919960984</v>
      </c>
      <c r="V170" s="39">
        <f t="shared" si="83"/>
        <v>34.346266471449454</v>
      </c>
      <c r="W170" s="39">
        <f t="shared" si="84"/>
        <v>38.257930697901315</v>
      </c>
      <c r="X170" s="39">
        <f t="shared" si="85"/>
        <v>35.104685212298889</v>
      </c>
      <c r="Y170" s="39">
        <f t="shared" si="86"/>
        <v>37.621278672523182</v>
      </c>
      <c r="Z170" s="39">
        <f t="shared" si="87"/>
        <v>38.610297706198104</v>
      </c>
      <c r="AA170" s="39">
        <f t="shared" si="88"/>
        <v>38.750610053684795</v>
      </c>
      <c r="AB170" s="38"/>
      <c r="AE170" s="15">
        <v>1.3796296296296298E-2</v>
      </c>
      <c r="AF170" s="14">
        <f t="shared" si="89"/>
        <v>1192</v>
      </c>
      <c r="AG170" s="8">
        <v>2.0589</v>
      </c>
      <c r="AH170" s="8">
        <v>2.0488</v>
      </c>
      <c r="AI170" s="8">
        <v>2.0503999999999998</v>
      </c>
      <c r="AJ170" s="8">
        <v>2.0384000000000002</v>
      </c>
      <c r="AK170" s="8">
        <v>2.0438000000000001</v>
      </c>
      <c r="AL170" s="8">
        <v>2.0375000000000001</v>
      </c>
      <c r="AM170" s="8">
        <v>1.9656</v>
      </c>
      <c r="AN170" s="8">
        <v>1.9649000000000001</v>
      </c>
      <c r="AO170" s="8">
        <v>1.9697</v>
      </c>
      <c r="AP170" s="8">
        <v>1.9839</v>
      </c>
      <c r="AQ170" s="8">
        <v>2.0055999999999998</v>
      </c>
      <c r="AR170" s="8">
        <v>1.9762</v>
      </c>
      <c r="AS170" s="8">
        <v>2.0398999999999998</v>
      </c>
      <c r="AT170" s="8">
        <v>2.0379</v>
      </c>
      <c r="AU170" s="8">
        <v>2.0535000000000001</v>
      </c>
      <c r="AV170" s="8">
        <v>2.0446</v>
      </c>
      <c r="AW170" s="8">
        <v>2.0495999999999999</v>
      </c>
      <c r="AX170" s="8">
        <v>2.0289999999999999</v>
      </c>
      <c r="AY170" s="8">
        <v>2.0344000000000002</v>
      </c>
      <c r="AZ170" s="8">
        <v>2.0265</v>
      </c>
      <c r="BA170" s="8">
        <v>2.0228999999999999</v>
      </c>
      <c r="BB170" s="8">
        <v>2.028</v>
      </c>
      <c r="BC170" s="8">
        <v>2.0261</v>
      </c>
      <c r="BD170" s="8">
        <v>1.9964</v>
      </c>
    </row>
    <row r="171" spans="2:56" s="13" customFormat="1" x14ac:dyDescent="0.3">
      <c r="B171" s="22">
        <f t="shared" si="64"/>
        <v>1200</v>
      </c>
      <c r="C171" s="40">
        <f t="shared" si="65"/>
        <v>21.931918008784663</v>
      </c>
      <c r="D171" s="40">
        <f t="shared" si="66"/>
        <v>19.521229868228353</v>
      </c>
      <c r="E171" s="40">
        <f t="shared" si="67"/>
        <v>27.217179111761855</v>
      </c>
      <c r="F171" s="40">
        <f t="shared" si="68"/>
        <v>27.790629575402619</v>
      </c>
      <c r="G171" s="40">
        <f t="shared" si="69"/>
        <v>29.85114690092724</v>
      </c>
      <c r="H171" s="40">
        <f t="shared" si="70"/>
        <v>28.690580771107928</v>
      </c>
      <c r="I171" s="40">
        <f t="shared" si="71"/>
        <v>57.345290385553938</v>
      </c>
      <c r="J171" s="40">
        <f t="shared" si="72"/>
        <v>59.01195705222046</v>
      </c>
      <c r="K171" s="40">
        <f t="shared" si="73"/>
        <v>50.01439726695952</v>
      </c>
      <c r="L171" s="40">
        <f t="shared" si="74"/>
        <v>50.029770619814556</v>
      </c>
      <c r="M171" s="40">
        <f t="shared" si="75"/>
        <v>38.62249877989256</v>
      </c>
      <c r="N171" s="40">
        <f t="shared" si="76"/>
        <v>33.644460712542646</v>
      </c>
      <c r="O171" s="40"/>
      <c r="P171" s="39">
        <f t="shared" si="77"/>
        <v>33.77476817959964</v>
      </c>
      <c r="Q171" s="39">
        <f t="shared" si="78"/>
        <v>32.880429477793932</v>
      </c>
      <c r="R171" s="39">
        <f t="shared" si="79"/>
        <v>32.141288433382087</v>
      </c>
      <c r="S171" s="39">
        <f t="shared" si="80"/>
        <v>32.740117130307461</v>
      </c>
      <c r="T171" s="39">
        <f t="shared" si="81"/>
        <v>31.579062957540518</v>
      </c>
      <c r="U171" s="39">
        <f t="shared" si="82"/>
        <v>26.90483162518294</v>
      </c>
      <c r="V171" s="39">
        <f t="shared" si="83"/>
        <v>35.615178135675983</v>
      </c>
      <c r="W171" s="39">
        <f t="shared" si="84"/>
        <v>38.599560761346979</v>
      </c>
      <c r="X171" s="39">
        <f t="shared" si="85"/>
        <v>35.055880917520845</v>
      </c>
      <c r="Y171" s="39">
        <f t="shared" si="86"/>
        <v>37.5236700829673</v>
      </c>
      <c r="Z171" s="39">
        <f t="shared" si="87"/>
        <v>38.415080527086367</v>
      </c>
      <c r="AA171" s="39">
        <f t="shared" si="88"/>
        <v>38.408979990239132</v>
      </c>
      <c r="AB171" s="38"/>
      <c r="AE171" s="15">
        <v>1.3888888888888888E-2</v>
      </c>
      <c r="AF171" s="14">
        <f t="shared" si="89"/>
        <v>1200</v>
      </c>
      <c r="AG171" s="8">
        <v>2.0594000000000001</v>
      </c>
      <c r="AH171" s="8">
        <v>2.0491000000000001</v>
      </c>
      <c r="AI171" s="8">
        <v>2.0507</v>
      </c>
      <c r="AJ171" s="8">
        <v>2.0373000000000001</v>
      </c>
      <c r="AK171" s="8">
        <v>2.0432999999999999</v>
      </c>
      <c r="AL171" s="8">
        <v>2.0396000000000001</v>
      </c>
      <c r="AM171" s="8">
        <v>1.9669000000000001</v>
      </c>
      <c r="AN171" s="8">
        <v>1.9636</v>
      </c>
      <c r="AO171" s="8">
        <v>1.9679</v>
      </c>
      <c r="AP171" s="8">
        <v>1.9822</v>
      </c>
      <c r="AQ171" s="8">
        <v>2.0057</v>
      </c>
      <c r="AR171" s="8">
        <v>1.9762999999999999</v>
      </c>
      <c r="AS171" s="8">
        <v>2.0396000000000001</v>
      </c>
      <c r="AT171" s="8">
        <v>2.0373000000000001</v>
      </c>
      <c r="AU171" s="8">
        <v>2.0531000000000001</v>
      </c>
      <c r="AV171" s="8">
        <v>2.0436999999999999</v>
      </c>
      <c r="AW171" s="8">
        <v>2.0501999999999998</v>
      </c>
      <c r="AX171" s="8">
        <v>2.0291000000000001</v>
      </c>
      <c r="AY171" s="8">
        <v>2.0318000000000001</v>
      </c>
      <c r="AZ171" s="8">
        <v>2.0257999999999998</v>
      </c>
      <c r="BA171" s="8">
        <v>2.0230000000000001</v>
      </c>
      <c r="BB171" s="8">
        <v>2.0282</v>
      </c>
      <c r="BC171" s="8">
        <v>2.0265</v>
      </c>
      <c r="BD171" s="8">
        <v>1.9971000000000001</v>
      </c>
    </row>
    <row r="172" spans="2:56" s="13" customFormat="1" x14ac:dyDescent="0.3">
      <c r="B172" s="22">
        <f t="shared" si="64"/>
        <v>1208</v>
      </c>
      <c r="C172" s="40">
        <f t="shared" si="65"/>
        <v>22.32235236700814</v>
      </c>
      <c r="D172" s="40">
        <f t="shared" si="66"/>
        <v>19.765251342118138</v>
      </c>
      <c r="E172" s="40">
        <f t="shared" si="67"/>
        <v>28.534895070766211</v>
      </c>
      <c r="F172" s="40">
        <f t="shared" si="68"/>
        <v>27.497803806735007</v>
      </c>
      <c r="G172" s="40">
        <f t="shared" si="69"/>
        <v>28.923865300146364</v>
      </c>
      <c r="H172" s="40">
        <f t="shared" si="70"/>
        <v>29.373840897999237</v>
      </c>
      <c r="I172" s="40">
        <f t="shared" si="71"/>
        <v>57.784529038555455</v>
      </c>
      <c r="J172" s="40">
        <f t="shared" si="72"/>
        <v>60.671303074670469</v>
      </c>
      <c r="K172" s="40">
        <f t="shared" si="73"/>
        <v>50.60004880429485</v>
      </c>
      <c r="L172" s="40">
        <f t="shared" si="74"/>
        <v>49.29770619814542</v>
      </c>
      <c r="M172" s="40">
        <f t="shared" si="75"/>
        <v>38.62249877989256</v>
      </c>
      <c r="N172" s="40">
        <f t="shared" si="76"/>
        <v>34.181307955099925</v>
      </c>
      <c r="O172" s="40"/>
      <c r="P172" s="39">
        <f t="shared" si="77"/>
        <v>34.506832601268776</v>
      </c>
      <c r="Q172" s="39">
        <f t="shared" si="78"/>
        <v>32.001952171791103</v>
      </c>
      <c r="R172" s="39">
        <f t="shared" si="79"/>
        <v>31.897266959492519</v>
      </c>
      <c r="S172" s="39">
        <f t="shared" si="80"/>
        <v>31.666422645192672</v>
      </c>
      <c r="T172" s="39">
        <f t="shared" si="81"/>
        <v>32.408735968765306</v>
      </c>
      <c r="U172" s="39">
        <f t="shared" si="82"/>
        <v>27.002440214738812</v>
      </c>
      <c r="V172" s="39">
        <f t="shared" si="83"/>
        <v>35.175939482674458</v>
      </c>
      <c r="W172" s="39">
        <f t="shared" si="84"/>
        <v>38.355539287457191</v>
      </c>
      <c r="X172" s="39">
        <f t="shared" si="85"/>
        <v>35.251098096632589</v>
      </c>
      <c r="Y172" s="39">
        <f t="shared" si="86"/>
        <v>38.499755978526224</v>
      </c>
      <c r="Z172" s="39">
        <f t="shared" si="87"/>
        <v>39.195949243533327</v>
      </c>
      <c r="AA172" s="39">
        <f t="shared" si="88"/>
        <v>38.799414348462726</v>
      </c>
      <c r="AB172" s="38"/>
      <c r="AE172" s="15">
        <v>1.3981481481481482E-2</v>
      </c>
      <c r="AF172" s="14">
        <f t="shared" si="89"/>
        <v>1208</v>
      </c>
      <c r="AG172" s="8">
        <v>2.0586000000000002</v>
      </c>
      <c r="AH172" s="8">
        <v>2.0486</v>
      </c>
      <c r="AI172" s="8">
        <v>2.048</v>
      </c>
      <c r="AJ172" s="8">
        <v>2.0379</v>
      </c>
      <c r="AK172" s="8">
        <v>2.0451999999999999</v>
      </c>
      <c r="AL172" s="8">
        <v>2.0381999999999998</v>
      </c>
      <c r="AM172" s="8">
        <v>1.966</v>
      </c>
      <c r="AN172" s="8">
        <v>1.9601999999999999</v>
      </c>
      <c r="AO172" s="8">
        <v>1.9666999999999999</v>
      </c>
      <c r="AP172" s="8">
        <v>1.9837</v>
      </c>
      <c r="AQ172" s="8">
        <v>2.0057</v>
      </c>
      <c r="AR172" s="8">
        <v>1.9752000000000001</v>
      </c>
      <c r="AS172" s="8">
        <v>2.0381</v>
      </c>
      <c r="AT172" s="8">
        <v>2.0390999999999999</v>
      </c>
      <c r="AU172" s="8">
        <v>2.0535999999999999</v>
      </c>
      <c r="AV172" s="8">
        <v>2.0459000000000001</v>
      </c>
      <c r="AW172" s="8">
        <v>2.0485000000000002</v>
      </c>
      <c r="AX172" s="8">
        <v>2.0289000000000001</v>
      </c>
      <c r="AY172" s="8">
        <v>2.0327000000000002</v>
      </c>
      <c r="AZ172" s="8">
        <v>2.0263</v>
      </c>
      <c r="BA172" s="8">
        <v>2.0226000000000002</v>
      </c>
      <c r="BB172" s="8">
        <v>2.0261999999999998</v>
      </c>
      <c r="BC172" s="8">
        <v>2.0249000000000001</v>
      </c>
      <c r="BD172" s="8">
        <v>1.9963</v>
      </c>
    </row>
    <row r="173" spans="2:56" s="13" customFormat="1" x14ac:dyDescent="0.3">
      <c r="B173" s="22">
        <f t="shared" si="64"/>
        <v>1216</v>
      </c>
      <c r="C173" s="40">
        <f t="shared" si="65"/>
        <v>22.078330893118572</v>
      </c>
      <c r="D173" s="40">
        <f t="shared" si="66"/>
        <v>19.228404099560741</v>
      </c>
      <c r="E173" s="40">
        <f t="shared" si="67"/>
        <v>28.144460712542728</v>
      </c>
      <c r="F173" s="40">
        <f t="shared" si="68"/>
        <v>29.059541239629148</v>
      </c>
      <c r="G173" s="40">
        <f t="shared" si="69"/>
        <v>29.85114690092724</v>
      </c>
      <c r="H173" s="40">
        <f t="shared" si="70"/>
        <v>29.276232308443149</v>
      </c>
      <c r="I173" s="40">
        <f t="shared" si="71"/>
        <v>57.296486090776</v>
      </c>
      <c r="J173" s="40">
        <f t="shared" si="72"/>
        <v>59.59760858955579</v>
      </c>
      <c r="K173" s="40">
        <f t="shared" si="73"/>
        <v>50.990483162518331</v>
      </c>
      <c r="L173" s="40">
        <f t="shared" si="74"/>
        <v>50.127379209370424</v>
      </c>
      <c r="M173" s="40">
        <f t="shared" si="75"/>
        <v>38.866520253782348</v>
      </c>
      <c r="N173" s="40">
        <f t="shared" si="76"/>
        <v>34.230112249877862</v>
      </c>
      <c r="O173" s="40"/>
      <c r="P173" s="39">
        <f t="shared" si="77"/>
        <v>34.604441190824645</v>
      </c>
      <c r="Q173" s="39">
        <f t="shared" si="78"/>
        <v>32.441190824792621</v>
      </c>
      <c r="R173" s="39">
        <f t="shared" si="79"/>
        <v>32.775744265495355</v>
      </c>
      <c r="S173" s="39">
        <f t="shared" si="80"/>
        <v>32.447291361639856</v>
      </c>
      <c r="T173" s="39">
        <f t="shared" si="81"/>
        <v>32.457540263543351</v>
      </c>
      <c r="U173" s="39">
        <f t="shared" si="82"/>
        <v>27.539287457296204</v>
      </c>
      <c r="V173" s="39">
        <f t="shared" si="83"/>
        <v>35.712786725231851</v>
      </c>
      <c r="W173" s="39">
        <f t="shared" si="84"/>
        <v>38.843582235236539</v>
      </c>
      <c r="X173" s="39">
        <f t="shared" si="85"/>
        <v>37.398487066861946</v>
      </c>
      <c r="Y173" s="39">
        <f t="shared" si="86"/>
        <v>38.158125915080568</v>
      </c>
      <c r="Z173" s="39">
        <f t="shared" si="87"/>
        <v>39.147144948755503</v>
      </c>
      <c r="AA173" s="39">
        <f t="shared" si="88"/>
        <v>40.36115178135676</v>
      </c>
      <c r="AB173" s="38"/>
      <c r="AE173" s="15">
        <v>1.4074074074074074E-2</v>
      </c>
      <c r="AF173" s="14">
        <f t="shared" si="89"/>
        <v>1216</v>
      </c>
      <c r="AG173" s="8">
        <v>2.0590999999999999</v>
      </c>
      <c r="AH173" s="8">
        <v>2.0497000000000001</v>
      </c>
      <c r="AI173" s="8">
        <v>2.0488</v>
      </c>
      <c r="AJ173" s="8">
        <v>2.0347</v>
      </c>
      <c r="AK173" s="8">
        <v>2.0432999999999999</v>
      </c>
      <c r="AL173" s="8">
        <v>2.0384000000000002</v>
      </c>
      <c r="AM173" s="8">
        <v>1.9670000000000001</v>
      </c>
      <c r="AN173" s="8">
        <v>1.9623999999999999</v>
      </c>
      <c r="AO173" s="8">
        <v>1.9659</v>
      </c>
      <c r="AP173" s="8">
        <v>1.982</v>
      </c>
      <c r="AQ173" s="8">
        <v>2.0051999999999999</v>
      </c>
      <c r="AR173" s="8">
        <v>1.9751000000000001</v>
      </c>
      <c r="AS173" s="8">
        <v>2.0379</v>
      </c>
      <c r="AT173" s="8">
        <v>2.0381999999999998</v>
      </c>
      <c r="AU173" s="8">
        <v>2.0518000000000001</v>
      </c>
      <c r="AV173" s="8">
        <v>2.0442999999999998</v>
      </c>
      <c r="AW173" s="8">
        <v>2.0484</v>
      </c>
      <c r="AX173" s="8">
        <v>2.0278</v>
      </c>
      <c r="AY173" s="8">
        <v>2.0316000000000001</v>
      </c>
      <c r="AZ173" s="8">
        <v>2.0253000000000001</v>
      </c>
      <c r="BA173" s="8">
        <v>2.0182000000000002</v>
      </c>
      <c r="BB173" s="8">
        <v>2.0268999999999999</v>
      </c>
      <c r="BC173" s="8">
        <v>2.0249999999999999</v>
      </c>
      <c r="BD173" s="8">
        <v>1.9931000000000001</v>
      </c>
    </row>
    <row r="174" spans="2:56" s="13" customFormat="1" x14ac:dyDescent="0.3">
      <c r="B174" s="22">
        <f t="shared" si="64"/>
        <v>1224</v>
      </c>
      <c r="C174" s="40">
        <f t="shared" si="65"/>
        <v>21.053440702781831</v>
      </c>
      <c r="D174" s="40">
        <f t="shared" si="66"/>
        <v>20.985358711566622</v>
      </c>
      <c r="E174" s="40">
        <f t="shared" si="67"/>
        <v>28.046852122986859</v>
      </c>
      <c r="F174" s="40">
        <f t="shared" si="68"/>
        <v>28.034651049292403</v>
      </c>
      <c r="G174" s="40">
        <f t="shared" si="69"/>
        <v>30.339189848706592</v>
      </c>
      <c r="H174" s="40">
        <f t="shared" si="70"/>
        <v>29.471449487555105</v>
      </c>
      <c r="I174" s="40">
        <f t="shared" si="71"/>
        <v>57.686920448999587</v>
      </c>
      <c r="J174" s="40">
        <f t="shared" si="72"/>
        <v>61.30575890678363</v>
      </c>
      <c r="K174" s="40">
        <f t="shared" si="73"/>
        <v>51.185700341630074</v>
      </c>
      <c r="L174" s="40">
        <f t="shared" si="74"/>
        <v>50.176183504148362</v>
      </c>
      <c r="M174" s="40">
        <f t="shared" si="75"/>
        <v>38.62249877989256</v>
      </c>
      <c r="N174" s="40">
        <f t="shared" si="76"/>
        <v>33.644460712542646</v>
      </c>
      <c r="O174" s="40"/>
      <c r="P174" s="39">
        <f t="shared" si="77"/>
        <v>34.409224011712908</v>
      </c>
      <c r="Q174" s="39">
        <f t="shared" si="78"/>
        <v>32.489995119570452</v>
      </c>
      <c r="R174" s="39">
        <f t="shared" si="79"/>
        <v>32.482918496827743</v>
      </c>
      <c r="S174" s="39">
        <f t="shared" si="80"/>
        <v>32.34968277208376</v>
      </c>
      <c r="T174" s="39">
        <f t="shared" si="81"/>
        <v>32.262323084431614</v>
      </c>
      <c r="U174" s="39">
        <f t="shared" si="82"/>
        <v>27.49048316251838</v>
      </c>
      <c r="V174" s="39">
        <f t="shared" si="83"/>
        <v>35.273548072230327</v>
      </c>
      <c r="W174" s="39">
        <f t="shared" si="84"/>
        <v>39.282820888238071</v>
      </c>
      <c r="X174" s="39">
        <f t="shared" si="85"/>
        <v>37.398487066861946</v>
      </c>
      <c r="Y174" s="39">
        <f t="shared" si="86"/>
        <v>37.767691556857088</v>
      </c>
      <c r="Z174" s="39">
        <f t="shared" si="87"/>
        <v>39.488775012200939</v>
      </c>
      <c r="AA174" s="39">
        <f t="shared" si="88"/>
        <v>39.62908735968773</v>
      </c>
      <c r="AB174" s="38"/>
      <c r="AE174" s="15">
        <v>1.4166666666666666E-2</v>
      </c>
      <c r="AF174" s="14">
        <f t="shared" si="89"/>
        <v>1224</v>
      </c>
      <c r="AG174" s="8">
        <v>2.0611999999999999</v>
      </c>
      <c r="AH174" s="8">
        <v>2.0461</v>
      </c>
      <c r="AI174" s="8">
        <v>2.0489999999999999</v>
      </c>
      <c r="AJ174" s="8">
        <v>2.0367999999999999</v>
      </c>
      <c r="AK174" s="8">
        <v>2.0423</v>
      </c>
      <c r="AL174" s="8">
        <v>2.0379999999999998</v>
      </c>
      <c r="AM174" s="8">
        <v>1.9661999999999999</v>
      </c>
      <c r="AN174" s="8">
        <v>1.9589000000000001</v>
      </c>
      <c r="AO174" s="8">
        <v>1.9655</v>
      </c>
      <c r="AP174" s="8">
        <v>1.9819</v>
      </c>
      <c r="AQ174" s="8">
        <v>2.0057</v>
      </c>
      <c r="AR174" s="8">
        <v>1.9762999999999999</v>
      </c>
      <c r="AS174" s="8">
        <v>2.0383</v>
      </c>
      <c r="AT174" s="8">
        <v>2.0381</v>
      </c>
      <c r="AU174" s="8">
        <v>2.0524</v>
      </c>
      <c r="AV174" s="8">
        <v>2.0445000000000002</v>
      </c>
      <c r="AW174" s="8">
        <v>2.0488</v>
      </c>
      <c r="AX174" s="8">
        <v>2.0278999999999998</v>
      </c>
      <c r="AY174" s="8">
        <v>2.0325000000000002</v>
      </c>
      <c r="AZ174" s="8">
        <v>2.0244</v>
      </c>
      <c r="BA174" s="8">
        <v>2.0182000000000002</v>
      </c>
      <c r="BB174" s="8">
        <v>2.0276999999999998</v>
      </c>
      <c r="BC174" s="8">
        <v>2.0243000000000002</v>
      </c>
      <c r="BD174" s="8">
        <v>1.9945999999999999</v>
      </c>
    </row>
    <row r="175" spans="2:56" s="13" customFormat="1" x14ac:dyDescent="0.3">
      <c r="B175" s="22">
        <f t="shared" si="64"/>
        <v>1232</v>
      </c>
      <c r="C175" s="40">
        <f t="shared" si="65"/>
        <v>20.760614934114219</v>
      </c>
      <c r="D175" s="40">
        <f t="shared" si="66"/>
        <v>19.179599804782917</v>
      </c>
      <c r="E175" s="40">
        <f t="shared" si="67"/>
        <v>28.046852122986859</v>
      </c>
      <c r="F175" s="40">
        <f t="shared" si="68"/>
        <v>27.595412396290879</v>
      </c>
      <c r="G175" s="40">
        <f t="shared" si="69"/>
        <v>29.6559297218155</v>
      </c>
      <c r="H175" s="40">
        <f t="shared" si="70"/>
        <v>30.252318204002069</v>
      </c>
      <c r="I175" s="40">
        <f t="shared" si="71"/>
        <v>56.56442166910697</v>
      </c>
      <c r="J175" s="40">
        <f t="shared" si="72"/>
        <v>61.500976085895481</v>
      </c>
      <c r="K175" s="40">
        <f t="shared" si="73"/>
        <v>51.039287457296268</v>
      </c>
      <c r="L175" s="40">
        <f t="shared" si="74"/>
        <v>50.029770619814556</v>
      </c>
      <c r="M175" s="40">
        <f t="shared" si="75"/>
        <v>39.452171791117564</v>
      </c>
      <c r="N175" s="40">
        <f t="shared" si="76"/>
        <v>33.986090775988188</v>
      </c>
      <c r="O175" s="40"/>
      <c r="P175" s="39">
        <f t="shared" si="77"/>
        <v>36.312591508052485</v>
      </c>
      <c r="Q175" s="39">
        <f t="shared" si="78"/>
        <v>33.563689604685244</v>
      </c>
      <c r="R175" s="39">
        <f t="shared" si="79"/>
        <v>32.775744265495355</v>
      </c>
      <c r="S175" s="39">
        <f t="shared" si="80"/>
        <v>32.1056612981942</v>
      </c>
      <c r="T175" s="39">
        <f t="shared" si="81"/>
        <v>32.506344558321395</v>
      </c>
      <c r="U175" s="39">
        <f t="shared" si="82"/>
        <v>27.685700341630117</v>
      </c>
      <c r="V175" s="39">
        <f t="shared" si="83"/>
        <v>35.517569546120107</v>
      </c>
      <c r="W175" s="39">
        <f t="shared" si="84"/>
        <v>38.892386530014583</v>
      </c>
      <c r="X175" s="39">
        <f t="shared" si="85"/>
        <v>35.836749633968026</v>
      </c>
      <c r="Y175" s="39">
        <f t="shared" si="86"/>
        <v>38.255734504636436</v>
      </c>
      <c r="Z175" s="39">
        <f t="shared" si="87"/>
        <v>39.195949243533327</v>
      </c>
      <c r="AA175" s="39">
        <f t="shared" si="88"/>
        <v>38.65300146412892</v>
      </c>
      <c r="AB175" s="38"/>
      <c r="AE175" s="15">
        <v>1.4259259259259261E-2</v>
      </c>
      <c r="AF175" s="14">
        <f t="shared" si="89"/>
        <v>1232</v>
      </c>
      <c r="AG175" s="8">
        <v>2.0617999999999999</v>
      </c>
      <c r="AH175" s="8">
        <v>2.0497999999999998</v>
      </c>
      <c r="AI175" s="8">
        <v>2.0489999999999999</v>
      </c>
      <c r="AJ175" s="8">
        <v>2.0377000000000001</v>
      </c>
      <c r="AK175" s="8">
        <v>2.0436999999999999</v>
      </c>
      <c r="AL175" s="8">
        <v>2.0364</v>
      </c>
      <c r="AM175" s="8">
        <v>1.9684999999999999</v>
      </c>
      <c r="AN175" s="8">
        <v>1.9584999999999999</v>
      </c>
      <c r="AO175" s="8">
        <v>1.9658</v>
      </c>
      <c r="AP175" s="8">
        <v>1.9822</v>
      </c>
      <c r="AQ175" s="8">
        <v>2.004</v>
      </c>
      <c r="AR175" s="8">
        <v>1.9756</v>
      </c>
      <c r="AS175" s="8">
        <v>2.0344000000000002</v>
      </c>
      <c r="AT175" s="8">
        <v>2.0358999999999998</v>
      </c>
      <c r="AU175" s="8">
        <v>2.0518000000000001</v>
      </c>
      <c r="AV175" s="8">
        <v>2.0449999999999999</v>
      </c>
      <c r="AW175" s="8">
        <v>2.0482999999999998</v>
      </c>
      <c r="AX175" s="8">
        <v>2.0274999999999999</v>
      </c>
      <c r="AY175" s="8">
        <v>2.032</v>
      </c>
      <c r="AZ175" s="8">
        <v>2.0251999999999999</v>
      </c>
      <c r="BA175" s="8">
        <v>2.0213999999999999</v>
      </c>
      <c r="BB175" s="8">
        <v>2.0266999999999999</v>
      </c>
      <c r="BC175" s="8">
        <v>2.0249000000000001</v>
      </c>
      <c r="BD175" s="8">
        <v>1.9965999999999999</v>
      </c>
    </row>
    <row r="176" spans="2:56" s="13" customFormat="1" x14ac:dyDescent="0.3">
      <c r="B176" s="22">
        <f t="shared" si="64"/>
        <v>1240</v>
      </c>
      <c r="C176" s="40">
        <f t="shared" si="65"/>
        <v>20.174963396778782</v>
      </c>
      <c r="D176" s="40">
        <f t="shared" si="66"/>
        <v>18.837969741337261</v>
      </c>
      <c r="E176" s="40">
        <f t="shared" si="67"/>
        <v>27.900439238652947</v>
      </c>
      <c r="F176" s="40">
        <f t="shared" si="68"/>
        <v>29.401171303074801</v>
      </c>
      <c r="G176" s="40">
        <f t="shared" si="69"/>
        <v>29.997559785260936</v>
      </c>
      <c r="H176" s="40">
        <f t="shared" si="70"/>
        <v>29.861883845778586</v>
      </c>
      <c r="I176" s="40">
        <f t="shared" si="71"/>
        <v>57.442898975109912</v>
      </c>
      <c r="J176" s="40">
        <f t="shared" si="72"/>
        <v>61.452171791117536</v>
      </c>
      <c r="K176" s="40">
        <f t="shared" si="73"/>
        <v>51.33211322596388</v>
      </c>
      <c r="L176" s="40">
        <f t="shared" si="74"/>
        <v>51.298682284040972</v>
      </c>
      <c r="M176" s="40">
        <f t="shared" si="75"/>
        <v>39.208150317227783</v>
      </c>
      <c r="N176" s="40">
        <f t="shared" si="76"/>
        <v>34.034895070766119</v>
      </c>
      <c r="O176" s="40"/>
      <c r="P176" s="39">
        <f t="shared" si="77"/>
        <v>35.092484138604</v>
      </c>
      <c r="Q176" s="39">
        <f t="shared" si="78"/>
        <v>33.270863836017412</v>
      </c>
      <c r="R176" s="39">
        <f t="shared" si="79"/>
        <v>32.678135675939487</v>
      </c>
      <c r="S176" s="39">
        <f t="shared" si="80"/>
        <v>33.03294289897508</v>
      </c>
      <c r="T176" s="39">
        <f t="shared" si="81"/>
        <v>32.164714494875739</v>
      </c>
      <c r="U176" s="39">
        <f t="shared" si="82"/>
        <v>27.344070278184464</v>
      </c>
      <c r="V176" s="39">
        <f t="shared" si="83"/>
        <v>36.298438262567068</v>
      </c>
      <c r="W176" s="39">
        <f t="shared" si="84"/>
        <v>40.307711078574812</v>
      </c>
      <c r="X176" s="39">
        <f t="shared" si="85"/>
        <v>36.471205466081287</v>
      </c>
      <c r="Y176" s="39">
        <f t="shared" si="86"/>
        <v>38.938994631527528</v>
      </c>
      <c r="Z176" s="39">
        <f t="shared" si="87"/>
        <v>39.293557833089196</v>
      </c>
      <c r="AA176" s="39">
        <f t="shared" si="88"/>
        <v>39.189848706686206</v>
      </c>
      <c r="AB176" s="38"/>
      <c r="AE176" s="15">
        <v>1.4351851851851852E-2</v>
      </c>
      <c r="AF176" s="14">
        <f t="shared" si="89"/>
        <v>1240</v>
      </c>
      <c r="AG176" s="8">
        <v>2.0630000000000002</v>
      </c>
      <c r="AH176" s="8">
        <v>2.0505</v>
      </c>
      <c r="AI176" s="8">
        <v>2.0493000000000001</v>
      </c>
      <c r="AJ176" s="8">
        <v>2.0339999999999998</v>
      </c>
      <c r="AK176" s="8">
        <v>2.0430000000000001</v>
      </c>
      <c r="AL176" s="8">
        <v>2.0371999999999999</v>
      </c>
      <c r="AM176" s="8">
        <v>1.9666999999999999</v>
      </c>
      <c r="AN176" s="8">
        <v>1.9585999999999999</v>
      </c>
      <c r="AO176" s="8">
        <v>1.9652000000000001</v>
      </c>
      <c r="AP176" s="8">
        <v>1.9796</v>
      </c>
      <c r="AQ176" s="8">
        <v>2.0045000000000002</v>
      </c>
      <c r="AR176" s="8">
        <v>1.9755</v>
      </c>
      <c r="AS176" s="8">
        <v>2.0369000000000002</v>
      </c>
      <c r="AT176" s="8">
        <v>2.0365000000000002</v>
      </c>
      <c r="AU176" s="8">
        <v>2.052</v>
      </c>
      <c r="AV176" s="8">
        <v>2.0430999999999999</v>
      </c>
      <c r="AW176" s="8">
        <v>2.0489999999999999</v>
      </c>
      <c r="AX176" s="8">
        <v>2.0282</v>
      </c>
      <c r="AY176" s="8">
        <v>2.0304000000000002</v>
      </c>
      <c r="AZ176" s="8">
        <v>2.0223</v>
      </c>
      <c r="BA176" s="8">
        <v>2.0200999999999998</v>
      </c>
      <c r="BB176" s="8">
        <v>2.0253000000000001</v>
      </c>
      <c r="BC176" s="8">
        <v>2.0247000000000002</v>
      </c>
      <c r="BD176" s="8">
        <v>1.9955000000000001</v>
      </c>
    </row>
    <row r="177" spans="2:56" s="13" customFormat="1" x14ac:dyDescent="0.3">
      <c r="B177" s="22">
        <f t="shared" si="64"/>
        <v>1248</v>
      </c>
      <c r="C177" s="40">
        <f t="shared" si="65"/>
        <v>20.028550512445083</v>
      </c>
      <c r="D177" s="40">
        <f t="shared" si="66"/>
        <v>18.935578330893133</v>
      </c>
      <c r="E177" s="40">
        <f t="shared" si="67"/>
        <v>28.242069302098599</v>
      </c>
      <c r="F177" s="40">
        <f t="shared" si="68"/>
        <v>29.205954123962844</v>
      </c>
      <c r="G177" s="40">
        <f t="shared" si="69"/>
        <v>29.85114690092724</v>
      </c>
      <c r="H177" s="40">
        <f t="shared" si="70"/>
        <v>30.057101024890329</v>
      </c>
      <c r="I177" s="40">
        <f t="shared" si="71"/>
        <v>57.345290385553938</v>
      </c>
      <c r="J177" s="40">
        <f t="shared" si="72"/>
        <v>61.208150317227755</v>
      </c>
      <c r="K177" s="40">
        <f t="shared" si="73"/>
        <v>51.673743289409529</v>
      </c>
      <c r="L177" s="40">
        <f t="shared" si="74"/>
        <v>50.322596388482161</v>
      </c>
      <c r="M177" s="40">
        <f t="shared" si="75"/>
        <v>39.647388970229308</v>
      </c>
      <c r="N177" s="40">
        <f t="shared" si="76"/>
        <v>33.937286481210251</v>
      </c>
      <c r="O177" s="40"/>
      <c r="P177" s="39">
        <f t="shared" si="77"/>
        <v>34.848462664714432</v>
      </c>
      <c r="Q177" s="39">
        <f t="shared" si="78"/>
        <v>32.58760370912632</v>
      </c>
      <c r="R177" s="39">
        <f t="shared" si="79"/>
        <v>32.580527086383618</v>
      </c>
      <c r="S177" s="39">
        <f t="shared" si="80"/>
        <v>32.34968277208376</v>
      </c>
      <c r="T177" s="39">
        <f t="shared" si="81"/>
        <v>32.994387506100743</v>
      </c>
      <c r="U177" s="39">
        <f t="shared" si="82"/>
        <v>28.124938994631425</v>
      </c>
      <c r="V177" s="39">
        <f t="shared" si="83"/>
        <v>35.615178135675983</v>
      </c>
      <c r="W177" s="39">
        <f t="shared" si="84"/>
        <v>40.210102489018944</v>
      </c>
      <c r="X177" s="39">
        <f t="shared" si="85"/>
        <v>35.446315275744325</v>
      </c>
      <c r="Y177" s="39">
        <f t="shared" si="86"/>
        <v>38.743777452415792</v>
      </c>
      <c r="Z177" s="39">
        <f t="shared" si="87"/>
        <v>40.318448023425944</v>
      </c>
      <c r="AA177" s="39">
        <f t="shared" si="88"/>
        <v>39.287457296242074</v>
      </c>
      <c r="AB177" s="38"/>
      <c r="AE177" s="15">
        <v>1.4444444444444446E-2</v>
      </c>
      <c r="AF177" s="14">
        <f t="shared" si="89"/>
        <v>1248</v>
      </c>
      <c r="AG177" s="8">
        <v>2.0632999999999999</v>
      </c>
      <c r="AH177" s="8">
        <v>2.0503</v>
      </c>
      <c r="AI177" s="8">
        <v>2.0486</v>
      </c>
      <c r="AJ177" s="8">
        <v>2.0344000000000002</v>
      </c>
      <c r="AK177" s="8">
        <v>2.0432999999999999</v>
      </c>
      <c r="AL177" s="8">
        <v>2.0367999999999999</v>
      </c>
      <c r="AM177" s="8">
        <v>1.9669000000000001</v>
      </c>
      <c r="AN177" s="8">
        <v>1.9591000000000001</v>
      </c>
      <c r="AO177" s="8">
        <v>1.9644999999999999</v>
      </c>
      <c r="AP177" s="8">
        <v>1.9816</v>
      </c>
      <c r="AQ177" s="8">
        <v>2.0036</v>
      </c>
      <c r="AR177" s="8">
        <v>1.9757</v>
      </c>
      <c r="AS177" s="8">
        <v>2.0373999999999999</v>
      </c>
      <c r="AT177" s="8">
        <v>2.0379</v>
      </c>
      <c r="AU177" s="8">
        <v>2.0522</v>
      </c>
      <c r="AV177" s="8">
        <v>2.0445000000000002</v>
      </c>
      <c r="AW177" s="8">
        <v>2.0472999999999999</v>
      </c>
      <c r="AX177" s="8">
        <v>2.0266000000000002</v>
      </c>
      <c r="AY177" s="8">
        <v>2.0318000000000001</v>
      </c>
      <c r="AZ177" s="8">
        <v>2.0225</v>
      </c>
      <c r="BA177" s="8">
        <v>2.0222000000000002</v>
      </c>
      <c r="BB177" s="8">
        <v>2.0257000000000001</v>
      </c>
      <c r="BC177" s="8">
        <v>2.0226000000000002</v>
      </c>
      <c r="BD177" s="8">
        <v>1.9953000000000001</v>
      </c>
    </row>
    <row r="178" spans="2:56" s="13" customFormat="1" x14ac:dyDescent="0.3">
      <c r="B178" s="22">
        <f t="shared" si="64"/>
        <v>1256</v>
      </c>
      <c r="C178" s="40">
        <f t="shared" si="65"/>
        <v>19.833333333333346</v>
      </c>
      <c r="D178" s="40">
        <f t="shared" si="66"/>
        <v>19.862859931674006</v>
      </c>
      <c r="E178" s="40">
        <f t="shared" si="67"/>
        <v>28.632503660322079</v>
      </c>
      <c r="F178" s="40">
        <f t="shared" si="68"/>
        <v>30.279648609077633</v>
      </c>
      <c r="G178" s="40">
        <f t="shared" si="69"/>
        <v>30.973645680819857</v>
      </c>
      <c r="H178" s="40">
        <f t="shared" si="70"/>
        <v>29.081015129331409</v>
      </c>
      <c r="I178" s="40">
        <f t="shared" si="71"/>
        <v>57.540507564665781</v>
      </c>
      <c r="J178" s="40">
        <f t="shared" si="72"/>
        <v>61.452171791117536</v>
      </c>
      <c r="K178" s="40">
        <f t="shared" si="73"/>
        <v>52.308199121522684</v>
      </c>
      <c r="L178" s="40">
        <f t="shared" si="74"/>
        <v>51.103465104929235</v>
      </c>
      <c r="M178" s="40">
        <f t="shared" si="75"/>
        <v>39.598584675451484</v>
      </c>
      <c r="N178" s="40">
        <f t="shared" si="76"/>
        <v>35.157393850658742</v>
      </c>
      <c r="O178" s="40"/>
      <c r="P178" s="39">
        <f t="shared" si="77"/>
        <v>35.190092728159868</v>
      </c>
      <c r="Q178" s="39">
        <f t="shared" si="78"/>
        <v>32.978038067349807</v>
      </c>
      <c r="R178" s="39">
        <f t="shared" si="79"/>
        <v>32.678135675939487</v>
      </c>
      <c r="S178" s="39">
        <f t="shared" si="80"/>
        <v>32.544899951195724</v>
      </c>
      <c r="T178" s="39">
        <f t="shared" si="81"/>
        <v>32.945583211322706</v>
      </c>
      <c r="U178" s="39">
        <f t="shared" si="82"/>
        <v>27.929721815519684</v>
      </c>
      <c r="V178" s="39">
        <f t="shared" si="83"/>
        <v>36.200829673011199</v>
      </c>
      <c r="W178" s="39">
        <f t="shared" si="84"/>
        <v>39.917276720351332</v>
      </c>
      <c r="X178" s="39">
        <f t="shared" si="85"/>
        <v>37.056857003416511</v>
      </c>
      <c r="Y178" s="39">
        <f t="shared" si="86"/>
        <v>38.0605173255247</v>
      </c>
      <c r="Z178" s="39">
        <f t="shared" si="87"/>
        <v>39.244753538311372</v>
      </c>
      <c r="AA178" s="39">
        <f t="shared" si="88"/>
        <v>40.36115178135676</v>
      </c>
      <c r="AB178" s="38"/>
      <c r="AE178" s="15">
        <v>1.4537037037037038E-2</v>
      </c>
      <c r="AF178" s="14">
        <f t="shared" si="89"/>
        <v>1256</v>
      </c>
      <c r="AG178" s="8">
        <v>2.0636999999999999</v>
      </c>
      <c r="AH178" s="8">
        <v>2.0484</v>
      </c>
      <c r="AI178" s="8">
        <v>2.0478000000000001</v>
      </c>
      <c r="AJ178" s="8">
        <v>2.0322</v>
      </c>
      <c r="AK178" s="8">
        <v>2.0409999999999999</v>
      </c>
      <c r="AL178" s="8">
        <v>2.0388000000000002</v>
      </c>
      <c r="AM178" s="8">
        <v>1.9664999999999999</v>
      </c>
      <c r="AN178" s="8">
        <v>1.9585999999999999</v>
      </c>
      <c r="AO178" s="8">
        <v>1.9632000000000001</v>
      </c>
      <c r="AP178" s="8">
        <v>1.98</v>
      </c>
      <c r="AQ178" s="8">
        <v>2.0036999999999998</v>
      </c>
      <c r="AR178" s="8">
        <v>1.9732000000000001</v>
      </c>
      <c r="AS178" s="8">
        <v>2.0367000000000002</v>
      </c>
      <c r="AT178" s="8">
        <v>2.0371000000000001</v>
      </c>
      <c r="AU178" s="8">
        <v>2.052</v>
      </c>
      <c r="AV178" s="8">
        <v>2.0440999999999998</v>
      </c>
      <c r="AW178" s="8">
        <v>2.0474000000000001</v>
      </c>
      <c r="AX178" s="8">
        <v>2.0270000000000001</v>
      </c>
      <c r="AY178" s="8">
        <v>2.0306000000000002</v>
      </c>
      <c r="AZ178" s="8">
        <v>2.0230999999999999</v>
      </c>
      <c r="BA178" s="8">
        <v>2.0188999999999999</v>
      </c>
      <c r="BB178" s="8">
        <v>2.0270999999999999</v>
      </c>
      <c r="BC178" s="8">
        <v>2.0247999999999999</v>
      </c>
      <c r="BD178" s="8">
        <v>1.9931000000000001</v>
      </c>
    </row>
    <row r="179" spans="2:56" s="13" customFormat="1" x14ac:dyDescent="0.3">
      <c r="B179" s="22">
        <f t="shared" si="64"/>
        <v>1264</v>
      </c>
      <c r="C179" s="40">
        <f t="shared" si="65"/>
        <v>19.247681795997909</v>
      </c>
      <c r="D179" s="40">
        <f t="shared" si="66"/>
        <v>18.984382625671174</v>
      </c>
      <c r="E179" s="40">
        <f t="shared" si="67"/>
        <v>28.144460712542728</v>
      </c>
      <c r="F179" s="40">
        <f t="shared" si="68"/>
        <v>30.328452903855677</v>
      </c>
      <c r="G179" s="40">
        <f t="shared" si="69"/>
        <v>31.217667154709424</v>
      </c>
      <c r="H179" s="40">
        <f t="shared" si="70"/>
        <v>30.057101024890329</v>
      </c>
      <c r="I179" s="40">
        <f t="shared" si="71"/>
        <v>57.686920448999587</v>
      </c>
      <c r="J179" s="40">
        <f t="shared" si="72"/>
        <v>61.744997559785155</v>
      </c>
      <c r="K179" s="40">
        <f t="shared" si="73"/>
        <v>52.308199121522684</v>
      </c>
      <c r="L179" s="40">
        <f t="shared" si="74"/>
        <v>51.689116642264565</v>
      </c>
      <c r="M179" s="40">
        <f t="shared" si="75"/>
        <v>39.696193265007352</v>
      </c>
      <c r="N179" s="40">
        <f t="shared" si="76"/>
        <v>34.181307955099925</v>
      </c>
      <c r="O179" s="40"/>
      <c r="P179" s="39">
        <f t="shared" si="77"/>
        <v>35.238897022937913</v>
      </c>
      <c r="Q179" s="39">
        <f t="shared" si="78"/>
        <v>33.758906783796981</v>
      </c>
      <c r="R179" s="39">
        <f t="shared" si="79"/>
        <v>32.970961444607092</v>
      </c>
      <c r="S179" s="39">
        <f t="shared" si="80"/>
        <v>32.740117130307461</v>
      </c>
      <c r="T179" s="39">
        <f t="shared" si="81"/>
        <v>33.091996095656611</v>
      </c>
      <c r="U179" s="39">
        <f t="shared" si="82"/>
        <v>28.076134699853601</v>
      </c>
      <c r="V179" s="39">
        <f t="shared" si="83"/>
        <v>37.274524158125992</v>
      </c>
      <c r="W179" s="39">
        <f t="shared" si="84"/>
        <v>40.063689604685031</v>
      </c>
      <c r="X179" s="39">
        <f t="shared" si="85"/>
        <v>37.349682772084122</v>
      </c>
      <c r="Y179" s="39">
        <f t="shared" si="86"/>
        <v>38.792581747193836</v>
      </c>
      <c r="Z179" s="39">
        <f t="shared" si="87"/>
        <v>39.635187896534845</v>
      </c>
      <c r="AA179" s="39">
        <f t="shared" si="88"/>
        <v>39.824304538799467</v>
      </c>
      <c r="AB179" s="38"/>
      <c r="AE179" s="15">
        <v>1.462962962962963E-2</v>
      </c>
      <c r="AF179" s="14">
        <f t="shared" si="89"/>
        <v>1264</v>
      </c>
      <c r="AG179" s="8">
        <v>2.0649000000000002</v>
      </c>
      <c r="AH179" s="8">
        <v>2.0501999999999998</v>
      </c>
      <c r="AI179" s="8">
        <v>2.0488</v>
      </c>
      <c r="AJ179" s="8">
        <v>2.0320999999999998</v>
      </c>
      <c r="AK179" s="8">
        <v>2.0405000000000002</v>
      </c>
      <c r="AL179" s="8">
        <v>2.0367999999999999</v>
      </c>
      <c r="AM179" s="8">
        <v>1.9661999999999999</v>
      </c>
      <c r="AN179" s="8">
        <v>1.958</v>
      </c>
      <c r="AO179" s="8">
        <v>1.9632000000000001</v>
      </c>
      <c r="AP179" s="8">
        <v>1.9787999999999999</v>
      </c>
      <c r="AQ179" s="8">
        <v>2.0034999999999998</v>
      </c>
      <c r="AR179" s="8">
        <v>1.9752000000000001</v>
      </c>
      <c r="AS179" s="8">
        <v>2.0366</v>
      </c>
      <c r="AT179" s="8">
        <v>2.0354999999999999</v>
      </c>
      <c r="AU179" s="8">
        <v>2.0514000000000001</v>
      </c>
      <c r="AV179" s="8">
        <v>2.0436999999999999</v>
      </c>
      <c r="AW179" s="8">
        <v>2.0470999999999999</v>
      </c>
      <c r="AX179" s="8">
        <v>2.0266999999999999</v>
      </c>
      <c r="AY179" s="8">
        <v>2.0284</v>
      </c>
      <c r="AZ179" s="8">
        <v>2.0228000000000002</v>
      </c>
      <c r="BA179" s="8">
        <v>2.0183</v>
      </c>
      <c r="BB179" s="8">
        <v>2.0255999999999998</v>
      </c>
      <c r="BC179" s="8">
        <v>2.024</v>
      </c>
      <c r="BD179" s="8">
        <v>1.9942</v>
      </c>
    </row>
    <row r="180" spans="2:56" s="13" customFormat="1" x14ac:dyDescent="0.3">
      <c r="B180" s="22">
        <f t="shared" si="64"/>
        <v>1272</v>
      </c>
      <c r="C180" s="40">
        <f t="shared" si="65"/>
        <v>19.784529038555299</v>
      </c>
      <c r="D180" s="40">
        <f t="shared" si="66"/>
        <v>18.886774036115305</v>
      </c>
      <c r="E180" s="40">
        <f t="shared" si="67"/>
        <v>28.632503660322079</v>
      </c>
      <c r="F180" s="40">
        <f t="shared" si="68"/>
        <v>29.93801854563198</v>
      </c>
      <c r="G180" s="40">
        <f t="shared" si="69"/>
        <v>30.729624206930072</v>
      </c>
      <c r="H180" s="40">
        <f t="shared" si="70"/>
        <v>29.422645192777065</v>
      </c>
      <c r="I180" s="40">
        <f t="shared" si="71"/>
        <v>57.589311859443718</v>
      </c>
      <c r="J180" s="40">
        <f t="shared" si="72"/>
        <v>62.037823328452767</v>
      </c>
      <c r="K180" s="40">
        <f t="shared" si="73"/>
        <v>52.45461200585649</v>
      </c>
      <c r="L180" s="40">
        <f t="shared" si="74"/>
        <v>51.39629087359684</v>
      </c>
      <c r="M180" s="40">
        <f t="shared" si="75"/>
        <v>39.744997559785183</v>
      </c>
      <c r="N180" s="40">
        <f t="shared" si="76"/>
        <v>35.157393850658742</v>
      </c>
      <c r="O180" s="40"/>
      <c r="P180" s="39">
        <f t="shared" si="77"/>
        <v>36.263787213274661</v>
      </c>
      <c r="Q180" s="39">
        <f t="shared" si="78"/>
        <v>33.612493899463068</v>
      </c>
      <c r="R180" s="39">
        <f t="shared" si="79"/>
        <v>32.482918496827743</v>
      </c>
      <c r="S180" s="39">
        <f t="shared" si="80"/>
        <v>32.49609565641768</v>
      </c>
      <c r="T180" s="39">
        <f t="shared" si="81"/>
        <v>33.628843338214011</v>
      </c>
      <c r="U180" s="39">
        <f t="shared" si="82"/>
        <v>28.173743289409469</v>
      </c>
      <c r="V180" s="39">
        <f t="shared" si="83"/>
        <v>36.640068326012724</v>
      </c>
      <c r="W180" s="39">
        <f t="shared" si="84"/>
        <v>40.307711078574812</v>
      </c>
      <c r="X180" s="39">
        <f t="shared" si="85"/>
        <v>36.080771107857593</v>
      </c>
      <c r="Y180" s="39">
        <f t="shared" si="86"/>
        <v>38.499755978526224</v>
      </c>
      <c r="Z180" s="39">
        <f t="shared" si="87"/>
        <v>39.928013665202464</v>
      </c>
      <c r="AA180" s="39">
        <f t="shared" si="88"/>
        <v>39.677891654465668</v>
      </c>
      <c r="AB180" s="38"/>
      <c r="AE180" s="15">
        <v>1.4722222222222222E-2</v>
      </c>
      <c r="AF180" s="14">
        <f t="shared" si="89"/>
        <v>1272</v>
      </c>
      <c r="AG180" s="8">
        <v>2.0638000000000001</v>
      </c>
      <c r="AH180" s="8">
        <v>2.0503999999999998</v>
      </c>
      <c r="AI180" s="8">
        <v>2.0478000000000001</v>
      </c>
      <c r="AJ180" s="8">
        <v>2.0329000000000002</v>
      </c>
      <c r="AK180" s="8">
        <v>2.0415000000000001</v>
      </c>
      <c r="AL180" s="8">
        <v>2.0381</v>
      </c>
      <c r="AM180" s="8">
        <v>1.9663999999999999</v>
      </c>
      <c r="AN180" s="8">
        <v>1.9574</v>
      </c>
      <c r="AO180" s="8">
        <v>1.9629000000000001</v>
      </c>
      <c r="AP180" s="8">
        <v>1.9794</v>
      </c>
      <c r="AQ180" s="8">
        <v>2.0034000000000001</v>
      </c>
      <c r="AR180" s="8">
        <v>1.9732000000000001</v>
      </c>
      <c r="AS180" s="8">
        <v>2.0345</v>
      </c>
      <c r="AT180" s="8">
        <v>2.0358000000000001</v>
      </c>
      <c r="AU180" s="8">
        <v>2.0524</v>
      </c>
      <c r="AV180" s="8">
        <v>2.0442</v>
      </c>
      <c r="AW180" s="8">
        <v>2.0459999999999998</v>
      </c>
      <c r="AX180" s="8">
        <v>2.0265</v>
      </c>
      <c r="AY180" s="8">
        <v>2.0297000000000001</v>
      </c>
      <c r="AZ180" s="8">
        <v>2.0223</v>
      </c>
      <c r="BA180" s="8">
        <v>2.0209000000000001</v>
      </c>
      <c r="BB180" s="8">
        <v>2.0261999999999998</v>
      </c>
      <c r="BC180" s="8">
        <v>2.0234000000000001</v>
      </c>
      <c r="BD180" s="8">
        <v>1.9944999999999999</v>
      </c>
    </row>
    <row r="181" spans="2:56" s="13" customFormat="1" x14ac:dyDescent="0.3">
      <c r="B181" s="22">
        <f t="shared" si="64"/>
        <v>1280</v>
      </c>
      <c r="C181" s="40">
        <f t="shared" si="65"/>
        <v>19.68692044899943</v>
      </c>
      <c r="D181" s="40">
        <f t="shared" si="66"/>
        <v>19.081991215227045</v>
      </c>
      <c r="E181" s="40">
        <f t="shared" si="67"/>
        <v>29.02293801854556</v>
      </c>
      <c r="F181" s="40">
        <f t="shared" si="68"/>
        <v>30.035627135187848</v>
      </c>
      <c r="G181" s="40">
        <f t="shared" si="69"/>
        <v>31.217667154709424</v>
      </c>
      <c r="H181" s="40">
        <f t="shared" si="70"/>
        <v>30.398731088335982</v>
      </c>
      <c r="I181" s="40">
        <f t="shared" si="71"/>
        <v>57.150073206442187</v>
      </c>
      <c r="J181" s="40">
        <f t="shared" si="72"/>
        <v>62.769887750121903</v>
      </c>
      <c r="K181" s="40">
        <f t="shared" si="73"/>
        <v>53.186676427525626</v>
      </c>
      <c r="L181" s="40">
        <f t="shared" si="74"/>
        <v>52.177159590043914</v>
      </c>
      <c r="M181" s="40">
        <f t="shared" si="75"/>
        <v>39.647388970229308</v>
      </c>
      <c r="N181" s="40">
        <f t="shared" si="76"/>
        <v>33.742069302098514</v>
      </c>
      <c r="O181" s="40"/>
      <c r="P181" s="39">
        <f t="shared" si="77"/>
        <v>35.434114202049649</v>
      </c>
      <c r="Q181" s="39">
        <f t="shared" si="78"/>
        <v>33.856515373352849</v>
      </c>
      <c r="R181" s="39">
        <f t="shared" si="79"/>
        <v>32.970961444607092</v>
      </c>
      <c r="S181" s="39">
        <f t="shared" si="80"/>
        <v>32.447291361639856</v>
      </c>
      <c r="T181" s="39">
        <f t="shared" si="81"/>
        <v>33.336017569546179</v>
      </c>
      <c r="U181" s="39">
        <f t="shared" si="82"/>
        <v>28.515373352855121</v>
      </c>
      <c r="V181" s="39">
        <f t="shared" si="83"/>
        <v>36.786481210346636</v>
      </c>
      <c r="W181" s="39">
        <f t="shared" si="84"/>
        <v>40.258906783796768</v>
      </c>
      <c r="X181" s="39">
        <f t="shared" si="85"/>
        <v>36.080771107857593</v>
      </c>
      <c r="Y181" s="39">
        <f t="shared" si="86"/>
        <v>39.183016105417316</v>
      </c>
      <c r="Z181" s="39">
        <f t="shared" si="87"/>
        <v>39.147144948755503</v>
      </c>
      <c r="AA181" s="39">
        <f t="shared" si="88"/>
        <v>39.921913128355342</v>
      </c>
      <c r="AB181" s="38"/>
      <c r="AE181" s="15">
        <v>1.4814814814814814E-2</v>
      </c>
      <c r="AF181" s="14">
        <f t="shared" si="89"/>
        <v>1280</v>
      </c>
      <c r="AG181" s="8">
        <v>2.0640000000000001</v>
      </c>
      <c r="AH181" s="8">
        <v>2.0499999999999998</v>
      </c>
      <c r="AI181" s="8">
        <v>2.0470000000000002</v>
      </c>
      <c r="AJ181" s="8">
        <v>2.0327000000000002</v>
      </c>
      <c r="AK181" s="8">
        <v>2.0405000000000002</v>
      </c>
      <c r="AL181" s="8">
        <v>2.0360999999999998</v>
      </c>
      <c r="AM181" s="8">
        <v>1.9673</v>
      </c>
      <c r="AN181" s="8">
        <v>1.9559</v>
      </c>
      <c r="AO181" s="8">
        <v>1.9614</v>
      </c>
      <c r="AP181" s="8">
        <v>1.9778</v>
      </c>
      <c r="AQ181" s="8">
        <v>2.0036</v>
      </c>
      <c r="AR181" s="8">
        <v>1.9761</v>
      </c>
      <c r="AS181" s="8">
        <v>2.0362</v>
      </c>
      <c r="AT181" s="8">
        <v>2.0352999999999999</v>
      </c>
      <c r="AU181" s="8">
        <v>2.0514000000000001</v>
      </c>
      <c r="AV181" s="8">
        <v>2.0442999999999998</v>
      </c>
      <c r="AW181" s="8">
        <v>2.0466000000000002</v>
      </c>
      <c r="AX181" s="8">
        <v>2.0257999999999998</v>
      </c>
      <c r="AY181" s="8">
        <v>2.0293999999999999</v>
      </c>
      <c r="AZ181" s="8">
        <v>2.0224000000000002</v>
      </c>
      <c r="BA181" s="8">
        <v>2.0209000000000001</v>
      </c>
      <c r="BB181" s="8">
        <v>2.0247999999999999</v>
      </c>
      <c r="BC181" s="8">
        <v>2.0249999999999999</v>
      </c>
      <c r="BD181" s="8">
        <v>1.994</v>
      </c>
    </row>
    <row r="182" spans="2:56" s="13" customFormat="1" x14ac:dyDescent="0.3">
      <c r="B182" s="22">
        <f t="shared" si="64"/>
        <v>1288</v>
      </c>
      <c r="C182" s="40">
        <f t="shared" si="65"/>
        <v>20.028550512445083</v>
      </c>
      <c r="D182" s="40">
        <f t="shared" si="66"/>
        <v>18.740361151781393</v>
      </c>
      <c r="E182" s="40">
        <f t="shared" si="67"/>
        <v>29.2181551976573</v>
      </c>
      <c r="F182" s="40">
        <f t="shared" si="68"/>
        <v>30.230844314299592</v>
      </c>
      <c r="G182" s="40">
        <f t="shared" si="69"/>
        <v>30.095168374816808</v>
      </c>
      <c r="H182" s="40">
        <f t="shared" si="70"/>
        <v>29.861883845778586</v>
      </c>
      <c r="I182" s="40">
        <f t="shared" si="71"/>
        <v>57.003660322108388</v>
      </c>
      <c r="J182" s="40">
        <f t="shared" si="72"/>
        <v>61.989019033674829</v>
      </c>
      <c r="K182" s="40">
        <f t="shared" si="73"/>
        <v>53.4306979014153</v>
      </c>
      <c r="L182" s="40">
        <f t="shared" si="74"/>
        <v>51.737920937042496</v>
      </c>
      <c r="M182" s="40">
        <f t="shared" si="75"/>
        <v>40.233040507564525</v>
      </c>
      <c r="N182" s="40">
        <f t="shared" si="76"/>
        <v>34.47413372376765</v>
      </c>
      <c r="O182" s="40"/>
      <c r="P182" s="39">
        <f t="shared" si="77"/>
        <v>35.141288433382044</v>
      </c>
      <c r="Q182" s="39">
        <f t="shared" si="78"/>
        <v>34.051732552464586</v>
      </c>
      <c r="R182" s="39">
        <f t="shared" si="79"/>
        <v>33.214982918496879</v>
      </c>
      <c r="S182" s="39">
        <f t="shared" si="80"/>
        <v>32.837725719863329</v>
      </c>
      <c r="T182" s="39">
        <f t="shared" si="81"/>
        <v>33.336017569546179</v>
      </c>
      <c r="U182" s="39">
        <f t="shared" si="82"/>
        <v>28.515373352855121</v>
      </c>
      <c r="V182" s="39">
        <f t="shared" si="83"/>
        <v>36.884089799902505</v>
      </c>
      <c r="W182" s="39">
        <f t="shared" si="84"/>
        <v>40.356515373352643</v>
      </c>
      <c r="X182" s="39">
        <f t="shared" si="85"/>
        <v>37.154465592972379</v>
      </c>
      <c r="Y182" s="39">
        <f t="shared" si="86"/>
        <v>39.280624694973184</v>
      </c>
      <c r="Z182" s="39">
        <f t="shared" si="87"/>
        <v>40.269643728648113</v>
      </c>
      <c r="AA182" s="39">
        <f t="shared" si="88"/>
        <v>40.556368960468603</v>
      </c>
      <c r="AB182" s="38"/>
      <c r="AE182" s="15">
        <v>1.4907407407407406E-2</v>
      </c>
      <c r="AF182" s="14">
        <f t="shared" si="89"/>
        <v>1288</v>
      </c>
      <c r="AG182" s="8">
        <v>2.0632999999999999</v>
      </c>
      <c r="AH182" s="8">
        <v>2.0507</v>
      </c>
      <c r="AI182" s="8">
        <v>2.0466000000000002</v>
      </c>
      <c r="AJ182" s="8">
        <v>2.0323000000000002</v>
      </c>
      <c r="AK182" s="8">
        <v>2.0428000000000002</v>
      </c>
      <c r="AL182" s="8">
        <v>2.0371999999999999</v>
      </c>
      <c r="AM182" s="8">
        <v>1.9676</v>
      </c>
      <c r="AN182" s="8">
        <v>1.9575</v>
      </c>
      <c r="AO182" s="8">
        <v>1.9609000000000001</v>
      </c>
      <c r="AP182" s="8">
        <v>1.9786999999999999</v>
      </c>
      <c r="AQ182" s="8">
        <v>2.0024000000000002</v>
      </c>
      <c r="AR182" s="8">
        <v>1.9745999999999999</v>
      </c>
      <c r="AS182" s="8">
        <v>2.0367999999999999</v>
      </c>
      <c r="AT182" s="8">
        <v>2.0348999999999999</v>
      </c>
      <c r="AU182" s="8">
        <v>2.0508999999999999</v>
      </c>
      <c r="AV182" s="8">
        <v>2.0434999999999999</v>
      </c>
      <c r="AW182" s="8">
        <v>2.0466000000000002</v>
      </c>
      <c r="AX182" s="8">
        <v>2.0257999999999998</v>
      </c>
      <c r="AY182" s="8">
        <v>2.0291999999999999</v>
      </c>
      <c r="AZ182" s="8">
        <v>2.0222000000000002</v>
      </c>
      <c r="BA182" s="8">
        <v>2.0186999999999999</v>
      </c>
      <c r="BB182" s="8">
        <v>2.0246</v>
      </c>
      <c r="BC182" s="8">
        <v>2.0226999999999999</v>
      </c>
      <c r="BD182" s="8">
        <v>1.9926999999999999</v>
      </c>
    </row>
    <row r="183" spans="2:56" s="13" customFormat="1" x14ac:dyDescent="0.3">
      <c r="B183" s="22">
        <f t="shared" si="64"/>
        <v>1296</v>
      </c>
      <c r="C183" s="40">
        <f t="shared" si="65"/>
        <v>20.07735480722291</v>
      </c>
      <c r="D183" s="40">
        <f t="shared" si="66"/>
        <v>19.326012689116613</v>
      </c>
      <c r="E183" s="40">
        <f t="shared" si="67"/>
        <v>28.876525134211864</v>
      </c>
      <c r="F183" s="40">
        <f t="shared" si="68"/>
        <v>30.182040019521764</v>
      </c>
      <c r="G183" s="40">
        <f t="shared" si="69"/>
        <v>30.876037091263989</v>
      </c>
      <c r="H183" s="40">
        <f t="shared" si="70"/>
        <v>30.398731088335982</v>
      </c>
      <c r="I183" s="40">
        <f t="shared" si="71"/>
        <v>58.321376281112741</v>
      </c>
      <c r="J183" s="40">
        <f t="shared" si="72"/>
        <v>62.721083455343965</v>
      </c>
      <c r="K183" s="40">
        <f t="shared" si="73"/>
        <v>52.845046364080083</v>
      </c>
      <c r="L183" s="40">
        <f t="shared" si="74"/>
        <v>52.469985358711526</v>
      </c>
      <c r="M183" s="40">
        <f t="shared" si="75"/>
        <v>40.379453391898444</v>
      </c>
      <c r="N183" s="40">
        <f t="shared" si="76"/>
        <v>34.522938018545581</v>
      </c>
      <c r="O183" s="40"/>
      <c r="P183" s="39">
        <f t="shared" si="77"/>
        <v>35.385309907271612</v>
      </c>
      <c r="Q183" s="39">
        <f t="shared" si="78"/>
        <v>33.710102489018936</v>
      </c>
      <c r="R183" s="39">
        <f t="shared" si="79"/>
        <v>33.703025866276228</v>
      </c>
      <c r="S183" s="39">
        <f t="shared" si="80"/>
        <v>33.960224499755952</v>
      </c>
      <c r="T183" s="39">
        <f t="shared" si="81"/>
        <v>34.458516349439016</v>
      </c>
      <c r="U183" s="39">
        <f t="shared" si="82"/>
        <v>28.124938994631425</v>
      </c>
      <c r="V183" s="39">
        <f t="shared" si="83"/>
        <v>36.688872620790768</v>
      </c>
      <c r="W183" s="39">
        <f t="shared" si="84"/>
        <v>40.94216691068808</v>
      </c>
      <c r="X183" s="39">
        <f t="shared" si="85"/>
        <v>36.42240117130325</v>
      </c>
      <c r="Y183" s="39">
        <f t="shared" si="86"/>
        <v>39.23182040019514</v>
      </c>
      <c r="Z183" s="39">
        <f t="shared" si="87"/>
        <v>40.1232308443142</v>
      </c>
      <c r="AA183" s="39">
        <f t="shared" si="88"/>
        <v>40.653977550024472</v>
      </c>
      <c r="AB183" s="38"/>
      <c r="AE183" s="15">
        <v>1.5000000000000001E-2</v>
      </c>
      <c r="AF183" s="14">
        <f t="shared" si="89"/>
        <v>1296</v>
      </c>
      <c r="AG183" s="8">
        <v>2.0632000000000001</v>
      </c>
      <c r="AH183" s="8">
        <v>2.0495000000000001</v>
      </c>
      <c r="AI183" s="8">
        <v>2.0472999999999999</v>
      </c>
      <c r="AJ183" s="8">
        <v>2.0324</v>
      </c>
      <c r="AK183" s="8">
        <v>2.0411999999999999</v>
      </c>
      <c r="AL183" s="8">
        <v>2.0360999999999998</v>
      </c>
      <c r="AM183" s="8">
        <v>1.9649000000000001</v>
      </c>
      <c r="AN183" s="8">
        <v>1.956</v>
      </c>
      <c r="AO183" s="8">
        <v>1.9621</v>
      </c>
      <c r="AP183" s="8">
        <v>1.9772000000000001</v>
      </c>
      <c r="AQ183" s="8">
        <v>2.0021</v>
      </c>
      <c r="AR183" s="8">
        <v>1.9744999999999999</v>
      </c>
      <c r="AS183" s="8">
        <v>2.0363000000000002</v>
      </c>
      <c r="AT183" s="8">
        <v>2.0356000000000001</v>
      </c>
      <c r="AU183" s="8">
        <v>2.0499000000000001</v>
      </c>
      <c r="AV183" s="8">
        <v>2.0411999999999999</v>
      </c>
      <c r="AW183" s="8">
        <v>2.0442999999999998</v>
      </c>
      <c r="AX183" s="8">
        <v>2.0266000000000002</v>
      </c>
      <c r="AY183" s="8">
        <v>2.0295999999999998</v>
      </c>
      <c r="AZ183" s="8">
        <v>2.0209999999999999</v>
      </c>
      <c r="BA183" s="8">
        <v>2.0202</v>
      </c>
      <c r="BB183" s="8">
        <v>2.0247000000000002</v>
      </c>
      <c r="BC183" s="8">
        <v>2.0230000000000001</v>
      </c>
      <c r="BD183" s="8">
        <v>1.9924999999999999</v>
      </c>
    </row>
    <row r="184" spans="2:56" s="13" customFormat="1" x14ac:dyDescent="0.3">
      <c r="B184" s="22">
        <f t="shared" si="64"/>
        <v>1304</v>
      </c>
      <c r="C184" s="40">
        <f t="shared" si="65"/>
        <v>19.735724743777475</v>
      </c>
      <c r="D184" s="40">
        <f t="shared" si="66"/>
        <v>19.814055636895961</v>
      </c>
      <c r="E184" s="40">
        <f t="shared" si="67"/>
        <v>29.266959492435344</v>
      </c>
      <c r="F184" s="40">
        <f t="shared" si="68"/>
        <v>30.767691556856985</v>
      </c>
      <c r="G184" s="40">
        <f t="shared" si="69"/>
        <v>30.095168374816808</v>
      </c>
      <c r="H184" s="40">
        <f t="shared" si="70"/>
        <v>29.617862371888801</v>
      </c>
      <c r="I184" s="40">
        <f t="shared" si="71"/>
        <v>57.882137628111323</v>
      </c>
      <c r="J184" s="40">
        <f t="shared" si="72"/>
        <v>62.428257686676353</v>
      </c>
      <c r="K184" s="40">
        <f t="shared" si="73"/>
        <v>53.967545143972693</v>
      </c>
      <c r="L184" s="40">
        <f t="shared" si="74"/>
        <v>52.518789653489463</v>
      </c>
      <c r="M184" s="40">
        <f t="shared" si="75"/>
        <v>39.598584675451484</v>
      </c>
      <c r="N184" s="40">
        <f t="shared" si="76"/>
        <v>35.108589555880805</v>
      </c>
      <c r="O184" s="40"/>
      <c r="P184" s="39">
        <f t="shared" si="77"/>
        <v>36.214982918496609</v>
      </c>
      <c r="Q184" s="39">
        <f t="shared" si="78"/>
        <v>34.832601268911553</v>
      </c>
      <c r="R184" s="39">
        <f t="shared" si="79"/>
        <v>34.727916056612969</v>
      </c>
      <c r="S184" s="39">
        <f t="shared" si="80"/>
        <v>33.325768667642684</v>
      </c>
      <c r="T184" s="39">
        <f t="shared" si="81"/>
        <v>33.872864812103579</v>
      </c>
      <c r="U184" s="39">
        <f t="shared" si="82"/>
        <v>28.320156173743381</v>
      </c>
      <c r="V184" s="39">
        <f t="shared" si="83"/>
        <v>37.469741337237728</v>
      </c>
      <c r="W184" s="39">
        <f t="shared" si="84"/>
        <v>41.088579795021772</v>
      </c>
      <c r="X184" s="39">
        <f t="shared" si="85"/>
        <v>37.740117130307596</v>
      </c>
      <c r="Y184" s="39">
        <f t="shared" si="86"/>
        <v>39.427037579306884</v>
      </c>
      <c r="Z184" s="39">
        <f t="shared" si="87"/>
        <v>40.269643728648113</v>
      </c>
      <c r="AA184" s="39">
        <f t="shared" si="88"/>
        <v>40.214738897022954</v>
      </c>
      <c r="AB184" s="38"/>
      <c r="AE184" s="15">
        <v>1.5092592592592593E-2</v>
      </c>
      <c r="AF184" s="14">
        <f t="shared" si="89"/>
        <v>1304</v>
      </c>
      <c r="AG184" s="8">
        <v>2.0638999999999998</v>
      </c>
      <c r="AH184" s="8">
        <v>2.0485000000000002</v>
      </c>
      <c r="AI184" s="8">
        <v>2.0465</v>
      </c>
      <c r="AJ184" s="8">
        <v>2.0312000000000001</v>
      </c>
      <c r="AK184" s="8">
        <v>2.0428000000000002</v>
      </c>
      <c r="AL184" s="8">
        <v>2.0377000000000001</v>
      </c>
      <c r="AM184" s="8">
        <v>1.9658</v>
      </c>
      <c r="AN184" s="8">
        <v>1.9565999999999999</v>
      </c>
      <c r="AO184" s="8">
        <v>1.9598</v>
      </c>
      <c r="AP184" s="8">
        <v>1.9771000000000001</v>
      </c>
      <c r="AQ184" s="8">
        <v>2.0036999999999998</v>
      </c>
      <c r="AR184" s="8">
        <v>1.9733000000000001</v>
      </c>
      <c r="AS184" s="8">
        <v>2.0346000000000002</v>
      </c>
      <c r="AT184" s="8">
        <v>2.0333000000000001</v>
      </c>
      <c r="AU184" s="8">
        <v>2.0478000000000001</v>
      </c>
      <c r="AV184" s="8">
        <v>2.0425</v>
      </c>
      <c r="AW184" s="8">
        <v>2.0455000000000001</v>
      </c>
      <c r="AX184" s="8">
        <v>2.0261999999999998</v>
      </c>
      <c r="AY184" s="8">
        <v>2.028</v>
      </c>
      <c r="AZ184" s="8">
        <v>2.0207000000000002</v>
      </c>
      <c r="BA184" s="8">
        <v>2.0175000000000001</v>
      </c>
      <c r="BB184" s="8">
        <v>2.0243000000000002</v>
      </c>
      <c r="BC184" s="8">
        <v>2.0226999999999999</v>
      </c>
      <c r="BD184" s="8">
        <v>1.9934000000000001</v>
      </c>
    </row>
    <row r="185" spans="2:56" s="13" customFormat="1" x14ac:dyDescent="0.3">
      <c r="B185" s="22">
        <f t="shared" si="64"/>
        <v>1312</v>
      </c>
      <c r="C185" s="40">
        <f t="shared" si="65"/>
        <v>22.419960956564228</v>
      </c>
      <c r="D185" s="40">
        <f t="shared" si="66"/>
        <v>19.570034163006394</v>
      </c>
      <c r="E185" s="40">
        <f t="shared" si="67"/>
        <v>29.071742313323607</v>
      </c>
      <c r="F185" s="40">
        <f t="shared" si="68"/>
        <v>29.693997071742412</v>
      </c>
      <c r="G185" s="40">
        <f t="shared" si="69"/>
        <v>30.729624206930072</v>
      </c>
      <c r="H185" s="40">
        <f t="shared" si="70"/>
        <v>29.813079551000541</v>
      </c>
      <c r="I185" s="40">
        <f t="shared" si="71"/>
        <v>57.442898975109912</v>
      </c>
      <c r="J185" s="40">
        <f t="shared" si="72"/>
        <v>61.940214738896891</v>
      </c>
      <c r="K185" s="40">
        <f t="shared" si="73"/>
        <v>53.479502196193238</v>
      </c>
      <c r="L185" s="40">
        <f t="shared" si="74"/>
        <v>52.860419716935112</v>
      </c>
      <c r="M185" s="40">
        <f t="shared" si="75"/>
        <v>40.184236212786701</v>
      </c>
      <c r="N185" s="40">
        <f t="shared" si="76"/>
        <v>34.913372376769061</v>
      </c>
      <c r="O185" s="40"/>
      <c r="P185" s="39">
        <f t="shared" si="77"/>
        <v>36.117374328940741</v>
      </c>
      <c r="Q185" s="39">
        <f t="shared" si="78"/>
        <v>34.198145436798285</v>
      </c>
      <c r="R185" s="39">
        <f t="shared" si="79"/>
        <v>33.556612981942529</v>
      </c>
      <c r="S185" s="39">
        <f t="shared" si="80"/>
        <v>33.765007320644209</v>
      </c>
      <c r="T185" s="39">
        <f t="shared" si="81"/>
        <v>34.116886285993367</v>
      </c>
      <c r="U185" s="39">
        <f t="shared" si="82"/>
        <v>28.564177647632949</v>
      </c>
      <c r="V185" s="39">
        <f t="shared" si="83"/>
        <v>37.22571986334794</v>
      </c>
      <c r="W185" s="39">
        <f t="shared" si="84"/>
        <v>40.502928257686548</v>
      </c>
      <c r="X185" s="39">
        <f t="shared" si="85"/>
        <v>36.42240117130325</v>
      </c>
      <c r="Y185" s="39">
        <f t="shared" si="86"/>
        <v>39.329428989751015</v>
      </c>
      <c r="Z185" s="39">
        <f t="shared" si="87"/>
        <v>39.830405075646595</v>
      </c>
      <c r="AA185" s="39">
        <f t="shared" si="88"/>
        <v>41.386041971693501</v>
      </c>
      <c r="AB185" s="38"/>
      <c r="AE185" s="15">
        <v>1.5185185185185185E-2</v>
      </c>
      <c r="AF185" s="14">
        <f t="shared" si="89"/>
        <v>1312</v>
      </c>
      <c r="AG185" s="8">
        <v>2.0583999999999998</v>
      </c>
      <c r="AH185" s="8">
        <v>2.0489999999999999</v>
      </c>
      <c r="AI185" s="8">
        <v>2.0468999999999999</v>
      </c>
      <c r="AJ185" s="8">
        <v>2.0333999999999999</v>
      </c>
      <c r="AK185" s="8">
        <v>2.0415000000000001</v>
      </c>
      <c r="AL185" s="8">
        <v>2.0373000000000001</v>
      </c>
      <c r="AM185" s="8">
        <v>1.9666999999999999</v>
      </c>
      <c r="AN185" s="8">
        <v>1.9576</v>
      </c>
      <c r="AO185" s="8">
        <v>1.9608000000000001</v>
      </c>
      <c r="AP185" s="8">
        <v>1.9763999999999999</v>
      </c>
      <c r="AQ185" s="8">
        <v>2.0024999999999999</v>
      </c>
      <c r="AR185" s="8">
        <v>1.9737</v>
      </c>
      <c r="AS185" s="8">
        <v>2.0348000000000002</v>
      </c>
      <c r="AT185" s="8">
        <v>2.0346000000000002</v>
      </c>
      <c r="AU185" s="8">
        <v>2.0501999999999998</v>
      </c>
      <c r="AV185" s="8">
        <v>2.0415999999999999</v>
      </c>
      <c r="AW185" s="8">
        <v>2.0449999999999999</v>
      </c>
      <c r="AX185" s="8">
        <v>2.0257000000000001</v>
      </c>
      <c r="AY185" s="8">
        <v>2.0285000000000002</v>
      </c>
      <c r="AZ185" s="8">
        <v>2.0219</v>
      </c>
      <c r="BA185" s="8">
        <v>2.0202</v>
      </c>
      <c r="BB185" s="8">
        <v>2.0245000000000002</v>
      </c>
      <c r="BC185" s="8">
        <v>2.0236000000000001</v>
      </c>
      <c r="BD185" s="8">
        <v>1.9910000000000001</v>
      </c>
    </row>
    <row r="186" spans="2:56" s="13" customFormat="1" x14ac:dyDescent="0.3">
      <c r="B186" s="22">
        <f t="shared" si="64"/>
        <v>1320</v>
      </c>
      <c r="C186" s="40">
        <f t="shared" si="65"/>
        <v>22.029526598340532</v>
      </c>
      <c r="D186" s="40">
        <f t="shared" si="66"/>
        <v>19.521229868228353</v>
      </c>
      <c r="E186" s="40">
        <f t="shared" si="67"/>
        <v>30.096632503660349</v>
      </c>
      <c r="F186" s="40">
        <f t="shared" si="68"/>
        <v>29.986822840410024</v>
      </c>
      <c r="G186" s="40">
        <f t="shared" si="69"/>
        <v>29.85114690092724</v>
      </c>
      <c r="H186" s="40">
        <f t="shared" si="70"/>
        <v>30.545143972669678</v>
      </c>
      <c r="I186" s="40">
        <f t="shared" si="71"/>
        <v>57.540507564665781</v>
      </c>
      <c r="J186" s="40">
        <f t="shared" si="72"/>
        <v>62.428257686676353</v>
      </c>
      <c r="K186" s="40">
        <f t="shared" si="73"/>
        <v>55.236456808199115</v>
      </c>
      <c r="L186" s="40">
        <f t="shared" si="74"/>
        <v>52.762811127379237</v>
      </c>
      <c r="M186" s="40">
        <f t="shared" si="75"/>
        <v>41.111517813567581</v>
      </c>
      <c r="N186" s="40">
        <f t="shared" si="76"/>
        <v>34.766959492435255</v>
      </c>
      <c r="O186" s="40"/>
      <c r="P186" s="39">
        <f t="shared" si="77"/>
        <v>36.263787213274661</v>
      </c>
      <c r="Q186" s="39">
        <f t="shared" si="78"/>
        <v>34.295754026354153</v>
      </c>
      <c r="R186" s="39">
        <f t="shared" si="79"/>
        <v>33.800634455832096</v>
      </c>
      <c r="S186" s="39">
        <f t="shared" si="80"/>
        <v>32.935334309419197</v>
      </c>
      <c r="T186" s="39">
        <f t="shared" si="81"/>
        <v>34.604929233772715</v>
      </c>
      <c r="U186" s="39">
        <f t="shared" si="82"/>
        <v>28.515373352855121</v>
      </c>
      <c r="V186" s="39">
        <f t="shared" si="83"/>
        <v>37.616154221571641</v>
      </c>
      <c r="W186" s="39">
        <f t="shared" si="84"/>
        <v>41.332601268911553</v>
      </c>
      <c r="X186" s="39">
        <f t="shared" si="85"/>
        <v>36.178379697413462</v>
      </c>
      <c r="Y186" s="39">
        <f t="shared" si="86"/>
        <v>39.866276232308401</v>
      </c>
      <c r="Z186" s="39">
        <f t="shared" si="87"/>
        <v>40.074426549536376</v>
      </c>
      <c r="AA186" s="39">
        <f t="shared" si="88"/>
        <v>42.459736456808294</v>
      </c>
      <c r="AB186" s="38"/>
      <c r="AE186" s="15">
        <v>1.5277777777777777E-2</v>
      </c>
      <c r="AF186" s="14">
        <f t="shared" si="89"/>
        <v>1320</v>
      </c>
      <c r="AG186" s="8">
        <v>2.0592000000000001</v>
      </c>
      <c r="AH186" s="8">
        <v>2.0491000000000001</v>
      </c>
      <c r="AI186" s="8">
        <v>2.0448</v>
      </c>
      <c r="AJ186" s="8">
        <v>2.0327999999999999</v>
      </c>
      <c r="AK186" s="8">
        <v>2.0432999999999999</v>
      </c>
      <c r="AL186" s="8">
        <v>2.0358000000000001</v>
      </c>
      <c r="AM186" s="8">
        <v>1.9664999999999999</v>
      </c>
      <c r="AN186" s="8">
        <v>1.9565999999999999</v>
      </c>
      <c r="AO186" s="8">
        <v>1.9572000000000001</v>
      </c>
      <c r="AP186" s="8">
        <v>1.9765999999999999</v>
      </c>
      <c r="AQ186" s="8">
        <v>2.0005999999999999</v>
      </c>
      <c r="AR186" s="8">
        <v>1.974</v>
      </c>
      <c r="AS186" s="8">
        <v>2.0345</v>
      </c>
      <c r="AT186" s="8">
        <v>2.0344000000000002</v>
      </c>
      <c r="AU186" s="8">
        <v>2.0497000000000001</v>
      </c>
      <c r="AV186" s="8">
        <v>2.0432999999999999</v>
      </c>
      <c r="AW186" s="8">
        <v>2.044</v>
      </c>
      <c r="AX186" s="8">
        <v>2.0257999999999998</v>
      </c>
      <c r="AY186" s="8">
        <v>2.0276999999999998</v>
      </c>
      <c r="AZ186" s="8">
        <v>2.0202</v>
      </c>
      <c r="BA186" s="8">
        <v>2.0207000000000002</v>
      </c>
      <c r="BB186" s="8">
        <v>2.0234000000000001</v>
      </c>
      <c r="BC186" s="8">
        <v>2.0230999999999999</v>
      </c>
      <c r="BD186" s="8">
        <v>1.9887999999999999</v>
      </c>
    </row>
    <row r="187" spans="2:56" s="13" customFormat="1" x14ac:dyDescent="0.3">
      <c r="B187" s="22">
        <f t="shared" si="64"/>
        <v>1328</v>
      </c>
      <c r="C187" s="40">
        <f t="shared" si="65"/>
        <v>22.615178135675968</v>
      </c>
      <c r="D187" s="40">
        <f t="shared" si="66"/>
        <v>19.130795510004873</v>
      </c>
      <c r="E187" s="40">
        <f t="shared" si="67"/>
        <v>30.584675451439697</v>
      </c>
      <c r="F187" s="40">
        <f t="shared" si="68"/>
        <v>30.084431429965893</v>
      </c>
      <c r="G187" s="40">
        <f t="shared" si="69"/>
        <v>30.095168374816808</v>
      </c>
      <c r="H187" s="40">
        <f t="shared" si="70"/>
        <v>30.789165446559462</v>
      </c>
      <c r="I187" s="40">
        <f t="shared" si="71"/>
        <v>58.321376281112741</v>
      </c>
      <c r="J187" s="40">
        <f t="shared" si="72"/>
        <v>61.744997559785155</v>
      </c>
      <c r="K187" s="40">
        <f t="shared" si="73"/>
        <v>55.382869692532921</v>
      </c>
      <c r="L187" s="40">
        <f t="shared" si="74"/>
        <v>53.397266959492399</v>
      </c>
      <c r="M187" s="40">
        <f t="shared" si="75"/>
        <v>40.916300634455837</v>
      </c>
      <c r="N187" s="40">
        <f t="shared" si="76"/>
        <v>35.255002440214611</v>
      </c>
      <c r="O187" s="40"/>
      <c r="P187" s="39">
        <f t="shared" si="77"/>
        <v>35.775744265495305</v>
      </c>
      <c r="Q187" s="39">
        <f t="shared" si="78"/>
        <v>34.734992679355685</v>
      </c>
      <c r="R187" s="39">
        <f t="shared" si="79"/>
        <v>34.288677403611452</v>
      </c>
      <c r="S187" s="39">
        <f t="shared" si="80"/>
        <v>33.325768667642684</v>
      </c>
      <c r="T187" s="39">
        <f t="shared" si="81"/>
        <v>33.677647632991835</v>
      </c>
      <c r="U187" s="39">
        <f t="shared" si="82"/>
        <v>29.052220595412301</v>
      </c>
      <c r="V187" s="39">
        <f t="shared" si="83"/>
        <v>36.835285505124467</v>
      </c>
      <c r="W187" s="39">
        <f t="shared" si="84"/>
        <v>41.088579795021772</v>
      </c>
      <c r="X187" s="39">
        <f t="shared" si="85"/>
        <v>37.447291361639991</v>
      </c>
      <c r="Y187" s="39">
        <f t="shared" si="86"/>
        <v>39.915080527086452</v>
      </c>
      <c r="Z187" s="39">
        <f t="shared" si="87"/>
        <v>40.367252318203981</v>
      </c>
      <c r="AA187" s="39">
        <f t="shared" si="88"/>
        <v>40.312347486578822</v>
      </c>
      <c r="AB187" s="38"/>
      <c r="AE187" s="15">
        <v>1.5370370370370369E-2</v>
      </c>
      <c r="AF187" s="14">
        <f t="shared" si="89"/>
        <v>1328</v>
      </c>
      <c r="AG187" s="8">
        <v>2.0579999999999998</v>
      </c>
      <c r="AH187" s="8">
        <v>2.0499000000000001</v>
      </c>
      <c r="AI187" s="8">
        <v>2.0438000000000001</v>
      </c>
      <c r="AJ187" s="8">
        <v>2.0326</v>
      </c>
      <c r="AK187" s="8">
        <v>2.0428000000000002</v>
      </c>
      <c r="AL187" s="8">
        <v>2.0352999999999999</v>
      </c>
      <c r="AM187" s="8">
        <v>1.9649000000000001</v>
      </c>
      <c r="AN187" s="8">
        <v>1.958</v>
      </c>
      <c r="AO187" s="8">
        <v>1.9569000000000001</v>
      </c>
      <c r="AP187" s="8">
        <v>1.9753000000000001</v>
      </c>
      <c r="AQ187" s="8">
        <v>2.0009999999999999</v>
      </c>
      <c r="AR187" s="8">
        <v>1.9730000000000001</v>
      </c>
      <c r="AS187" s="8">
        <v>2.0354999999999999</v>
      </c>
      <c r="AT187" s="8">
        <v>2.0335000000000001</v>
      </c>
      <c r="AU187" s="8">
        <v>2.0487000000000002</v>
      </c>
      <c r="AV187" s="8">
        <v>2.0425</v>
      </c>
      <c r="AW187" s="8">
        <v>2.0459000000000001</v>
      </c>
      <c r="AX187" s="8">
        <v>2.0247000000000002</v>
      </c>
      <c r="AY187" s="8">
        <v>2.0293000000000001</v>
      </c>
      <c r="AZ187" s="8">
        <v>2.0207000000000002</v>
      </c>
      <c r="BA187" s="8">
        <v>2.0181</v>
      </c>
      <c r="BB187" s="8">
        <v>2.0232999999999999</v>
      </c>
      <c r="BC187" s="8">
        <v>2.0225</v>
      </c>
      <c r="BD187" s="8">
        <v>1.9932000000000001</v>
      </c>
    </row>
    <row r="188" spans="2:56" s="13" customFormat="1" x14ac:dyDescent="0.3">
      <c r="B188" s="22">
        <f t="shared" si="64"/>
        <v>1336</v>
      </c>
      <c r="C188" s="40">
        <f t="shared" si="65"/>
        <v>21.687896534895096</v>
      </c>
      <c r="D188" s="40">
        <f t="shared" si="66"/>
        <v>19.667642752562269</v>
      </c>
      <c r="E188" s="40">
        <f t="shared" si="67"/>
        <v>30.340653977550133</v>
      </c>
      <c r="F188" s="40">
        <f t="shared" si="68"/>
        <v>31.158125915080461</v>
      </c>
      <c r="G188" s="40">
        <f t="shared" si="69"/>
        <v>30.485602733040505</v>
      </c>
      <c r="H188" s="40">
        <f t="shared" si="70"/>
        <v>30.49633967789185</v>
      </c>
      <c r="I188" s="40">
        <f t="shared" si="71"/>
        <v>57.540507564665781</v>
      </c>
      <c r="J188" s="40">
        <f t="shared" si="72"/>
        <v>62.672279160566028</v>
      </c>
      <c r="K188" s="40">
        <f t="shared" si="73"/>
        <v>54.699609565641829</v>
      </c>
      <c r="L188" s="40">
        <f t="shared" si="74"/>
        <v>53.104441190824794</v>
      </c>
      <c r="M188" s="40">
        <f t="shared" si="75"/>
        <v>40.525866276232357</v>
      </c>
      <c r="N188" s="40">
        <f t="shared" si="76"/>
        <v>35.499023914104392</v>
      </c>
      <c r="O188" s="40"/>
      <c r="P188" s="39">
        <f t="shared" si="77"/>
        <v>36.507808687164442</v>
      </c>
      <c r="Q188" s="39">
        <f t="shared" si="78"/>
        <v>34.149341142020461</v>
      </c>
      <c r="R188" s="39">
        <f t="shared" si="79"/>
        <v>33.507808687164491</v>
      </c>
      <c r="S188" s="39">
        <f t="shared" si="80"/>
        <v>33.374572962420515</v>
      </c>
      <c r="T188" s="39">
        <f t="shared" si="81"/>
        <v>34.409712054660972</v>
      </c>
      <c r="U188" s="39">
        <f t="shared" si="82"/>
        <v>28.661786237188821</v>
      </c>
      <c r="V188" s="39">
        <f t="shared" si="83"/>
        <v>37.713762811127509</v>
      </c>
      <c r="W188" s="39">
        <f t="shared" si="84"/>
        <v>41.18618838457764</v>
      </c>
      <c r="X188" s="39">
        <f t="shared" si="85"/>
        <v>37.105661298194335</v>
      </c>
      <c r="Y188" s="39">
        <f t="shared" si="86"/>
        <v>40.354319180087757</v>
      </c>
      <c r="Z188" s="39">
        <f t="shared" si="87"/>
        <v>40.220839433870076</v>
      </c>
      <c r="AA188" s="39">
        <f t="shared" si="88"/>
        <v>41.337237676915564</v>
      </c>
      <c r="AB188" s="38"/>
      <c r="AE188" s="15">
        <v>1.5462962962962963E-2</v>
      </c>
      <c r="AF188" s="14">
        <f t="shared" si="89"/>
        <v>1336</v>
      </c>
      <c r="AG188" s="8">
        <v>2.0598999999999998</v>
      </c>
      <c r="AH188" s="8">
        <v>2.0488</v>
      </c>
      <c r="AI188" s="8">
        <v>2.0442999999999998</v>
      </c>
      <c r="AJ188" s="8">
        <v>2.0304000000000002</v>
      </c>
      <c r="AK188" s="8">
        <v>2.0419999999999998</v>
      </c>
      <c r="AL188" s="8">
        <v>2.0358999999999998</v>
      </c>
      <c r="AM188" s="8">
        <v>1.9664999999999999</v>
      </c>
      <c r="AN188" s="8">
        <v>1.9560999999999999</v>
      </c>
      <c r="AO188" s="8">
        <v>1.9582999999999999</v>
      </c>
      <c r="AP188" s="8">
        <v>1.9759</v>
      </c>
      <c r="AQ188" s="8">
        <v>2.0017999999999998</v>
      </c>
      <c r="AR188" s="8">
        <v>1.9724999999999999</v>
      </c>
      <c r="AS188" s="8">
        <v>2.0339999999999998</v>
      </c>
      <c r="AT188" s="8">
        <v>2.0347</v>
      </c>
      <c r="AU188" s="8">
        <v>2.0503</v>
      </c>
      <c r="AV188" s="8">
        <v>2.0424000000000002</v>
      </c>
      <c r="AW188" s="8">
        <v>2.0444</v>
      </c>
      <c r="AX188" s="8">
        <v>2.0255000000000001</v>
      </c>
      <c r="AY188" s="8">
        <v>2.0274999999999999</v>
      </c>
      <c r="AZ188" s="8">
        <v>2.0205000000000002</v>
      </c>
      <c r="BA188" s="8">
        <v>2.0188000000000001</v>
      </c>
      <c r="BB188" s="8">
        <v>2.0224000000000002</v>
      </c>
      <c r="BC188" s="8">
        <v>2.0228000000000002</v>
      </c>
      <c r="BD188" s="8">
        <v>1.9911000000000001</v>
      </c>
    </row>
    <row r="189" spans="2:56" s="13" customFormat="1" x14ac:dyDescent="0.3">
      <c r="B189" s="22">
        <f t="shared" si="64"/>
        <v>1344</v>
      </c>
      <c r="C189" s="40">
        <f t="shared" si="65"/>
        <v>22.5175695461201</v>
      </c>
      <c r="D189" s="40">
        <f t="shared" si="66"/>
        <v>18.886774036115305</v>
      </c>
      <c r="E189" s="40">
        <f t="shared" si="67"/>
        <v>30.535871156661877</v>
      </c>
      <c r="F189" s="40">
        <f t="shared" si="68"/>
        <v>30.426061493411545</v>
      </c>
      <c r="G189" s="40">
        <f t="shared" si="69"/>
        <v>30.143972669594852</v>
      </c>
      <c r="H189" s="40">
        <f t="shared" si="70"/>
        <v>30.154709614446197</v>
      </c>
      <c r="I189" s="40">
        <f t="shared" si="71"/>
        <v>57.540507564665781</v>
      </c>
      <c r="J189" s="40">
        <f t="shared" si="72"/>
        <v>63.35553928745712</v>
      </c>
      <c r="K189" s="40">
        <f t="shared" si="73"/>
        <v>55.431673987310859</v>
      </c>
      <c r="L189" s="40">
        <f t="shared" si="74"/>
        <v>53.592484138604135</v>
      </c>
      <c r="M189" s="40">
        <f t="shared" si="75"/>
        <v>40.477061981454312</v>
      </c>
      <c r="N189" s="40">
        <f t="shared" si="76"/>
        <v>34.864568081991123</v>
      </c>
      <c r="O189" s="40"/>
      <c r="P189" s="39">
        <f t="shared" si="77"/>
        <v>36.556612981942273</v>
      </c>
      <c r="Q189" s="39">
        <f t="shared" si="78"/>
        <v>34.246949731576329</v>
      </c>
      <c r="R189" s="39">
        <f t="shared" si="79"/>
        <v>34.239873108833628</v>
      </c>
      <c r="S189" s="39">
        <f t="shared" si="80"/>
        <v>33.27696437286464</v>
      </c>
      <c r="T189" s="39">
        <f t="shared" si="81"/>
        <v>34.89775500244032</v>
      </c>
      <c r="U189" s="39">
        <f t="shared" si="82"/>
        <v>29.735480722303606</v>
      </c>
      <c r="V189" s="39">
        <f t="shared" si="83"/>
        <v>38.250610053684696</v>
      </c>
      <c r="W189" s="39">
        <f t="shared" si="84"/>
        <v>42.991947291361569</v>
      </c>
      <c r="X189" s="39">
        <f t="shared" si="85"/>
        <v>36.910444119082598</v>
      </c>
      <c r="Y189" s="39">
        <f t="shared" si="86"/>
        <v>41.183992191312761</v>
      </c>
      <c r="Z189" s="39">
        <f t="shared" si="87"/>
        <v>40.708882381649637</v>
      </c>
      <c r="AA189" s="39">
        <f t="shared" si="88"/>
        <v>40.75158613958034</v>
      </c>
      <c r="AB189" s="38"/>
      <c r="AE189" s="15">
        <v>1.5555555555555553E-2</v>
      </c>
      <c r="AF189" s="14">
        <f t="shared" si="89"/>
        <v>1344</v>
      </c>
      <c r="AG189" s="8">
        <v>2.0581999999999998</v>
      </c>
      <c r="AH189" s="8">
        <v>2.0503999999999998</v>
      </c>
      <c r="AI189" s="8">
        <v>2.0438999999999998</v>
      </c>
      <c r="AJ189" s="8">
        <v>2.0318999999999998</v>
      </c>
      <c r="AK189" s="8">
        <v>2.0427</v>
      </c>
      <c r="AL189" s="8">
        <v>2.0366</v>
      </c>
      <c r="AM189" s="8">
        <v>1.9664999999999999</v>
      </c>
      <c r="AN189" s="8">
        <v>1.9547000000000001</v>
      </c>
      <c r="AO189" s="8">
        <v>1.9568000000000001</v>
      </c>
      <c r="AP189" s="8">
        <v>1.9749000000000001</v>
      </c>
      <c r="AQ189" s="8">
        <v>2.0019</v>
      </c>
      <c r="AR189" s="8">
        <v>1.9738</v>
      </c>
      <c r="AS189" s="8">
        <v>2.0339</v>
      </c>
      <c r="AT189" s="8">
        <v>2.0345</v>
      </c>
      <c r="AU189" s="8">
        <v>2.0488</v>
      </c>
      <c r="AV189" s="8">
        <v>2.0426000000000002</v>
      </c>
      <c r="AW189" s="8">
        <v>2.0434000000000001</v>
      </c>
      <c r="AX189" s="8">
        <v>2.0232999999999999</v>
      </c>
      <c r="AY189" s="8">
        <v>2.0264000000000002</v>
      </c>
      <c r="AZ189" s="8">
        <v>2.0167999999999999</v>
      </c>
      <c r="BA189" s="8">
        <v>2.0192000000000001</v>
      </c>
      <c r="BB189" s="8">
        <v>2.0207000000000002</v>
      </c>
      <c r="BC189" s="8">
        <v>2.0217999999999998</v>
      </c>
      <c r="BD189" s="8">
        <v>1.9923</v>
      </c>
    </row>
    <row r="190" spans="2:56" s="13" customFormat="1" x14ac:dyDescent="0.3">
      <c r="B190" s="22">
        <f t="shared" si="64"/>
        <v>1352.0000000000002</v>
      </c>
      <c r="C190" s="40">
        <f t="shared" si="65"/>
        <v>20.370180575890519</v>
      </c>
      <c r="D190" s="40">
        <f t="shared" si="66"/>
        <v>19.814055636895961</v>
      </c>
      <c r="E190" s="40">
        <f t="shared" si="67"/>
        <v>29.559785261102956</v>
      </c>
      <c r="F190" s="40">
        <f t="shared" si="68"/>
        <v>29.840409956076108</v>
      </c>
      <c r="G190" s="40">
        <f t="shared" si="69"/>
        <v>30.24158125915072</v>
      </c>
      <c r="H190" s="40">
        <f t="shared" si="70"/>
        <v>30.349926793557938</v>
      </c>
      <c r="I190" s="40">
        <f t="shared" si="71"/>
        <v>58.321376281112741</v>
      </c>
      <c r="J190" s="40">
        <f t="shared" si="72"/>
        <v>62.769887750121903</v>
      </c>
      <c r="K190" s="40">
        <f t="shared" si="73"/>
        <v>55.529282576866834</v>
      </c>
      <c r="L190" s="40">
        <f t="shared" si="74"/>
        <v>53.641288433382073</v>
      </c>
      <c r="M190" s="40">
        <f t="shared" si="75"/>
        <v>40.428257686676488</v>
      </c>
      <c r="N190" s="40">
        <f t="shared" si="76"/>
        <v>35.59663250366026</v>
      </c>
      <c r="O190" s="40"/>
      <c r="P190" s="39">
        <f t="shared" si="77"/>
        <v>36.751830161054009</v>
      </c>
      <c r="Q190" s="39">
        <f t="shared" si="78"/>
        <v>34.051732552464586</v>
      </c>
      <c r="R190" s="39">
        <f t="shared" si="79"/>
        <v>33.947047340166016</v>
      </c>
      <c r="S190" s="39">
        <f t="shared" si="80"/>
        <v>34.009028794533776</v>
      </c>
      <c r="T190" s="39">
        <f t="shared" si="81"/>
        <v>34.312103465105103</v>
      </c>
      <c r="U190" s="39">
        <f t="shared" si="82"/>
        <v>29.54026354319187</v>
      </c>
      <c r="V190" s="39">
        <f t="shared" si="83"/>
        <v>38.445827232796645</v>
      </c>
      <c r="W190" s="39">
        <f t="shared" si="84"/>
        <v>41.479014153245473</v>
      </c>
      <c r="X190" s="39">
        <f t="shared" si="85"/>
        <v>37.447291361639991</v>
      </c>
      <c r="Y190" s="39">
        <f t="shared" si="86"/>
        <v>40.891166422645156</v>
      </c>
      <c r="Z190" s="39">
        <f t="shared" si="87"/>
        <v>41.343338213762685</v>
      </c>
      <c r="AA190" s="39">
        <f t="shared" si="88"/>
        <v>40.995607613470021</v>
      </c>
      <c r="AB190" s="38"/>
      <c r="AE190" s="15">
        <v>1.5648148148148151E-2</v>
      </c>
      <c r="AF190" s="14">
        <f t="shared" si="89"/>
        <v>1352.0000000000002</v>
      </c>
      <c r="AG190" s="8">
        <v>2.0626000000000002</v>
      </c>
      <c r="AH190" s="8">
        <v>2.0485000000000002</v>
      </c>
      <c r="AI190" s="8">
        <v>2.0459000000000001</v>
      </c>
      <c r="AJ190" s="8">
        <v>2.0331000000000001</v>
      </c>
      <c r="AK190" s="8">
        <v>2.0425</v>
      </c>
      <c r="AL190" s="8">
        <v>2.0362</v>
      </c>
      <c r="AM190" s="8">
        <v>1.9649000000000001</v>
      </c>
      <c r="AN190" s="8">
        <v>1.9559</v>
      </c>
      <c r="AO190" s="8">
        <v>1.9565999999999999</v>
      </c>
      <c r="AP190" s="8">
        <v>1.9748000000000001</v>
      </c>
      <c r="AQ190" s="8">
        <v>2.0019999999999998</v>
      </c>
      <c r="AR190" s="8">
        <v>1.9722999999999999</v>
      </c>
      <c r="AS190" s="8">
        <v>2.0335000000000001</v>
      </c>
      <c r="AT190" s="8">
        <v>2.0348999999999999</v>
      </c>
      <c r="AU190" s="8">
        <v>2.0493999999999999</v>
      </c>
      <c r="AV190" s="8">
        <v>2.0411000000000001</v>
      </c>
      <c r="AW190" s="8">
        <v>2.0446</v>
      </c>
      <c r="AX190" s="8">
        <v>2.0236999999999998</v>
      </c>
      <c r="AY190" s="8">
        <v>2.0259999999999998</v>
      </c>
      <c r="AZ190" s="8">
        <v>2.0198999999999998</v>
      </c>
      <c r="BA190" s="8">
        <v>2.0181</v>
      </c>
      <c r="BB190" s="8">
        <v>2.0213000000000001</v>
      </c>
      <c r="BC190" s="8">
        <v>2.0205000000000002</v>
      </c>
      <c r="BD190" s="8">
        <v>1.9918</v>
      </c>
    </row>
    <row r="191" spans="2:56" s="13" customFormat="1" x14ac:dyDescent="0.3">
      <c r="B191" s="22">
        <f t="shared" si="64"/>
        <v>1360</v>
      </c>
      <c r="C191" s="40">
        <f t="shared" si="65"/>
        <v>20.565397755002479</v>
      </c>
      <c r="D191" s="40">
        <f t="shared" si="66"/>
        <v>20.155685700341618</v>
      </c>
      <c r="E191" s="40">
        <f t="shared" si="67"/>
        <v>30.145436798438176</v>
      </c>
      <c r="F191" s="40">
        <f t="shared" si="68"/>
        <v>29.93801854563198</v>
      </c>
      <c r="G191" s="40">
        <f t="shared" si="69"/>
        <v>30.632015617374201</v>
      </c>
      <c r="H191" s="40">
        <f t="shared" si="70"/>
        <v>30.593948267447722</v>
      </c>
      <c r="I191" s="40">
        <f t="shared" si="71"/>
        <v>58.077354807223067</v>
      </c>
      <c r="J191" s="40">
        <f t="shared" si="72"/>
        <v>63.501952171791039</v>
      </c>
      <c r="K191" s="40">
        <f t="shared" si="73"/>
        <v>55.431673987310859</v>
      </c>
      <c r="L191" s="40">
        <f t="shared" si="74"/>
        <v>54.324548560273271</v>
      </c>
      <c r="M191" s="40">
        <f t="shared" si="75"/>
        <v>40.233040507564525</v>
      </c>
      <c r="N191" s="40">
        <f t="shared" si="76"/>
        <v>35.889458272327872</v>
      </c>
      <c r="O191" s="40"/>
      <c r="P191" s="39">
        <f t="shared" si="77"/>
        <v>36.898243045387922</v>
      </c>
      <c r="Q191" s="39">
        <f t="shared" si="78"/>
        <v>34.637384089799809</v>
      </c>
      <c r="R191" s="39">
        <f t="shared" si="79"/>
        <v>33.849438750610148</v>
      </c>
      <c r="S191" s="39">
        <f t="shared" si="80"/>
        <v>34.155441678867689</v>
      </c>
      <c r="T191" s="39">
        <f t="shared" si="81"/>
        <v>34.116886285993367</v>
      </c>
      <c r="U191" s="39">
        <f t="shared" si="82"/>
        <v>28.954612005856433</v>
      </c>
      <c r="V191" s="39">
        <f t="shared" si="83"/>
        <v>37.908979990239253</v>
      </c>
      <c r="W191" s="39">
        <f t="shared" si="84"/>
        <v>41.771839921913077</v>
      </c>
      <c r="X191" s="39">
        <f t="shared" si="85"/>
        <v>36.812835529526723</v>
      </c>
      <c r="Y191" s="39">
        <f t="shared" si="86"/>
        <v>39.866276232308401</v>
      </c>
      <c r="Z191" s="39">
        <f t="shared" si="87"/>
        <v>41.196925329428993</v>
      </c>
      <c r="AA191" s="39">
        <f t="shared" si="88"/>
        <v>40.897999023914153</v>
      </c>
      <c r="AB191" s="38"/>
      <c r="AE191" s="15">
        <v>1.5740740740740743E-2</v>
      </c>
      <c r="AF191" s="14">
        <f t="shared" si="89"/>
        <v>1360</v>
      </c>
      <c r="AG191" s="8">
        <v>2.0621999999999998</v>
      </c>
      <c r="AH191" s="8">
        <v>2.0478000000000001</v>
      </c>
      <c r="AI191" s="8">
        <v>2.0447000000000002</v>
      </c>
      <c r="AJ191" s="8">
        <v>2.0329000000000002</v>
      </c>
      <c r="AK191" s="8">
        <v>2.0417000000000001</v>
      </c>
      <c r="AL191" s="8">
        <v>2.0356999999999998</v>
      </c>
      <c r="AM191" s="8">
        <v>1.9654</v>
      </c>
      <c r="AN191" s="8">
        <v>1.9543999999999999</v>
      </c>
      <c r="AO191" s="8">
        <v>1.9568000000000001</v>
      </c>
      <c r="AP191" s="8">
        <v>1.9734</v>
      </c>
      <c r="AQ191" s="8">
        <v>2.0024000000000002</v>
      </c>
      <c r="AR191" s="8">
        <v>1.9717</v>
      </c>
      <c r="AS191" s="8">
        <v>2.0331999999999999</v>
      </c>
      <c r="AT191" s="8">
        <v>2.0337000000000001</v>
      </c>
      <c r="AU191" s="8">
        <v>2.0495999999999999</v>
      </c>
      <c r="AV191" s="8">
        <v>2.0407999999999999</v>
      </c>
      <c r="AW191" s="8">
        <v>2.0449999999999999</v>
      </c>
      <c r="AX191" s="8">
        <v>2.0249000000000001</v>
      </c>
      <c r="AY191" s="8">
        <v>2.0270999999999999</v>
      </c>
      <c r="AZ191" s="8">
        <v>2.0192999999999999</v>
      </c>
      <c r="BA191" s="8">
        <v>2.0194000000000001</v>
      </c>
      <c r="BB191" s="8">
        <v>2.0234000000000001</v>
      </c>
      <c r="BC191" s="8">
        <v>2.0207999999999999</v>
      </c>
      <c r="BD191" s="8">
        <v>1.992</v>
      </c>
    </row>
    <row r="192" spans="2:56" s="13" customFormat="1" x14ac:dyDescent="0.3">
      <c r="B192" s="22">
        <f t="shared" si="64"/>
        <v>1368</v>
      </c>
      <c r="C192" s="40">
        <f t="shared" si="65"/>
        <v>21.395070766227267</v>
      </c>
      <c r="D192" s="40">
        <f t="shared" si="66"/>
        <v>18.740361151781393</v>
      </c>
      <c r="E192" s="40">
        <f t="shared" si="67"/>
        <v>30.194241093216217</v>
      </c>
      <c r="F192" s="40">
        <f t="shared" si="68"/>
        <v>30.523670082967417</v>
      </c>
      <c r="G192" s="40">
        <f t="shared" si="69"/>
        <v>29.997559785260936</v>
      </c>
      <c r="H192" s="40">
        <f t="shared" si="70"/>
        <v>31.228404099560766</v>
      </c>
      <c r="I192" s="40">
        <f t="shared" si="71"/>
        <v>58.565397755002522</v>
      </c>
      <c r="J192" s="40">
        <f t="shared" si="72"/>
        <v>63.892386530014512</v>
      </c>
      <c r="K192" s="40">
        <f t="shared" si="73"/>
        <v>55.67569546120064</v>
      </c>
      <c r="L192" s="40">
        <f t="shared" si="74"/>
        <v>54.617374328940883</v>
      </c>
      <c r="M192" s="40">
        <f t="shared" si="75"/>
        <v>40.965104929233661</v>
      </c>
      <c r="N192" s="40">
        <f t="shared" si="76"/>
        <v>34.962176671546999</v>
      </c>
      <c r="O192" s="40"/>
      <c r="P192" s="39">
        <f t="shared" si="77"/>
        <v>36.849438750609878</v>
      </c>
      <c r="Q192" s="39">
        <f t="shared" si="78"/>
        <v>35.125427037579158</v>
      </c>
      <c r="R192" s="39">
        <f t="shared" si="79"/>
        <v>35.411176183504068</v>
      </c>
      <c r="S192" s="39">
        <f t="shared" si="80"/>
        <v>33.667398731088333</v>
      </c>
      <c r="T192" s="39">
        <f t="shared" si="81"/>
        <v>34.165690580771184</v>
      </c>
      <c r="U192" s="39">
        <f t="shared" si="82"/>
        <v>29.686676427525565</v>
      </c>
      <c r="V192" s="39">
        <f t="shared" si="83"/>
        <v>38.836261591020126</v>
      </c>
      <c r="W192" s="39">
        <f t="shared" si="84"/>
        <v>41.918252806246777</v>
      </c>
      <c r="X192" s="39">
        <f t="shared" si="85"/>
        <v>37.349682772084122</v>
      </c>
      <c r="Y192" s="39">
        <f t="shared" si="86"/>
        <v>40.110297706198189</v>
      </c>
      <c r="Z192" s="39">
        <f t="shared" si="87"/>
        <v>40.757686676427468</v>
      </c>
      <c r="AA192" s="39">
        <f t="shared" si="88"/>
        <v>41.874084919472963</v>
      </c>
      <c r="AB192" s="38"/>
      <c r="AE192" s="15">
        <v>1.5833333333333335E-2</v>
      </c>
      <c r="AF192" s="14">
        <f t="shared" si="89"/>
        <v>1368</v>
      </c>
      <c r="AG192" s="8">
        <v>2.0605000000000002</v>
      </c>
      <c r="AH192" s="8">
        <v>2.0507</v>
      </c>
      <c r="AI192" s="8">
        <v>2.0446</v>
      </c>
      <c r="AJ192" s="8">
        <v>2.0316999999999998</v>
      </c>
      <c r="AK192" s="8">
        <v>2.0430000000000001</v>
      </c>
      <c r="AL192" s="8">
        <v>2.0344000000000002</v>
      </c>
      <c r="AM192" s="8">
        <v>1.9643999999999999</v>
      </c>
      <c r="AN192" s="8">
        <v>1.9536</v>
      </c>
      <c r="AO192" s="8">
        <v>1.9562999999999999</v>
      </c>
      <c r="AP192" s="8">
        <v>1.9728000000000001</v>
      </c>
      <c r="AQ192" s="8">
        <v>2.0009000000000001</v>
      </c>
      <c r="AR192" s="8">
        <v>1.9736</v>
      </c>
      <c r="AS192" s="8">
        <v>2.0333000000000001</v>
      </c>
      <c r="AT192" s="8">
        <v>2.0327000000000002</v>
      </c>
      <c r="AU192" s="8">
        <v>2.0464000000000002</v>
      </c>
      <c r="AV192" s="8">
        <v>2.0417999999999998</v>
      </c>
      <c r="AW192" s="8">
        <v>2.0449000000000002</v>
      </c>
      <c r="AX192" s="8">
        <v>2.0234000000000001</v>
      </c>
      <c r="AY192" s="8">
        <v>2.0251999999999999</v>
      </c>
      <c r="AZ192" s="8">
        <v>2.0190000000000001</v>
      </c>
      <c r="BA192" s="8">
        <v>2.0183</v>
      </c>
      <c r="BB192" s="8">
        <v>2.0228999999999999</v>
      </c>
      <c r="BC192" s="8">
        <v>2.0217000000000001</v>
      </c>
      <c r="BD192" s="8">
        <v>1.99</v>
      </c>
    </row>
    <row r="193" spans="2:56" s="13" customFormat="1" x14ac:dyDescent="0.3">
      <c r="B193" s="22">
        <f t="shared" si="64"/>
        <v>1376</v>
      </c>
      <c r="C193" s="40">
        <f t="shared" si="65"/>
        <v>20.614202049780303</v>
      </c>
      <c r="D193" s="40">
        <f t="shared" si="66"/>
        <v>19.765251342118138</v>
      </c>
      <c r="E193" s="40">
        <f t="shared" si="67"/>
        <v>29.462176671547084</v>
      </c>
      <c r="F193" s="40">
        <f t="shared" si="68"/>
        <v>29.791605661298281</v>
      </c>
      <c r="G193" s="40">
        <f t="shared" si="69"/>
        <v>30.729624206930072</v>
      </c>
      <c r="H193" s="40">
        <f t="shared" si="70"/>
        <v>30.642752562225546</v>
      </c>
      <c r="I193" s="40">
        <f t="shared" si="71"/>
        <v>59.199853587115683</v>
      </c>
      <c r="J193" s="40">
        <f t="shared" si="72"/>
        <v>63.989995119570395</v>
      </c>
      <c r="K193" s="40">
        <f t="shared" si="73"/>
        <v>56.65178135675945</v>
      </c>
      <c r="L193" s="40">
        <f t="shared" si="74"/>
        <v>54.714982918496865</v>
      </c>
      <c r="M193" s="40">
        <f t="shared" si="75"/>
        <v>40.281844802342569</v>
      </c>
      <c r="N193" s="40">
        <f t="shared" si="76"/>
        <v>35.889458272327872</v>
      </c>
      <c r="O193" s="40"/>
      <c r="P193" s="39">
        <f t="shared" si="77"/>
        <v>37.630307467057051</v>
      </c>
      <c r="Q193" s="39">
        <f t="shared" si="78"/>
        <v>34.490971205466117</v>
      </c>
      <c r="R193" s="39">
        <f t="shared" si="79"/>
        <v>34.92313323572472</v>
      </c>
      <c r="S193" s="39">
        <f t="shared" si="80"/>
        <v>33.374572962420515</v>
      </c>
      <c r="T193" s="39">
        <f t="shared" si="81"/>
        <v>34.556124938994884</v>
      </c>
      <c r="U193" s="39">
        <f t="shared" si="82"/>
        <v>29.003416300634473</v>
      </c>
      <c r="V193" s="39">
        <f t="shared" si="83"/>
        <v>38.689848706686213</v>
      </c>
      <c r="W193" s="39">
        <f t="shared" si="84"/>
        <v>42.552708638360045</v>
      </c>
      <c r="X193" s="39">
        <f t="shared" si="85"/>
        <v>37.691312835529772</v>
      </c>
      <c r="Y193" s="39">
        <f t="shared" si="86"/>
        <v>40.305514885309933</v>
      </c>
      <c r="Z193" s="39">
        <f t="shared" si="87"/>
        <v>40.855295265983337</v>
      </c>
      <c r="AA193" s="39">
        <f t="shared" si="88"/>
        <v>41.386041971693501</v>
      </c>
      <c r="AB193" s="38"/>
      <c r="AE193" s="15">
        <v>1.5925925925925927E-2</v>
      </c>
      <c r="AF193" s="14">
        <f t="shared" si="89"/>
        <v>1376</v>
      </c>
      <c r="AG193" s="8">
        <v>2.0621</v>
      </c>
      <c r="AH193" s="8">
        <v>2.0486</v>
      </c>
      <c r="AI193" s="8">
        <v>2.0461</v>
      </c>
      <c r="AJ193" s="8">
        <v>2.0331999999999999</v>
      </c>
      <c r="AK193" s="8">
        <v>2.0415000000000001</v>
      </c>
      <c r="AL193" s="8">
        <v>2.0356000000000001</v>
      </c>
      <c r="AM193" s="8">
        <v>1.9631000000000001</v>
      </c>
      <c r="AN193" s="8">
        <v>1.9534</v>
      </c>
      <c r="AO193" s="8">
        <v>1.9542999999999999</v>
      </c>
      <c r="AP193" s="8">
        <v>1.9725999999999999</v>
      </c>
      <c r="AQ193" s="8">
        <v>2.0023</v>
      </c>
      <c r="AR193" s="8">
        <v>1.9717</v>
      </c>
      <c r="AS193" s="8">
        <v>2.0316999999999998</v>
      </c>
      <c r="AT193" s="8">
        <v>2.0339999999999998</v>
      </c>
      <c r="AU193" s="8">
        <v>2.0474000000000001</v>
      </c>
      <c r="AV193" s="8">
        <v>2.0424000000000002</v>
      </c>
      <c r="AW193" s="8">
        <v>2.0440999999999998</v>
      </c>
      <c r="AX193" s="8">
        <v>2.0247999999999999</v>
      </c>
      <c r="AY193" s="8">
        <v>2.0255000000000001</v>
      </c>
      <c r="AZ193" s="8">
        <v>2.0177</v>
      </c>
      <c r="BA193" s="8">
        <v>2.0175999999999998</v>
      </c>
      <c r="BB193" s="8">
        <v>2.0225</v>
      </c>
      <c r="BC193" s="8">
        <v>2.0215000000000001</v>
      </c>
      <c r="BD193" s="8">
        <v>1.9910000000000001</v>
      </c>
    </row>
    <row r="194" spans="2:56" s="13" customFormat="1" x14ac:dyDescent="0.3">
      <c r="B194" s="22">
        <f t="shared" si="64"/>
        <v>1384.0000000000002</v>
      </c>
      <c r="C194" s="40">
        <f t="shared" si="65"/>
        <v>21.102244997559655</v>
      </c>
      <c r="D194" s="40">
        <f t="shared" si="66"/>
        <v>19.716447047340093</v>
      </c>
      <c r="E194" s="40">
        <f t="shared" si="67"/>
        <v>30.047828208882308</v>
      </c>
      <c r="F194" s="40">
        <f t="shared" si="68"/>
        <v>30.279648609077633</v>
      </c>
      <c r="G194" s="40">
        <f t="shared" si="69"/>
        <v>30.680819912152241</v>
      </c>
      <c r="H194" s="40">
        <f t="shared" si="70"/>
        <v>30.642752562225546</v>
      </c>
      <c r="I194" s="40">
        <f t="shared" si="71"/>
        <v>58.370180575890679</v>
      </c>
      <c r="J194" s="40">
        <f t="shared" si="72"/>
        <v>64.429233772571919</v>
      </c>
      <c r="K194" s="40">
        <f t="shared" si="73"/>
        <v>57.676671547096191</v>
      </c>
      <c r="L194" s="40">
        <f t="shared" si="74"/>
        <v>54.910200097608602</v>
      </c>
      <c r="M194" s="40">
        <f t="shared" si="75"/>
        <v>41.257930697901273</v>
      </c>
      <c r="N194" s="40">
        <f t="shared" si="76"/>
        <v>35.743045387994073</v>
      </c>
      <c r="O194" s="40"/>
      <c r="P194" s="39">
        <f t="shared" si="77"/>
        <v>37.337481698389233</v>
      </c>
      <c r="Q194" s="39">
        <f t="shared" si="78"/>
        <v>34.734992679355685</v>
      </c>
      <c r="R194" s="39">
        <f t="shared" si="79"/>
        <v>34.92313323572472</v>
      </c>
      <c r="S194" s="39">
        <f t="shared" si="80"/>
        <v>35.131527574426393</v>
      </c>
      <c r="T194" s="39">
        <f t="shared" si="81"/>
        <v>35.141776476330108</v>
      </c>
      <c r="U194" s="39">
        <f t="shared" si="82"/>
        <v>30.077110785749046</v>
      </c>
      <c r="V194" s="39">
        <f t="shared" si="83"/>
        <v>38.787457296242088</v>
      </c>
      <c r="W194" s="39">
        <f t="shared" si="84"/>
        <v>43.479990239140918</v>
      </c>
      <c r="X194" s="39">
        <f t="shared" si="85"/>
        <v>37.300878477306078</v>
      </c>
      <c r="Y194" s="39">
        <f t="shared" si="86"/>
        <v>40.451927769643625</v>
      </c>
      <c r="Z194" s="39">
        <f t="shared" si="87"/>
        <v>41.392142508540736</v>
      </c>
      <c r="AA194" s="39">
        <f t="shared" si="88"/>
        <v>41.337237676915564</v>
      </c>
      <c r="AB194" s="38"/>
      <c r="AE194" s="15">
        <v>1.6018518518518519E-2</v>
      </c>
      <c r="AF194" s="14">
        <f t="shared" si="89"/>
        <v>1384.0000000000002</v>
      </c>
      <c r="AG194" s="8">
        <v>2.0611000000000002</v>
      </c>
      <c r="AH194" s="8">
        <v>2.0487000000000002</v>
      </c>
      <c r="AI194" s="8">
        <v>2.0449000000000002</v>
      </c>
      <c r="AJ194" s="8">
        <v>2.0322</v>
      </c>
      <c r="AK194" s="8">
        <v>2.0415999999999999</v>
      </c>
      <c r="AL194" s="8">
        <v>2.0356000000000001</v>
      </c>
      <c r="AM194" s="8">
        <v>1.9648000000000001</v>
      </c>
      <c r="AN194" s="8">
        <v>1.9524999999999999</v>
      </c>
      <c r="AO194" s="8">
        <v>1.9521999999999999</v>
      </c>
      <c r="AP194" s="8">
        <v>1.9722</v>
      </c>
      <c r="AQ194" s="8">
        <v>2.0003000000000002</v>
      </c>
      <c r="AR194" s="8">
        <v>1.972</v>
      </c>
      <c r="AS194" s="8">
        <v>2.0323000000000002</v>
      </c>
      <c r="AT194" s="8">
        <v>2.0335000000000001</v>
      </c>
      <c r="AU194" s="8">
        <v>2.0474000000000001</v>
      </c>
      <c r="AV194" s="8">
        <v>2.0388000000000002</v>
      </c>
      <c r="AW194" s="8">
        <v>2.0428999999999999</v>
      </c>
      <c r="AX194" s="8">
        <v>2.0226000000000002</v>
      </c>
      <c r="AY194" s="8">
        <v>2.0253000000000001</v>
      </c>
      <c r="AZ194" s="8">
        <v>2.0158</v>
      </c>
      <c r="BA194" s="8">
        <v>2.0184000000000002</v>
      </c>
      <c r="BB194" s="8">
        <v>2.0222000000000002</v>
      </c>
      <c r="BC194" s="8">
        <v>2.0204</v>
      </c>
      <c r="BD194" s="8">
        <v>1.9911000000000001</v>
      </c>
    </row>
    <row r="195" spans="2:56" s="13" customFormat="1" x14ac:dyDescent="0.3">
      <c r="B195" s="22">
        <f t="shared" si="64"/>
        <v>1392</v>
      </c>
      <c r="C195" s="40">
        <f t="shared" si="65"/>
        <v>21.395070766227267</v>
      </c>
      <c r="D195" s="40">
        <f t="shared" si="66"/>
        <v>19.326012689116613</v>
      </c>
      <c r="E195" s="40">
        <f t="shared" si="67"/>
        <v>30.047828208882308</v>
      </c>
      <c r="F195" s="40">
        <f t="shared" si="68"/>
        <v>29.791605661298281</v>
      </c>
      <c r="G195" s="40">
        <f t="shared" si="69"/>
        <v>30.436798438262461</v>
      </c>
      <c r="H195" s="40">
        <f t="shared" si="70"/>
        <v>31.179599804782942</v>
      </c>
      <c r="I195" s="40">
        <f t="shared" si="71"/>
        <v>58.370180575890679</v>
      </c>
      <c r="J195" s="40">
        <f t="shared" si="72"/>
        <v>63.745973645680714</v>
      </c>
      <c r="K195" s="40">
        <f t="shared" si="73"/>
        <v>57.38384577842848</v>
      </c>
      <c r="L195" s="40">
        <f t="shared" si="74"/>
        <v>55.056612981942408</v>
      </c>
      <c r="M195" s="40">
        <f t="shared" si="75"/>
        <v>40.769887750121924</v>
      </c>
      <c r="N195" s="40">
        <f t="shared" si="76"/>
        <v>35.889458272327872</v>
      </c>
      <c r="O195" s="40"/>
      <c r="P195" s="39">
        <f t="shared" si="77"/>
        <v>37.239873108833358</v>
      </c>
      <c r="Q195" s="39">
        <f t="shared" si="78"/>
        <v>35.41825280624699</v>
      </c>
      <c r="R195" s="39">
        <f t="shared" si="79"/>
        <v>35.118350414836456</v>
      </c>
      <c r="S195" s="39">
        <f t="shared" si="80"/>
        <v>34.009028794533776</v>
      </c>
      <c r="T195" s="39">
        <f t="shared" si="81"/>
        <v>34.50732064421684</v>
      </c>
      <c r="U195" s="39">
        <f t="shared" si="82"/>
        <v>29.393850658857954</v>
      </c>
      <c r="V195" s="39">
        <f t="shared" si="83"/>
        <v>39.714738897022961</v>
      </c>
      <c r="W195" s="39">
        <f t="shared" si="84"/>
        <v>42.406295754026345</v>
      </c>
      <c r="X195" s="39">
        <f t="shared" si="85"/>
        <v>37.496095656418035</v>
      </c>
      <c r="Y195" s="39">
        <f t="shared" si="86"/>
        <v>40.647144948755589</v>
      </c>
      <c r="Z195" s="39">
        <f t="shared" si="87"/>
        <v>41.684968277208341</v>
      </c>
      <c r="AA195" s="39">
        <f t="shared" si="88"/>
        <v>42.118106393362638</v>
      </c>
      <c r="AB195" s="38"/>
      <c r="AE195" s="15">
        <v>1.6111111111111111E-2</v>
      </c>
      <c r="AF195" s="14">
        <f t="shared" si="89"/>
        <v>1392</v>
      </c>
      <c r="AG195" s="8">
        <v>2.0605000000000002</v>
      </c>
      <c r="AH195" s="8">
        <v>2.0495000000000001</v>
      </c>
      <c r="AI195" s="8">
        <v>2.0449000000000002</v>
      </c>
      <c r="AJ195" s="8">
        <v>2.0331999999999999</v>
      </c>
      <c r="AK195" s="8">
        <v>2.0421</v>
      </c>
      <c r="AL195" s="8">
        <v>2.0345</v>
      </c>
      <c r="AM195" s="8">
        <v>1.9648000000000001</v>
      </c>
      <c r="AN195" s="8">
        <v>1.9539</v>
      </c>
      <c r="AO195" s="8">
        <v>1.9528000000000001</v>
      </c>
      <c r="AP195" s="8">
        <v>1.9719</v>
      </c>
      <c r="AQ195" s="8">
        <v>2.0013000000000001</v>
      </c>
      <c r="AR195" s="8">
        <v>1.9717</v>
      </c>
      <c r="AS195" s="8">
        <v>2.0325000000000002</v>
      </c>
      <c r="AT195" s="8">
        <v>2.0320999999999998</v>
      </c>
      <c r="AU195" s="8">
        <v>2.0470000000000002</v>
      </c>
      <c r="AV195" s="8">
        <v>2.0411000000000001</v>
      </c>
      <c r="AW195" s="8">
        <v>2.0442</v>
      </c>
      <c r="AX195" s="8">
        <v>2.024</v>
      </c>
      <c r="AY195" s="8">
        <v>2.0234000000000001</v>
      </c>
      <c r="AZ195" s="8">
        <v>2.0179999999999998</v>
      </c>
      <c r="BA195" s="8">
        <v>2.0179999999999998</v>
      </c>
      <c r="BB195" s="8">
        <v>2.0217999999999998</v>
      </c>
      <c r="BC195" s="8">
        <v>2.0198</v>
      </c>
      <c r="BD195" s="8">
        <v>1.9895</v>
      </c>
    </row>
    <row r="196" spans="2:56" s="13" customFormat="1" x14ac:dyDescent="0.3">
      <c r="B196" s="22">
        <f t="shared" si="64"/>
        <v>1399.9999999999998</v>
      </c>
      <c r="C196" s="40">
        <f t="shared" si="65"/>
        <v>20.272571986334651</v>
      </c>
      <c r="D196" s="40">
        <f t="shared" si="66"/>
        <v>19.033186920449005</v>
      </c>
      <c r="E196" s="40">
        <f t="shared" si="67"/>
        <v>30.145436798438176</v>
      </c>
      <c r="F196" s="40">
        <f t="shared" si="68"/>
        <v>29.93801854563198</v>
      </c>
      <c r="G196" s="40">
        <f t="shared" si="69"/>
        <v>31.461688628599209</v>
      </c>
      <c r="H196" s="40">
        <f t="shared" si="70"/>
        <v>31.765251342118162</v>
      </c>
      <c r="I196" s="40">
        <f t="shared" si="71"/>
        <v>58.614202049780459</v>
      </c>
      <c r="J196" s="40">
        <f t="shared" si="72"/>
        <v>63.697169350902776</v>
      </c>
      <c r="K196" s="40">
        <f t="shared" si="73"/>
        <v>58.213518789653484</v>
      </c>
      <c r="L196" s="40">
        <f t="shared" si="74"/>
        <v>55.251830161054144</v>
      </c>
      <c r="M196" s="40">
        <f t="shared" si="75"/>
        <v>41.697169350902797</v>
      </c>
      <c r="N196" s="40">
        <f t="shared" si="76"/>
        <v>36.426305514885271</v>
      </c>
      <c r="O196" s="40"/>
      <c r="P196" s="39">
        <f t="shared" si="77"/>
        <v>37.435090287945314</v>
      </c>
      <c r="Q196" s="39">
        <f t="shared" si="78"/>
        <v>34.930209858467421</v>
      </c>
      <c r="R196" s="39">
        <f t="shared" si="79"/>
        <v>34.679111761835152</v>
      </c>
      <c r="S196" s="39">
        <f t="shared" si="80"/>
        <v>34.497071742313345</v>
      </c>
      <c r="T196" s="39">
        <f t="shared" si="81"/>
        <v>35.141776476330108</v>
      </c>
      <c r="U196" s="39">
        <f t="shared" si="82"/>
        <v>29.979502196193174</v>
      </c>
      <c r="V196" s="39">
        <f t="shared" si="83"/>
        <v>38.592240117130345</v>
      </c>
      <c r="W196" s="39">
        <f t="shared" si="84"/>
        <v>43.333577354807218</v>
      </c>
      <c r="X196" s="39">
        <f t="shared" si="85"/>
        <v>38.130551488531083</v>
      </c>
      <c r="Y196" s="39">
        <f t="shared" si="86"/>
        <v>40.207906295754064</v>
      </c>
      <c r="Z196" s="39">
        <f t="shared" si="87"/>
        <v>41.684968277208341</v>
      </c>
      <c r="AA196" s="39">
        <f t="shared" si="88"/>
        <v>42.508540751586224</v>
      </c>
      <c r="AB196" s="38"/>
      <c r="AE196" s="15">
        <v>1.6203703703703703E-2</v>
      </c>
      <c r="AF196" s="14">
        <f t="shared" si="89"/>
        <v>1399.9999999999998</v>
      </c>
      <c r="AG196" s="8">
        <v>2.0628000000000002</v>
      </c>
      <c r="AH196" s="8">
        <v>2.0501</v>
      </c>
      <c r="AI196" s="8">
        <v>2.0447000000000002</v>
      </c>
      <c r="AJ196" s="8">
        <v>2.0329000000000002</v>
      </c>
      <c r="AK196" s="8">
        <v>2.04</v>
      </c>
      <c r="AL196" s="8">
        <v>2.0333000000000001</v>
      </c>
      <c r="AM196" s="8">
        <v>1.9642999999999999</v>
      </c>
      <c r="AN196" s="8">
        <v>1.954</v>
      </c>
      <c r="AO196" s="8">
        <v>1.9511000000000001</v>
      </c>
      <c r="AP196" s="8">
        <v>1.9715</v>
      </c>
      <c r="AQ196" s="8">
        <v>1.9994000000000001</v>
      </c>
      <c r="AR196" s="8">
        <v>1.9705999999999999</v>
      </c>
      <c r="AS196" s="8">
        <v>2.0320999999999998</v>
      </c>
      <c r="AT196" s="8">
        <v>2.0331000000000001</v>
      </c>
      <c r="AU196" s="8">
        <v>2.0478999999999998</v>
      </c>
      <c r="AV196" s="8">
        <v>2.0400999999999998</v>
      </c>
      <c r="AW196" s="8">
        <v>2.0428999999999999</v>
      </c>
      <c r="AX196" s="8">
        <v>2.0228000000000002</v>
      </c>
      <c r="AY196" s="8">
        <v>2.0257000000000001</v>
      </c>
      <c r="AZ196" s="8">
        <v>2.0160999999999998</v>
      </c>
      <c r="BA196" s="8">
        <v>2.0167000000000002</v>
      </c>
      <c r="BB196" s="8">
        <v>2.0226999999999999</v>
      </c>
      <c r="BC196" s="8">
        <v>2.0198</v>
      </c>
      <c r="BD196" s="8">
        <v>1.9886999999999999</v>
      </c>
    </row>
    <row r="197" spans="2:56" s="13" customFormat="1" x14ac:dyDescent="0.3">
      <c r="B197" s="22">
        <f t="shared" si="64"/>
        <v>1408</v>
      </c>
      <c r="C197" s="40">
        <f t="shared" si="65"/>
        <v>20.760614934114219</v>
      </c>
      <c r="D197" s="40">
        <f t="shared" si="66"/>
        <v>18.886774036115305</v>
      </c>
      <c r="E197" s="40">
        <f t="shared" si="67"/>
        <v>29.657393850658828</v>
      </c>
      <c r="F197" s="40">
        <f t="shared" si="68"/>
        <v>28.571498291849796</v>
      </c>
      <c r="G197" s="40">
        <f t="shared" si="69"/>
        <v>31.364080039043337</v>
      </c>
      <c r="H197" s="40">
        <f t="shared" si="70"/>
        <v>31.081991215227074</v>
      </c>
      <c r="I197" s="40">
        <f t="shared" si="71"/>
        <v>58.467789165446653</v>
      </c>
      <c r="J197" s="40">
        <f t="shared" si="72"/>
        <v>64.185212298682131</v>
      </c>
      <c r="K197" s="40">
        <f t="shared" si="73"/>
        <v>58.506344558321196</v>
      </c>
      <c r="L197" s="40">
        <f t="shared" si="74"/>
        <v>55.447047340165895</v>
      </c>
      <c r="M197" s="40">
        <f t="shared" si="75"/>
        <v>41.745973645680728</v>
      </c>
      <c r="N197" s="40">
        <f t="shared" si="76"/>
        <v>36.133479746217546</v>
      </c>
      <c r="O197" s="40"/>
      <c r="P197" s="39">
        <f t="shared" si="77"/>
        <v>37.435090287945314</v>
      </c>
      <c r="Q197" s="39">
        <f t="shared" si="78"/>
        <v>35.955100048804162</v>
      </c>
      <c r="R197" s="39">
        <f t="shared" si="79"/>
        <v>34.825524646168851</v>
      </c>
      <c r="S197" s="39">
        <f t="shared" si="80"/>
        <v>34.448267447535301</v>
      </c>
      <c r="T197" s="39">
        <f t="shared" si="81"/>
        <v>35.336993655441844</v>
      </c>
      <c r="U197" s="39">
        <f t="shared" si="82"/>
        <v>30.174719375304917</v>
      </c>
      <c r="V197" s="39">
        <f t="shared" si="83"/>
        <v>39.080283064909693</v>
      </c>
      <c r="W197" s="39">
        <f t="shared" si="84"/>
        <v>42.84553440702765</v>
      </c>
      <c r="X197" s="39">
        <f t="shared" si="85"/>
        <v>37.788921425085647</v>
      </c>
      <c r="Y197" s="39">
        <f t="shared" si="86"/>
        <v>41.574426549536462</v>
      </c>
      <c r="Z197" s="39">
        <f t="shared" si="87"/>
        <v>42.270619814543565</v>
      </c>
      <c r="AA197" s="39">
        <f t="shared" si="88"/>
        <v>43.338213762811122</v>
      </c>
      <c r="AB197" s="38"/>
      <c r="AE197" s="15">
        <v>1.6296296296296295E-2</v>
      </c>
      <c r="AF197" s="14">
        <f t="shared" si="89"/>
        <v>1408</v>
      </c>
      <c r="AG197" s="8">
        <v>2.0617999999999999</v>
      </c>
      <c r="AH197" s="8">
        <v>2.0503999999999998</v>
      </c>
      <c r="AI197" s="8">
        <v>2.0457000000000001</v>
      </c>
      <c r="AJ197" s="8">
        <v>2.0356999999999998</v>
      </c>
      <c r="AK197" s="8">
        <v>2.0402</v>
      </c>
      <c r="AL197" s="8">
        <v>2.0347</v>
      </c>
      <c r="AM197" s="8">
        <v>1.9645999999999999</v>
      </c>
      <c r="AN197" s="8">
        <v>1.9530000000000001</v>
      </c>
      <c r="AO197" s="8">
        <v>1.9504999999999999</v>
      </c>
      <c r="AP197" s="8">
        <v>1.9711000000000001</v>
      </c>
      <c r="AQ197" s="8">
        <v>1.9993000000000001</v>
      </c>
      <c r="AR197" s="8">
        <v>1.9712000000000001</v>
      </c>
      <c r="AS197" s="8">
        <v>2.0320999999999998</v>
      </c>
      <c r="AT197" s="8">
        <v>2.0310000000000001</v>
      </c>
      <c r="AU197" s="8">
        <v>2.0476000000000001</v>
      </c>
      <c r="AV197" s="8">
        <v>2.0402</v>
      </c>
      <c r="AW197" s="8">
        <v>2.0425</v>
      </c>
      <c r="AX197" s="8">
        <v>2.0224000000000002</v>
      </c>
      <c r="AY197" s="8">
        <v>2.0247000000000002</v>
      </c>
      <c r="AZ197" s="8">
        <v>2.0171000000000001</v>
      </c>
      <c r="BA197" s="8">
        <v>2.0173999999999999</v>
      </c>
      <c r="BB197" s="8">
        <v>2.0198999999999998</v>
      </c>
      <c r="BC197" s="8">
        <v>2.0186000000000002</v>
      </c>
      <c r="BD197" s="8">
        <v>1.9870000000000001</v>
      </c>
    </row>
    <row r="198" spans="2:56" s="13" customFormat="1" x14ac:dyDescent="0.3">
      <c r="B198" s="22">
        <f t="shared" si="64"/>
        <v>1416</v>
      </c>
      <c r="C198" s="40">
        <f t="shared" si="65"/>
        <v>20.516593460224435</v>
      </c>
      <c r="D198" s="40">
        <f t="shared" si="66"/>
        <v>19.423621278672485</v>
      </c>
      <c r="E198" s="40">
        <f t="shared" si="67"/>
        <v>30.047828208882308</v>
      </c>
      <c r="F198" s="40">
        <f t="shared" si="68"/>
        <v>29.889214250854153</v>
      </c>
      <c r="G198" s="40">
        <f t="shared" si="69"/>
        <v>30.583211322596373</v>
      </c>
      <c r="H198" s="40">
        <f t="shared" si="70"/>
        <v>31.228404099560766</v>
      </c>
      <c r="I198" s="40">
        <f t="shared" si="71"/>
        <v>58.516593460224591</v>
      </c>
      <c r="J198" s="40">
        <f t="shared" si="72"/>
        <v>64.33162518301593</v>
      </c>
      <c r="K198" s="40">
        <f t="shared" si="73"/>
        <v>58.945583211322621</v>
      </c>
      <c r="L198" s="40">
        <f t="shared" si="74"/>
        <v>56.764763299170347</v>
      </c>
      <c r="M198" s="40">
        <f t="shared" si="75"/>
        <v>41.599560761346929</v>
      </c>
      <c r="N198" s="40">
        <f t="shared" si="76"/>
        <v>36.133479746217546</v>
      </c>
      <c r="O198" s="40"/>
      <c r="P198" s="39">
        <f t="shared" si="77"/>
        <v>37.727916056612926</v>
      </c>
      <c r="Q198" s="39">
        <f t="shared" si="78"/>
        <v>35.759882869692426</v>
      </c>
      <c r="R198" s="39">
        <f t="shared" si="79"/>
        <v>35.704001952171893</v>
      </c>
      <c r="S198" s="39">
        <f t="shared" si="80"/>
        <v>34.887506100536825</v>
      </c>
      <c r="T198" s="39">
        <f t="shared" si="81"/>
        <v>34.604929233772715</v>
      </c>
      <c r="U198" s="39">
        <f t="shared" si="82"/>
        <v>29.637872132747738</v>
      </c>
      <c r="V198" s="39">
        <f t="shared" si="83"/>
        <v>40.153977550024486</v>
      </c>
      <c r="W198" s="39">
        <f t="shared" si="84"/>
        <v>44.797706198145278</v>
      </c>
      <c r="X198" s="39">
        <f t="shared" si="85"/>
        <v>37.642508540751727</v>
      </c>
      <c r="Y198" s="39">
        <f t="shared" si="86"/>
        <v>41.232796486090805</v>
      </c>
      <c r="Z198" s="39">
        <f t="shared" si="87"/>
        <v>42.270619814543565</v>
      </c>
      <c r="AA198" s="39">
        <f t="shared" si="88"/>
        <v>42.362127867252312</v>
      </c>
      <c r="AB198" s="38"/>
      <c r="AE198" s="15">
        <v>1.638888888888889E-2</v>
      </c>
      <c r="AF198" s="14">
        <f t="shared" si="89"/>
        <v>1416</v>
      </c>
      <c r="AG198" s="8">
        <v>2.0623</v>
      </c>
      <c r="AH198" s="8">
        <v>2.0493000000000001</v>
      </c>
      <c r="AI198" s="8">
        <v>2.0449000000000002</v>
      </c>
      <c r="AJ198" s="8">
        <v>2.0329999999999999</v>
      </c>
      <c r="AK198" s="8">
        <v>2.0417999999999998</v>
      </c>
      <c r="AL198" s="8">
        <v>2.0344000000000002</v>
      </c>
      <c r="AM198" s="8">
        <v>1.9644999999999999</v>
      </c>
      <c r="AN198" s="8">
        <v>1.9527000000000001</v>
      </c>
      <c r="AO198" s="8">
        <v>1.9496</v>
      </c>
      <c r="AP198" s="8">
        <v>1.9683999999999999</v>
      </c>
      <c r="AQ198" s="8">
        <v>1.9996</v>
      </c>
      <c r="AR198" s="8">
        <v>1.9712000000000001</v>
      </c>
      <c r="AS198" s="8">
        <v>2.0314999999999999</v>
      </c>
      <c r="AT198" s="8">
        <v>2.0314000000000001</v>
      </c>
      <c r="AU198" s="8">
        <v>2.0457999999999998</v>
      </c>
      <c r="AV198" s="8">
        <v>2.0392999999999999</v>
      </c>
      <c r="AW198" s="8">
        <v>2.044</v>
      </c>
      <c r="AX198" s="8">
        <v>2.0234999999999999</v>
      </c>
      <c r="AY198" s="8">
        <v>2.0225</v>
      </c>
      <c r="AZ198" s="8">
        <v>2.0131000000000001</v>
      </c>
      <c r="BA198" s="8">
        <v>2.0177</v>
      </c>
      <c r="BB198" s="8">
        <v>2.0206</v>
      </c>
      <c r="BC198" s="8">
        <v>2.0186000000000002</v>
      </c>
      <c r="BD198" s="8">
        <v>1.9890000000000001</v>
      </c>
    </row>
    <row r="199" spans="2:56" s="13" customFormat="1" x14ac:dyDescent="0.3">
      <c r="B199" s="22">
        <f t="shared" si="64"/>
        <v>1424</v>
      </c>
      <c r="C199" s="40">
        <f t="shared" si="65"/>
        <v>21.346266471449439</v>
      </c>
      <c r="D199" s="40">
        <f t="shared" si="66"/>
        <v>19.081991215227045</v>
      </c>
      <c r="E199" s="40">
        <f t="shared" si="67"/>
        <v>31.609565641776449</v>
      </c>
      <c r="F199" s="40">
        <f t="shared" si="68"/>
        <v>29.74280136652024</v>
      </c>
      <c r="G199" s="40">
        <f t="shared" si="69"/>
        <v>32.437774524158122</v>
      </c>
      <c r="H199" s="40">
        <f t="shared" si="70"/>
        <v>31.570034163006426</v>
      </c>
      <c r="I199" s="40">
        <f t="shared" si="71"/>
        <v>58.077354807223067</v>
      </c>
      <c r="J199" s="40">
        <f t="shared" si="72"/>
        <v>63.892386530014512</v>
      </c>
      <c r="K199" s="40">
        <f t="shared" si="73"/>
        <v>58.945583211322621</v>
      </c>
      <c r="L199" s="40">
        <f t="shared" si="74"/>
        <v>56.423133235724698</v>
      </c>
      <c r="M199" s="40">
        <f t="shared" si="75"/>
        <v>41.355539287457148</v>
      </c>
      <c r="N199" s="40">
        <f t="shared" si="76"/>
        <v>35.694241093216135</v>
      </c>
      <c r="O199" s="40"/>
      <c r="P199" s="39">
        <f t="shared" si="77"/>
        <v>38.362371888726187</v>
      </c>
      <c r="Q199" s="39">
        <f t="shared" si="78"/>
        <v>35.613469985358726</v>
      </c>
      <c r="R199" s="39">
        <f t="shared" si="79"/>
        <v>35.459980478282105</v>
      </c>
      <c r="S199" s="39">
        <f t="shared" si="80"/>
        <v>34.741093216202913</v>
      </c>
      <c r="T199" s="39">
        <f t="shared" si="81"/>
        <v>34.800146412884452</v>
      </c>
      <c r="U199" s="39">
        <f t="shared" si="82"/>
        <v>29.881893606637306</v>
      </c>
      <c r="V199" s="39">
        <f t="shared" si="83"/>
        <v>39.080283064909693</v>
      </c>
      <c r="W199" s="39">
        <f t="shared" si="84"/>
        <v>43.528794533918955</v>
      </c>
      <c r="X199" s="39">
        <f t="shared" si="85"/>
        <v>38.179355783309127</v>
      </c>
      <c r="Y199" s="39">
        <f t="shared" si="86"/>
        <v>41.330405075646674</v>
      </c>
      <c r="Z199" s="39">
        <f t="shared" si="87"/>
        <v>41.63616398243051</v>
      </c>
      <c r="AA199" s="39">
        <f t="shared" si="88"/>
        <v>41.874084919472963</v>
      </c>
      <c r="AB199" s="38"/>
      <c r="AE199" s="15">
        <v>1.6481481481481482E-2</v>
      </c>
      <c r="AF199" s="14">
        <f t="shared" si="89"/>
        <v>1424</v>
      </c>
      <c r="AG199" s="8">
        <v>2.0606</v>
      </c>
      <c r="AH199" s="8">
        <v>2.0499999999999998</v>
      </c>
      <c r="AI199" s="8">
        <v>2.0417000000000001</v>
      </c>
      <c r="AJ199" s="8">
        <v>2.0333000000000001</v>
      </c>
      <c r="AK199" s="8">
        <v>2.0379999999999998</v>
      </c>
      <c r="AL199" s="8">
        <v>2.0337000000000001</v>
      </c>
      <c r="AM199" s="8">
        <v>1.9654</v>
      </c>
      <c r="AN199" s="8">
        <v>1.9536</v>
      </c>
      <c r="AO199" s="8">
        <v>1.9496</v>
      </c>
      <c r="AP199" s="8">
        <v>1.9691000000000001</v>
      </c>
      <c r="AQ199" s="8">
        <v>2.0001000000000002</v>
      </c>
      <c r="AR199" s="8">
        <v>1.9721</v>
      </c>
      <c r="AS199" s="8">
        <v>2.0301999999999998</v>
      </c>
      <c r="AT199" s="8">
        <v>2.0316999999999998</v>
      </c>
      <c r="AU199" s="8">
        <v>2.0463</v>
      </c>
      <c r="AV199" s="8">
        <v>2.0396000000000001</v>
      </c>
      <c r="AW199" s="8">
        <v>2.0436000000000001</v>
      </c>
      <c r="AX199" s="8">
        <v>2.0230000000000001</v>
      </c>
      <c r="AY199" s="8">
        <v>2.0247000000000002</v>
      </c>
      <c r="AZ199" s="8">
        <v>2.0156999999999998</v>
      </c>
      <c r="BA199" s="8">
        <v>2.0165999999999999</v>
      </c>
      <c r="BB199" s="8">
        <v>2.0204</v>
      </c>
      <c r="BC199" s="8">
        <v>2.0198999999999998</v>
      </c>
      <c r="BD199" s="8">
        <v>1.99</v>
      </c>
    </row>
    <row r="200" spans="2:56" s="13" customFormat="1" x14ac:dyDescent="0.3">
      <c r="B200" s="22">
        <f t="shared" si="64"/>
        <v>1432</v>
      </c>
      <c r="C200" s="40">
        <f t="shared" si="65"/>
        <v>20.663006344558347</v>
      </c>
      <c r="D200" s="40">
        <f t="shared" si="66"/>
        <v>18.886774036115305</v>
      </c>
      <c r="E200" s="40">
        <f t="shared" si="67"/>
        <v>30.779892630551444</v>
      </c>
      <c r="F200" s="40">
        <f t="shared" si="68"/>
        <v>29.693997071742412</v>
      </c>
      <c r="G200" s="40">
        <f t="shared" si="69"/>
        <v>30.973645680819857</v>
      </c>
      <c r="H200" s="40">
        <f t="shared" si="70"/>
        <v>31.081991215227074</v>
      </c>
      <c r="I200" s="40">
        <f t="shared" si="71"/>
        <v>58.370180575890679</v>
      </c>
      <c r="J200" s="40">
        <f t="shared" si="72"/>
        <v>63.989995119570395</v>
      </c>
      <c r="K200" s="40">
        <f t="shared" si="73"/>
        <v>59.824060517325556</v>
      </c>
      <c r="L200" s="40">
        <f t="shared" si="74"/>
        <v>57.106393362615897</v>
      </c>
      <c r="M200" s="40">
        <f t="shared" si="75"/>
        <v>41.697169350902797</v>
      </c>
      <c r="N200" s="40">
        <f t="shared" si="76"/>
        <v>36.377501220107327</v>
      </c>
      <c r="O200" s="40"/>
      <c r="P200" s="39">
        <f t="shared" si="77"/>
        <v>38.264763299170106</v>
      </c>
      <c r="Q200" s="39">
        <f t="shared" si="78"/>
        <v>35.955100048804162</v>
      </c>
      <c r="R200" s="39">
        <f t="shared" si="79"/>
        <v>35.313567593948193</v>
      </c>
      <c r="S200" s="39">
        <f t="shared" si="80"/>
        <v>35.326744753538129</v>
      </c>
      <c r="T200" s="39">
        <f t="shared" si="81"/>
        <v>34.89775500244032</v>
      </c>
      <c r="U200" s="39">
        <f t="shared" si="82"/>
        <v>29.979502196193174</v>
      </c>
      <c r="V200" s="39">
        <f t="shared" si="83"/>
        <v>40.934846266471446</v>
      </c>
      <c r="W200" s="39">
        <f t="shared" si="84"/>
        <v>44.456076134699842</v>
      </c>
      <c r="X200" s="39">
        <f t="shared" si="85"/>
        <v>38.032942898975215</v>
      </c>
      <c r="Y200" s="39">
        <f t="shared" si="86"/>
        <v>42.160078086871678</v>
      </c>
      <c r="Z200" s="39">
        <f t="shared" si="87"/>
        <v>41.684968277208341</v>
      </c>
      <c r="AA200" s="39">
        <f t="shared" si="88"/>
        <v>43.142996583699379</v>
      </c>
      <c r="AB200" s="38"/>
      <c r="AE200" s="15">
        <v>1.6574074074074074E-2</v>
      </c>
      <c r="AF200" s="14">
        <f t="shared" si="89"/>
        <v>1432</v>
      </c>
      <c r="AG200" s="8">
        <v>2.0619999999999998</v>
      </c>
      <c r="AH200" s="8">
        <v>2.0503999999999998</v>
      </c>
      <c r="AI200" s="8">
        <v>2.0434000000000001</v>
      </c>
      <c r="AJ200" s="8">
        <v>2.0333999999999999</v>
      </c>
      <c r="AK200" s="8">
        <v>2.0409999999999999</v>
      </c>
      <c r="AL200" s="8">
        <v>2.0347</v>
      </c>
      <c r="AM200" s="8">
        <v>1.9648000000000001</v>
      </c>
      <c r="AN200" s="8">
        <v>1.9534</v>
      </c>
      <c r="AO200" s="8">
        <v>1.9478</v>
      </c>
      <c r="AP200" s="8">
        <v>1.9677</v>
      </c>
      <c r="AQ200" s="8">
        <v>1.9994000000000001</v>
      </c>
      <c r="AR200" s="8">
        <v>1.9706999999999999</v>
      </c>
      <c r="AS200" s="8">
        <v>2.0304000000000002</v>
      </c>
      <c r="AT200" s="8">
        <v>2.0310000000000001</v>
      </c>
      <c r="AU200" s="8">
        <v>2.0466000000000002</v>
      </c>
      <c r="AV200" s="8">
        <v>2.0384000000000002</v>
      </c>
      <c r="AW200" s="8">
        <v>2.0434000000000001</v>
      </c>
      <c r="AX200" s="8">
        <v>2.0228000000000002</v>
      </c>
      <c r="AY200" s="8">
        <v>2.0209000000000001</v>
      </c>
      <c r="AZ200" s="8">
        <v>2.0137999999999998</v>
      </c>
      <c r="BA200" s="8">
        <v>2.0169000000000001</v>
      </c>
      <c r="BB200" s="8">
        <v>2.0186999999999999</v>
      </c>
      <c r="BC200" s="8">
        <v>2.0198</v>
      </c>
      <c r="BD200" s="8">
        <v>1.9874000000000001</v>
      </c>
    </row>
    <row r="201" spans="2:56" s="13" customFormat="1" x14ac:dyDescent="0.3">
      <c r="B201" s="22">
        <f t="shared" si="64"/>
        <v>1440</v>
      </c>
      <c r="C201" s="40">
        <f t="shared" si="65"/>
        <v>22.32235236700814</v>
      </c>
      <c r="D201" s="40">
        <f t="shared" si="66"/>
        <v>18.691556857003349</v>
      </c>
      <c r="E201" s="40">
        <f t="shared" si="67"/>
        <v>30.92630551488535</v>
      </c>
      <c r="F201" s="40">
        <f t="shared" si="68"/>
        <v>30.182040019521764</v>
      </c>
      <c r="G201" s="40">
        <f t="shared" si="69"/>
        <v>31.949731576378561</v>
      </c>
      <c r="H201" s="40">
        <f t="shared" si="70"/>
        <v>30.935578330893158</v>
      </c>
      <c r="I201" s="40">
        <f t="shared" si="71"/>
        <v>58.614202049780459</v>
      </c>
      <c r="J201" s="40">
        <f t="shared" si="72"/>
        <v>64.673255246461594</v>
      </c>
      <c r="K201" s="40">
        <f t="shared" si="73"/>
        <v>59.238408979990226</v>
      </c>
      <c r="L201" s="40">
        <f t="shared" si="74"/>
        <v>57.155197657393835</v>
      </c>
      <c r="M201" s="40">
        <f t="shared" si="75"/>
        <v>41.404343582235185</v>
      </c>
      <c r="N201" s="40">
        <f t="shared" si="76"/>
        <v>36.035871156661678</v>
      </c>
      <c r="O201" s="40"/>
      <c r="P201" s="39">
        <f t="shared" si="77"/>
        <v>38.411176183504018</v>
      </c>
      <c r="Q201" s="39">
        <f t="shared" si="78"/>
        <v>36.003904343582214</v>
      </c>
      <c r="R201" s="39">
        <f t="shared" si="79"/>
        <v>35.264763299170369</v>
      </c>
      <c r="S201" s="39">
        <f t="shared" si="80"/>
        <v>34.643484626647037</v>
      </c>
      <c r="T201" s="39">
        <f t="shared" si="81"/>
        <v>35.385797950219676</v>
      </c>
      <c r="U201" s="39">
        <f t="shared" si="82"/>
        <v>30.12591508052709</v>
      </c>
      <c r="V201" s="39">
        <f t="shared" si="83"/>
        <v>39.617130307467093</v>
      </c>
      <c r="W201" s="39">
        <f t="shared" si="84"/>
        <v>44.651293313811578</v>
      </c>
      <c r="X201" s="39">
        <f t="shared" si="85"/>
        <v>37.740117130307596</v>
      </c>
      <c r="Y201" s="39">
        <f t="shared" si="86"/>
        <v>41.720839433870161</v>
      </c>
      <c r="Z201" s="39">
        <f t="shared" si="87"/>
        <v>42.124206930209866</v>
      </c>
      <c r="AA201" s="39">
        <f t="shared" si="88"/>
        <v>42.362127867252312</v>
      </c>
      <c r="AB201" s="38"/>
      <c r="AE201" s="15">
        <v>1.6666666666666666E-2</v>
      </c>
      <c r="AF201" s="14">
        <f t="shared" si="89"/>
        <v>1440</v>
      </c>
      <c r="AG201" s="8">
        <v>2.0586000000000002</v>
      </c>
      <c r="AH201" s="8">
        <v>2.0508000000000002</v>
      </c>
      <c r="AI201" s="8">
        <v>2.0430999999999999</v>
      </c>
      <c r="AJ201" s="8">
        <v>2.0324</v>
      </c>
      <c r="AK201" s="8">
        <v>2.0390000000000001</v>
      </c>
      <c r="AL201" s="8">
        <v>2.0350000000000001</v>
      </c>
      <c r="AM201" s="8">
        <v>1.9642999999999999</v>
      </c>
      <c r="AN201" s="8">
        <v>1.952</v>
      </c>
      <c r="AO201" s="8">
        <v>1.9490000000000001</v>
      </c>
      <c r="AP201" s="8">
        <v>1.9676</v>
      </c>
      <c r="AQ201" s="8">
        <v>2</v>
      </c>
      <c r="AR201" s="8">
        <v>1.9714</v>
      </c>
      <c r="AS201" s="8">
        <v>2.0301</v>
      </c>
      <c r="AT201" s="8">
        <v>2.0308999999999999</v>
      </c>
      <c r="AU201" s="8">
        <v>2.0467</v>
      </c>
      <c r="AV201" s="8">
        <v>2.0398000000000001</v>
      </c>
      <c r="AW201" s="8">
        <v>2.0424000000000002</v>
      </c>
      <c r="AX201" s="8">
        <v>2.0225</v>
      </c>
      <c r="AY201" s="8">
        <v>2.0236000000000001</v>
      </c>
      <c r="AZ201" s="8">
        <v>2.0133999999999999</v>
      </c>
      <c r="BA201" s="8">
        <v>2.0175000000000001</v>
      </c>
      <c r="BB201" s="8">
        <v>2.0196000000000001</v>
      </c>
      <c r="BC201" s="8">
        <v>2.0188999999999999</v>
      </c>
      <c r="BD201" s="8">
        <v>1.9890000000000001</v>
      </c>
    </row>
    <row r="202" spans="2:56" s="13" customFormat="1" x14ac:dyDescent="0.3">
      <c r="B202" s="22">
        <f t="shared" si="64"/>
        <v>1448</v>
      </c>
      <c r="C202" s="40">
        <f t="shared" si="65"/>
        <v>20.858223523670087</v>
      </c>
      <c r="D202" s="40">
        <f t="shared" si="66"/>
        <v>19.228404099560741</v>
      </c>
      <c r="E202" s="40">
        <f t="shared" si="67"/>
        <v>31.560761346998618</v>
      </c>
      <c r="F202" s="40">
        <f t="shared" si="68"/>
        <v>30.377257198633501</v>
      </c>
      <c r="G202" s="40">
        <f t="shared" si="69"/>
        <v>32.242557345046166</v>
      </c>
      <c r="H202" s="40">
        <f t="shared" si="70"/>
        <v>31.960468521229902</v>
      </c>
      <c r="I202" s="40">
        <f t="shared" si="71"/>
        <v>59.151049292337746</v>
      </c>
      <c r="J202" s="40">
        <f t="shared" si="72"/>
        <v>64.380429477793982</v>
      </c>
      <c r="K202" s="40">
        <f t="shared" si="73"/>
        <v>59.628843338213819</v>
      </c>
      <c r="L202" s="40">
        <f t="shared" si="74"/>
        <v>57.594436310395359</v>
      </c>
      <c r="M202" s="40">
        <f t="shared" si="75"/>
        <v>41.160322108345397</v>
      </c>
      <c r="N202" s="40">
        <f t="shared" si="76"/>
        <v>36.084675451439615</v>
      </c>
      <c r="O202" s="40"/>
      <c r="P202" s="39">
        <f t="shared" si="77"/>
        <v>38.655197657393806</v>
      </c>
      <c r="Q202" s="39">
        <f t="shared" si="78"/>
        <v>36.101512933138082</v>
      </c>
      <c r="R202" s="39">
        <f t="shared" si="79"/>
        <v>35.215959004392325</v>
      </c>
      <c r="S202" s="39">
        <f t="shared" si="80"/>
        <v>35.326744753538129</v>
      </c>
      <c r="T202" s="39">
        <f t="shared" si="81"/>
        <v>35.190580771107939</v>
      </c>
      <c r="U202" s="39">
        <f t="shared" si="82"/>
        <v>29.93069790141535</v>
      </c>
      <c r="V202" s="39">
        <f t="shared" si="83"/>
        <v>40.153977550024486</v>
      </c>
      <c r="W202" s="39">
        <f t="shared" si="84"/>
        <v>44.55368472425571</v>
      </c>
      <c r="X202" s="39">
        <f t="shared" si="85"/>
        <v>38.813811615422388</v>
      </c>
      <c r="Y202" s="39">
        <f t="shared" si="86"/>
        <v>41.476817959980593</v>
      </c>
      <c r="Z202" s="39">
        <f t="shared" si="87"/>
        <v>42.661054172767258</v>
      </c>
      <c r="AA202" s="39">
        <f t="shared" si="88"/>
        <v>42.459736456808294</v>
      </c>
      <c r="AB202" s="38"/>
      <c r="AE202" s="15">
        <v>1.6759259259259258E-2</v>
      </c>
      <c r="AF202" s="14">
        <f t="shared" si="89"/>
        <v>1448</v>
      </c>
      <c r="AG202" s="8">
        <v>2.0615999999999999</v>
      </c>
      <c r="AH202" s="8">
        <v>2.0497000000000001</v>
      </c>
      <c r="AI202" s="8">
        <v>2.0417999999999998</v>
      </c>
      <c r="AJ202" s="8">
        <v>2.032</v>
      </c>
      <c r="AK202" s="8">
        <v>2.0384000000000002</v>
      </c>
      <c r="AL202" s="8">
        <v>2.0329000000000002</v>
      </c>
      <c r="AM202" s="8">
        <v>1.9632000000000001</v>
      </c>
      <c r="AN202" s="8">
        <v>1.9525999999999999</v>
      </c>
      <c r="AO202" s="8">
        <v>1.9481999999999999</v>
      </c>
      <c r="AP202" s="8">
        <v>1.9666999999999999</v>
      </c>
      <c r="AQ202" s="8">
        <v>2.0005000000000002</v>
      </c>
      <c r="AR202" s="8">
        <v>1.9713000000000001</v>
      </c>
      <c r="AS202" s="8">
        <v>2.0295999999999998</v>
      </c>
      <c r="AT202" s="8">
        <v>2.0306999999999999</v>
      </c>
      <c r="AU202" s="8">
        <v>2.0468000000000002</v>
      </c>
      <c r="AV202" s="8">
        <v>2.0384000000000002</v>
      </c>
      <c r="AW202" s="8">
        <v>2.0428000000000002</v>
      </c>
      <c r="AX202" s="8">
        <v>2.0228999999999999</v>
      </c>
      <c r="AY202" s="8">
        <v>2.0225</v>
      </c>
      <c r="AZ202" s="8">
        <v>2.0135999999999998</v>
      </c>
      <c r="BA202" s="8">
        <v>2.0152999999999999</v>
      </c>
      <c r="BB202" s="8">
        <v>2.0200999999999998</v>
      </c>
      <c r="BC202" s="8">
        <v>2.0177999999999998</v>
      </c>
      <c r="BD202" s="8">
        <v>1.9887999999999999</v>
      </c>
    </row>
    <row r="203" spans="2:56" s="13" customFormat="1" x14ac:dyDescent="0.3">
      <c r="B203" s="22">
        <f t="shared" si="64"/>
        <v>1455.9999999999998</v>
      </c>
      <c r="C203" s="40">
        <f t="shared" si="65"/>
        <v>21.297462176671399</v>
      </c>
      <c r="D203" s="40">
        <f t="shared" si="66"/>
        <v>18.154709614446173</v>
      </c>
      <c r="E203" s="40">
        <f t="shared" si="67"/>
        <v>31.072718399219049</v>
      </c>
      <c r="F203" s="40">
        <f t="shared" si="68"/>
        <v>30.035627135187848</v>
      </c>
      <c r="G203" s="40">
        <f t="shared" si="69"/>
        <v>32.340165934602254</v>
      </c>
      <c r="H203" s="40">
        <f t="shared" si="70"/>
        <v>32.058077110785774</v>
      </c>
      <c r="I203" s="40">
        <f t="shared" si="71"/>
        <v>57.882137628111323</v>
      </c>
      <c r="J203" s="40">
        <f t="shared" si="72"/>
        <v>64.575646656905718</v>
      </c>
      <c r="K203" s="40">
        <f t="shared" si="73"/>
        <v>59.921669106881424</v>
      </c>
      <c r="L203" s="40">
        <f t="shared" si="74"/>
        <v>58.375305026842319</v>
      </c>
      <c r="M203" s="40">
        <f t="shared" si="75"/>
        <v>41.306734992679317</v>
      </c>
      <c r="N203" s="40">
        <f t="shared" si="76"/>
        <v>36.279892630551352</v>
      </c>
      <c r="O203" s="40"/>
      <c r="P203" s="39">
        <f t="shared" si="77"/>
        <v>39.631283552952503</v>
      </c>
      <c r="Q203" s="39">
        <f t="shared" si="78"/>
        <v>36.150317227915913</v>
      </c>
      <c r="R203" s="39">
        <f t="shared" si="79"/>
        <v>36.045632015617329</v>
      </c>
      <c r="S203" s="39">
        <f t="shared" si="80"/>
        <v>34.985114690092693</v>
      </c>
      <c r="T203" s="39">
        <f t="shared" si="81"/>
        <v>35.385797950219676</v>
      </c>
      <c r="U203" s="39">
        <f t="shared" si="82"/>
        <v>30.809175207418178</v>
      </c>
      <c r="V203" s="39">
        <f t="shared" si="83"/>
        <v>40.446803318692098</v>
      </c>
      <c r="W203" s="39">
        <f t="shared" si="84"/>
        <v>44.212054660810054</v>
      </c>
      <c r="X203" s="39">
        <f t="shared" si="85"/>
        <v>38.813811615422388</v>
      </c>
      <c r="Y203" s="39">
        <f t="shared" si="86"/>
        <v>41.67203513909233</v>
      </c>
      <c r="Z203" s="39">
        <f t="shared" si="87"/>
        <v>42.221815519765734</v>
      </c>
      <c r="AA203" s="39">
        <f t="shared" si="88"/>
        <v>43.142996583699379</v>
      </c>
      <c r="AB203" s="38"/>
      <c r="AE203" s="15">
        <v>1.6851851851851851E-2</v>
      </c>
      <c r="AF203" s="14">
        <f t="shared" si="89"/>
        <v>1455.9999999999998</v>
      </c>
      <c r="AG203" s="8">
        <v>2.0607000000000002</v>
      </c>
      <c r="AH203" s="8">
        <v>2.0518999999999998</v>
      </c>
      <c r="AI203" s="8">
        <v>2.0428000000000002</v>
      </c>
      <c r="AJ203" s="8">
        <v>2.0327000000000002</v>
      </c>
      <c r="AK203" s="8">
        <v>2.0381999999999998</v>
      </c>
      <c r="AL203" s="8">
        <v>2.0327000000000002</v>
      </c>
      <c r="AM203" s="8">
        <v>1.9658</v>
      </c>
      <c r="AN203" s="8">
        <v>1.9521999999999999</v>
      </c>
      <c r="AO203" s="8">
        <v>1.9476</v>
      </c>
      <c r="AP203" s="8">
        <v>1.9651000000000001</v>
      </c>
      <c r="AQ203" s="8">
        <v>2.0002</v>
      </c>
      <c r="AR203" s="8">
        <v>1.9709000000000001</v>
      </c>
      <c r="AS203" s="8">
        <v>2.0276000000000001</v>
      </c>
      <c r="AT203" s="8">
        <v>2.0306000000000002</v>
      </c>
      <c r="AU203" s="8">
        <v>2.0451000000000001</v>
      </c>
      <c r="AV203" s="8">
        <v>2.0390999999999999</v>
      </c>
      <c r="AW203" s="8">
        <v>2.0424000000000002</v>
      </c>
      <c r="AX203" s="8">
        <v>2.0211000000000001</v>
      </c>
      <c r="AY203" s="8">
        <v>2.0219</v>
      </c>
      <c r="AZ203" s="8">
        <v>2.0143</v>
      </c>
      <c r="BA203" s="8">
        <v>2.0152999999999999</v>
      </c>
      <c r="BB203" s="8">
        <v>2.0196999999999998</v>
      </c>
      <c r="BC203" s="8">
        <v>2.0186999999999999</v>
      </c>
      <c r="BD203" s="8">
        <v>1.9874000000000001</v>
      </c>
    </row>
    <row r="204" spans="2:56" s="13" customFormat="1" x14ac:dyDescent="0.3">
      <c r="B204" s="22">
        <f t="shared" si="64"/>
        <v>1464</v>
      </c>
      <c r="C204" s="40">
        <f t="shared" si="65"/>
        <v>21.199853587115527</v>
      </c>
      <c r="D204" s="40">
        <f t="shared" si="66"/>
        <v>18.740361151781393</v>
      </c>
      <c r="E204" s="40">
        <f t="shared" si="67"/>
        <v>30.779892630551444</v>
      </c>
      <c r="F204" s="40">
        <f t="shared" si="68"/>
        <v>30.377257198633501</v>
      </c>
      <c r="G204" s="40">
        <f t="shared" si="69"/>
        <v>33.169838945827038</v>
      </c>
      <c r="H204" s="40">
        <f t="shared" si="70"/>
        <v>30.935578330893158</v>
      </c>
      <c r="I204" s="40">
        <f t="shared" si="71"/>
        <v>58.516593460224591</v>
      </c>
      <c r="J204" s="40">
        <f t="shared" si="72"/>
        <v>64.087603709126256</v>
      </c>
      <c r="K204" s="40">
        <f t="shared" si="73"/>
        <v>60.800146412884366</v>
      </c>
      <c r="L204" s="40">
        <f t="shared" si="74"/>
        <v>57.643240605173297</v>
      </c>
      <c r="M204" s="40">
        <f t="shared" si="75"/>
        <v>42.380429477793996</v>
      </c>
      <c r="N204" s="40">
        <f t="shared" si="76"/>
        <v>35.987066861883747</v>
      </c>
      <c r="O204" s="40"/>
      <c r="P204" s="39">
        <f t="shared" si="77"/>
        <v>38.655197657393806</v>
      </c>
      <c r="Q204" s="39">
        <f t="shared" si="78"/>
        <v>36.540751586139606</v>
      </c>
      <c r="R204" s="39">
        <f t="shared" si="79"/>
        <v>36.484870668618854</v>
      </c>
      <c r="S204" s="39">
        <f t="shared" si="80"/>
        <v>35.229136163982261</v>
      </c>
      <c r="T204" s="39">
        <f t="shared" si="81"/>
        <v>34.556124938994884</v>
      </c>
      <c r="U204" s="39">
        <f t="shared" si="82"/>
        <v>30.565153733528618</v>
      </c>
      <c r="V204" s="39">
        <f t="shared" si="83"/>
        <v>40.739629087359702</v>
      </c>
      <c r="W204" s="39">
        <f t="shared" si="84"/>
        <v>44.212054660810054</v>
      </c>
      <c r="X204" s="39">
        <f t="shared" si="85"/>
        <v>38.813811615422388</v>
      </c>
      <c r="Y204" s="39">
        <f t="shared" si="86"/>
        <v>41.769643728648198</v>
      </c>
      <c r="Z204" s="39">
        <f t="shared" si="87"/>
        <v>42.368228404099433</v>
      </c>
      <c r="AA204" s="39">
        <f t="shared" si="88"/>
        <v>43.04538799414351</v>
      </c>
      <c r="AB204" s="38"/>
      <c r="AE204" s="15">
        <v>1.6944444444444443E-2</v>
      </c>
      <c r="AF204" s="14">
        <f t="shared" si="89"/>
        <v>1464</v>
      </c>
      <c r="AG204" s="8">
        <v>2.0609000000000002</v>
      </c>
      <c r="AH204" s="8">
        <v>2.0507</v>
      </c>
      <c r="AI204" s="8">
        <v>2.0434000000000001</v>
      </c>
      <c r="AJ204" s="8">
        <v>2.032</v>
      </c>
      <c r="AK204" s="8">
        <v>2.0365000000000002</v>
      </c>
      <c r="AL204" s="8">
        <v>2.0350000000000001</v>
      </c>
      <c r="AM204" s="8">
        <v>1.9644999999999999</v>
      </c>
      <c r="AN204" s="8">
        <v>1.9532</v>
      </c>
      <c r="AO204" s="8">
        <v>1.9458</v>
      </c>
      <c r="AP204" s="8">
        <v>1.9665999999999999</v>
      </c>
      <c r="AQ204" s="8">
        <v>1.998</v>
      </c>
      <c r="AR204" s="8">
        <v>1.9715</v>
      </c>
      <c r="AS204" s="8">
        <v>2.0295999999999998</v>
      </c>
      <c r="AT204" s="8">
        <v>2.0297999999999998</v>
      </c>
      <c r="AU204" s="8">
        <v>2.0442</v>
      </c>
      <c r="AV204" s="8">
        <v>2.0386000000000002</v>
      </c>
      <c r="AW204" s="8">
        <v>2.0440999999999998</v>
      </c>
      <c r="AX204" s="8">
        <v>2.0215999999999998</v>
      </c>
      <c r="AY204" s="8">
        <v>2.0213000000000001</v>
      </c>
      <c r="AZ204" s="8">
        <v>2.0143</v>
      </c>
      <c r="BA204" s="8">
        <v>2.0152999999999999</v>
      </c>
      <c r="BB204" s="8">
        <v>2.0194999999999999</v>
      </c>
      <c r="BC204" s="8">
        <v>2.0184000000000002</v>
      </c>
      <c r="BD204" s="8">
        <v>1.9876</v>
      </c>
    </row>
    <row r="205" spans="2:56" s="13" customFormat="1" x14ac:dyDescent="0.3">
      <c r="B205" s="22">
        <f t="shared" si="64"/>
        <v>1472</v>
      </c>
      <c r="C205" s="40">
        <f t="shared" si="65"/>
        <v>20.272571986334651</v>
      </c>
      <c r="D205" s="40">
        <f t="shared" si="66"/>
        <v>18.252318204002041</v>
      </c>
      <c r="E205" s="40">
        <f t="shared" si="67"/>
        <v>31.121522693997097</v>
      </c>
      <c r="F205" s="40">
        <f t="shared" si="68"/>
        <v>29.254758418740888</v>
      </c>
      <c r="G205" s="40">
        <f t="shared" si="69"/>
        <v>31.510492923377246</v>
      </c>
      <c r="H205" s="40">
        <f t="shared" si="70"/>
        <v>31.326012689116858</v>
      </c>
      <c r="I205" s="40">
        <f t="shared" si="71"/>
        <v>58.467789165446653</v>
      </c>
      <c r="J205" s="40">
        <f t="shared" si="72"/>
        <v>65.161298194240942</v>
      </c>
      <c r="K205" s="40">
        <f t="shared" si="73"/>
        <v>60.848950707662297</v>
      </c>
      <c r="L205" s="40">
        <f t="shared" si="74"/>
        <v>58.42410932162025</v>
      </c>
      <c r="M205" s="40">
        <f t="shared" si="75"/>
        <v>42.380429477793996</v>
      </c>
      <c r="N205" s="40">
        <f t="shared" si="76"/>
        <v>37.060761346998419</v>
      </c>
      <c r="O205" s="40"/>
      <c r="P205" s="39">
        <f t="shared" si="77"/>
        <v>38.899219131283374</v>
      </c>
      <c r="Q205" s="39">
        <f t="shared" si="78"/>
        <v>36.491947291361562</v>
      </c>
      <c r="R205" s="39">
        <f t="shared" si="79"/>
        <v>36.484870668618854</v>
      </c>
      <c r="S205" s="39">
        <f t="shared" si="80"/>
        <v>35.033918984870525</v>
      </c>
      <c r="T205" s="39">
        <f t="shared" si="81"/>
        <v>35.873840897999244</v>
      </c>
      <c r="U205" s="39">
        <f t="shared" si="82"/>
        <v>30.711566617862307</v>
      </c>
      <c r="V205" s="39">
        <f t="shared" si="83"/>
        <v>40.886041971693622</v>
      </c>
      <c r="W205" s="39">
        <f t="shared" si="84"/>
        <v>44.065641776476141</v>
      </c>
      <c r="X205" s="39">
        <f t="shared" si="85"/>
        <v>38.228160078086951</v>
      </c>
      <c r="Y205" s="39">
        <f t="shared" si="86"/>
        <v>42.355295265983422</v>
      </c>
      <c r="Z205" s="39">
        <f t="shared" si="87"/>
        <v>42.56344558321139</v>
      </c>
      <c r="AA205" s="39">
        <f t="shared" si="88"/>
        <v>43.094192288921441</v>
      </c>
      <c r="AB205" s="38"/>
      <c r="AE205" s="15">
        <v>1.7037037037037038E-2</v>
      </c>
      <c r="AF205" s="14">
        <f t="shared" si="89"/>
        <v>1472</v>
      </c>
      <c r="AG205" s="8">
        <v>2.0628000000000002</v>
      </c>
      <c r="AH205" s="8">
        <v>2.0516999999999999</v>
      </c>
      <c r="AI205" s="8">
        <v>2.0427</v>
      </c>
      <c r="AJ205" s="8">
        <v>2.0343</v>
      </c>
      <c r="AK205" s="8">
        <v>2.0398999999999998</v>
      </c>
      <c r="AL205" s="8">
        <v>2.0341999999999998</v>
      </c>
      <c r="AM205" s="8">
        <v>1.9645999999999999</v>
      </c>
      <c r="AN205" s="8">
        <v>1.9510000000000001</v>
      </c>
      <c r="AO205" s="8">
        <v>1.9457</v>
      </c>
      <c r="AP205" s="8">
        <v>1.9650000000000001</v>
      </c>
      <c r="AQ205" s="8">
        <v>1.998</v>
      </c>
      <c r="AR205" s="8">
        <v>1.9693000000000001</v>
      </c>
      <c r="AS205" s="8">
        <v>2.0291000000000001</v>
      </c>
      <c r="AT205" s="8">
        <v>2.0299</v>
      </c>
      <c r="AU205" s="8">
        <v>2.0442</v>
      </c>
      <c r="AV205" s="8">
        <v>2.0390000000000001</v>
      </c>
      <c r="AW205" s="8">
        <v>2.0413999999999999</v>
      </c>
      <c r="AX205" s="8">
        <v>2.0213000000000001</v>
      </c>
      <c r="AY205" s="8">
        <v>2.0209999999999999</v>
      </c>
      <c r="AZ205" s="8">
        <v>2.0146000000000002</v>
      </c>
      <c r="BA205" s="8">
        <v>2.0165000000000002</v>
      </c>
      <c r="BB205" s="8">
        <v>2.0183</v>
      </c>
      <c r="BC205" s="8">
        <v>2.0179999999999998</v>
      </c>
      <c r="BD205" s="8">
        <v>1.9875</v>
      </c>
    </row>
    <row r="206" spans="2:56" s="13" customFormat="1" x14ac:dyDescent="0.3">
      <c r="B206" s="22">
        <f t="shared" si="64"/>
        <v>1479.9999999999998</v>
      </c>
      <c r="C206" s="40">
        <f t="shared" si="65"/>
        <v>20.028550512445083</v>
      </c>
      <c r="D206" s="40">
        <f t="shared" si="66"/>
        <v>18.349926793557909</v>
      </c>
      <c r="E206" s="40">
        <f t="shared" si="67"/>
        <v>30.243045387994048</v>
      </c>
      <c r="F206" s="40">
        <f t="shared" si="68"/>
        <v>29.35236700829676</v>
      </c>
      <c r="G206" s="40">
        <f t="shared" si="69"/>
        <v>32.144948755490297</v>
      </c>
      <c r="H206" s="40">
        <f t="shared" si="70"/>
        <v>30.935578330893158</v>
      </c>
      <c r="I206" s="40">
        <f t="shared" si="71"/>
        <v>57.979746217667198</v>
      </c>
      <c r="J206" s="40">
        <f t="shared" si="72"/>
        <v>64.087603709126256</v>
      </c>
      <c r="K206" s="40">
        <f t="shared" si="73"/>
        <v>60.800146412884366</v>
      </c>
      <c r="L206" s="40">
        <f t="shared" si="74"/>
        <v>58.326500732064382</v>
      </c>
      <c r="M206" s="40">
        <f t="shared" si="75"/>
        <v>42.23401659346019</v>
      </c>
      <c r="N206" s="40">
        <f t="shared" si="76"/>
        <v>36.52391410444114</v>
      </c>
      <c r="O206" s="40"/>
      <c r="P206" s="39">
        <f t="shared" si="77"/>
        <v>38.948023426061411</v>
      </c>
      <c r="Q206" s="39">
        <f t="shared" si="78"/>
        <v>37.077598828696786</v>
      </c>
      <c r="R206" s="39">
        <f t="shared" si="79"/>
        <v>36.533674963396898</v>
      </c>
      <c r="S206" s="39">
        <f t="shared" si="80"/>
        <v>35.521961932650086</v>
      </c>
      <c r="T206" s="39">
        <f t="shared" si="81"/>
        <v>35.483406539775757</v>
      </c>
      <c r="U206" s="39">
        <f t="shared" si="82"/>
        <v>31.394826744753615</v>
      </c>
      <c r="V206" s="39">
        <f t="shared" si="83"/>
        <v>40.349194729136229</v>
      </c>
      <c r="W206" s="39">
        <f t="shared" si="84"/>
        <v>44.309663250365922</v>
      </c>
      <c r="X206" s="39">
        <f t="shared" si="85"/>
        <v>38.472181551976732</v>
      </c>
      <c r="Y206" s="39">
        <f t="shared" si="86"/>
        <v>42.160078086871678</v>
      </c>
      <c r="Z206" s="39">
        <f t="shared" si="87"/>
        <v>42.221815519765734</v>
      </c>
      <c r="AA206" s="39">
        <f t="shared" si="88"/>
        <v>44.119082479258196</v>
      </c>
      <c r="AB206" s="38"/>
      <c r="AE206" s="15">
        <v>1.712962962962963E-2</v>
      </c>
      <c r="AF206" s="14">
        <f t="shared" si="89"/>
        <v>1479.9999999999998</v>
      </c>
      <c r="AG206" s="8">
        <v>2.0632999999999999</v>
      </c>
      <c r="AH206" s="8">
        <v>2.0514999999999999</v>
      </c>
      <c r="AI206" s="8">
        <v>2.0445000000000002</v>
      </c>
      <c r="AJ206" s="8">
        <v>2.0341</v>
      </c>
      <c r="AK206" s="8">
        <v>2.0386000000000002</v>
      </c>
      <c r="AL206" s="8">
        <v>2.0350000000000001</v>
      </c>
      <c r="AM206" s="8">
        <v>1.9656</v>
      </c>
      <c r="AN206" s="8">
        <v>1.9532</v>
      </c>
      <c r="AO206" s="8">
        <v>1.9458</v>
      </c>
      <c r="AP206" s="8">
        <v>1.9652000000000001</v>
      </c>
      <c r="AQ206" s="8">
        <v>1.9983</v>
      </c>
      <c r="AR206" s="8">
        <v>1.9703999999999999</v>
      </c>
      <c r="AS206" s="8">
        <v>2.0289999999999999</v>
      </c>
      <c r="AT206" s="8">
        <v>2.0287000000000002</v>
      </c>
      <c r="AU206" s="8">
        <v>2.0440999999999998</v>
      </c>
      <c r="AV206" s="8">
        <v>2.0379999999999998</v>
      </c>
      <c r="AW206" s="8">
        <v>2.0421999999999998</v>
      </c>
      <c r="AX206" s="8">
        <v>2.0198999999999998</v>
      </c>
      <c r="AY206" s="8">
        <v>2.0221</v>
      </c>
      <c r="AZ206" s="8">
        <v>2.0141</v>
      </c>
      <c r="BA206" s="8">
        <v>2.016</v>
      </c>
      <c r="BB206" s="8">
        <v>2.0186999999999999</v>
      </c>
      <c r="BC206" s="8">
        <v>2.0186999999999999</v>
      </c>
      <c r="BD206" s="8">
        <v>1.9854000000000001</v>
      </c>
    </row>
    <row r="207" spans="2:56" s="13" customFormat="1" x14ac:dyDescent="0.3">
      <c r="B207" s="22">
        <f t="shared" si="64"/>
        <v>1488</v>
      </c>
      <c r="C207" s="40">
        <f t="shared" si="65"/>
        <v>20.711810639336178</v>
      </c>
      <c r="D207" s="40">
        <f t="shared" si="66"/>
        <v>18.642752562225521</v>
      </c>
      <c r="E207" s="40">
        <f t="shared" si="67"/>
        <v>31.023914104441229</v>
      </c>
      <c r="F207" s="40">
        <f t="shared" si="68"/>
        <v>29.547584187408496</v>
      </c>
      <c r="G207" s="40">
        <f t="shared" si="69"/>
        <v>31.90092728160073</v>
      </c>
      <c r="H207" s="40">
        <f t="shared" si="70"/>
        <v>31.47242557345055</v>
      </c>
      <c r="I207" s="40">
        <f t="shared" si="71"/>
        <v>58.516593460224591</v>
      </c>
      <c r="J207" s="40">
        <f t="shared" si="72"/>
        <v>64.52684236212778</v>
      </c>
      <c r="K207" s="40">
        <f t="shared" si="73"/>
        <v>61.581015129331441</v>
      </c>
      <c r="L207" s="40">
        <f t="shared" si="74"/>
        <v>58.326500732064382</v>
      </c>
      <c r="M207" s="40">
        <f t="shared" si="75"/>
        <v>42.673255246461608</v>
      </c>
      <c r="N207" s="40">
        <f t="shared" si="76"/>
        <v>37.060761346998419</v>
      </c>
      <c r="O207" s="40"/>
      <c r="P207" s="39">
        <f t="shared" si="77"/>
        <v>38.948023426061411</v>
      </c>
      <c r="Q207" s="39">
        <f t="shared" si="78"/>
        <v>36.687164470473299</v>
      </c>
      <c r="R207" s="39">
        <f t="shared" si="79"/>
        <v>35.948023426061461</v>
      </c>
      <c r="S207" s="39">
        <f t="shared" si="80"/>
        <v>35.570766227427917</v>
      </c>
      <c r="T207" s="39">
        <f t="shared" si="81"/>
        <v>35.239385065885976</v>
      </c>
      <c r="U207" s="39">
        <f t="shared" si="82"/>
        <v>30.857979502196223</v>
      </c>
      <c r="V207" s="39">
        <f t="shared" si="83"/>
        <v>41.032454856027314</v>
      </c>
      <c r="W207" s="39">
        <f t="shared" si="84"/>
        <v>44.944119082479183</v>
      </c>
      <c r="X207" s="39">
        <f t="shared" si="85"/>
        <v>38.423377257198908</v>
      </c>
      <c r="Y207" s="39">
        <f t="shared" si="86"/>
        <v>42.501708150317334</v>
      </c>
      <c r="Z207" s="39">
        <f t="shared" si="87"/>
        <v>42.95387994143487</v>
      </c>
      <c r="AA207" s="39">
        <f t="shared" si="88"/>
        <v>43.289409468033192</v>
      </c>
      <c r="AB207" s="38"/>
      <c r="AE207" s="15">
        <v>1.7222222222222222E-2</v>
      </c>
      <c r="AF207" s="14">
        <f t="shared" si="89"/>
        <v>1488</v>
      </c>
      <c r="AG207" s="8">
        <v>2.0619000000000001</v>
      </c>
      <c r="AH207" s="8">
        <v>2.0508999999999999</v>
      </c>
      <c r="AI207" s="8">
        <v>2.0428999999999999</v>
      </c>
      <c r="AJ207" s="8">
        <v>2.0337000000000001</v>
      </c>
      <c r="AK207" s="8">
        <v>2.0390999999999999</v>
      </c>
      <c r="AL207" s="8">
        <v>2.0339</v>
      </c>
      <c r="AM207" s="8">
        <v>1.9644999999999999</v>
      </c>
      <c r="AN207" s="8">
        <v>1.9522999999999999</v>
      </c>
      <c r="AO207" s="8">
        <v>1.9441999999999999</v>
      </c>
      <c r="AP207" s="8">
        <v>1.9652000000000001</v>
      </c>
      <c r="AQ207" s="8">
        <v>1.9974000000000001</v>
      </c>
      <c r="AR207" s="8">
        <v>1.9693000000000001</v>
      </c>
      <c r="AS207" s="8">
        <v>2.0289999999999999</v>
      </c>
      <c r="AT207" s="8">
        <v>2.0295000000000001</v>
      </c>
      <c r="AU207" s="8">
        <v>2.0453000000000001</v>
      </c>
      <c r="AV207" s="8">
        <v>2.0379</v>
      </c>
      <c r="AW207" s="8">
        <v>2.0427</v>
      </c>
      <c r="AX207" s="8">
        <v>2.0209999999999999</v>
      </c>
      <c r="AY207" s="8">
        <v>2.0207000000000002</v>
      </c>
      <c r="AZ207" s="8">
        <v>2.0127999999999999</v>
      </c>
      <c r="BA207" s="8">
        <v>2.0160999999999998</v>
      </c>
      <c r="BB207" s="8">
        <v>2.0179999999999998</v>
      </c>
      <c r="BC207" s="8">
        <v>2.0171999999999999</v>
      </c>
      <c r="BD207" s="8">
        <v>1.9871000000000001</v>
      </c>
    </row>
    <row r="208" spans="2:56" s="13" customFormat="1" x14ac:dyDescent="0.3">
      <c r="B208" s="22">
        <f t="shared" si="64"/>
        <v>1496</v>
      </c>
      <c r="C208" s="40">
        <f t="shared" si="65"/>
        <v>19.589311859443562</v>
      </c>
      <c r="D208" s="40">
        <f t="shared" si="66"/>
        <v>19.521229868228353</v>
      </c>
      <c r="E208" s="40">
        <f t="shared" si="67"/>
        <v>31.072718399219049</v>
      </c>
      <c r="F208" s="40">
        <f t="shared" si="68"/>
        <v>29.645192776964368</v>
      </c>
      <c r="G208" s="40">
        <f t="shared" si="69"/>
        <v>32.29136163982421</v>
      </c>
      <c r="H208" s="40">
        <f t="shared" si="70"/>
        <v>30.49633967789185</v>
      </c>
      <c r="I208" s="40">
        <f t="shared" si="71"/>
        <v>59.346266471449489</v>
      </c>
      <c r="J208" s="40">
        <f t="shared" si="72"/>
        <v>64.624450951683656</v>
      </c>
      <c r="K208" s="40">
        <f t="shared" si="73"/>
        <v>61.483406539775565</v>
      </c>
      <c r="L208" s="40">
        <f t="shared" si="74"/>
        <v>59.253782332845262</v>
      </c>
      <c r="M208" s="40">
        <f t="shared" si="75"/>
        <v>42.136408003904322</v>
      </c>
      <c r="N208" s="40">
        <f t="shared" si="76"/>
        <v>36.572718399219077</v>
      </c>
      <c r="O208" s="40"/>
      <c r="P208" s="39">
        <f t="shared" si="77"/>
        <v>39.582479258174679</v>
      </c>
      <c r="Q208" s="39">
        <f t="shared" si="78"/>
        <v>37.663250366032223</v>
      </c>
      <c r="R208" s="39">
        <f t="shared" si="79"/>
        <v>35.557589067837981</v>
      </c>
      <c r="S208" s="39">
        <f t="shared" si="80"/>
        <v>35.424353343094218</v>
      </c>
      <c r="T208" s="39">
        <f t="shared" si="81"/>
        <v>36.264275256222717</v>
      </c>
      <c r="U208" s="39">
        <f t="shared" si="82"/>
        <v>30.51634943875057</v>
      </c>
      <c r="V208" s="39">
        <f t="shared" si="83"/>
        <v>40.690824792581878</v>
      </c>
      <c r="W208" s="39">
        <f t="shared" si="84"/>
        <v>45.041727672035059</v>
      </c>
      <c r="X208" s="39">
        <f t="shared" si="85"/>
        <v>39.009028794534132</v>
      </c>
      <c r="Y208" s="39">
        <f t="shared" si="86"/>
        <v>41.769643728648198</v>
      </c>
      <c r="Z208" s="39">
        <f t="shared" si="87"/>
        <v>43.051488530990738</v>
      </c>
      <c r="AA208" s="39">
        <f t="shared" si="88"/>
        <v>44.216691068814065</v>
      </c>
      <c r="AB208" s="38"/>
      <c r="AE208" s="15">
        <v>1.7314814814814814E-2</v>
      </c>
      <c r="AF208" s="14">
        <f t="shared" si="89"/>
        <v>1496</v>
      </c>
      <c r="AG208" s="8">
        <v>2.0642</v>
      </c>
      <c r="AH208" s="8">
        <v>2.0491000000000001</v>
      </c>
      <c r="AI208" s="8">
        <v>2.0428000000000002</v>
      </c>
      <c r="AJ208" s="8">
        <v>2.0335000000000001</v>
      </c>
      <c r="AK208" s="8">
        <v>2.0383</v>
      </c>
      <c r="AL208" s="8">
        <v>2.0358999999999998</v>
      </c>
      <c r="AM208" s="8">
        <v>1.9628000000000001</v>
      </c>
      <c r="AN208" s="8">
        <v>1.9520999999999999</v>
      </c>
      <c r="AO208" s="8">
        <v>1.9443999999999999</v>
      </c>
      <c r="AP208" s="8">
        <v>1.9633</v>
      </c>
      <c r="AQ208" s="8">
        <v>1.9984999999999999</v>
      </c>
      <c r="AR208" s="8">
        <v>1.9702999999999999</v>
      </c>
      <c r="AS208" s="8">
        <v>2.0276999999999998</v>
      </c>
      <c r="AT208" s="8">
        <v>2.0274999999999999</v>
      </c>
      <c r="AU208" s="8">
        <v>2.0461</v>
      </c>
      <c r="AV208" s="8">
        <v>2.0381999999999998</v>
      </c>
      <c r="AW208" s="8">
        <v>2.0406</v>
      </c>
      <c r="AX208" s="8">
        <v>2.0217000000000001</v>
      </c>
      <c r="AY208" s="8">
        <v>2.0213999999999999</v>
      </c>
      <c r="AZ208" s="8">
        <v>2.0125999999999999</v>
      </c>
      <c r="BA208" s="8">
        <v>2.0148999999999999</v>
      </c>
      <c r="BB208" s="8">
        <v>2.0194999999999999</v>
      </c>
      <c r="BC208" s="8">
        <v>2.0169999999999999</v>
      </c>
      <c r="BD208" s="8">
        <v>1.9852000000000001</v>
      </c>
    </row>
    <row r="209" spans="2:56" s="13" customFormat="1" x14ac:dyDescent="0.3">
      <c r="B209" s="22">
        <f t="shared" si="64"/>
        <v>1504</v>
      </c>
      <c r="C209" s="40">
        <f t="shared" si="65"/>
        <v>20.614202049780303</v>
      </c>
      <c r="D209" s="40">
        <f t="shared" si="66"/>
        <v>19.179599804782917</v>
      </c>
      <c r="E209" s="40">
        <f t="shared" si="67"/>
        <v>30.535871156661877</v>
      </c>
      <c r="F209" s="40">
        <f t="shared" si="68"/>
        <v>29.93801854563198</v>
      </c>
      <c r="G209" s="40">
        <f t="shared" si="69"/>
        <v>32.340165934602254</v>
      </c>
      <c r="H209" s="40">
        <f t="shared" si="70"/>
        <v>31.03318692044903</v>
      </c>
      <c r="I209" s="40">
        <f t="shared" si="71"/>
        <v>58.809419228892203</v>
      </c>
      <c r="J209" s="40">
        <f t="shared" si="72"/>
        <v>64.86847242557333</v>
      </c>
      <c r="K209" s="40">
        <f t="shared" si="73"/>
        <v>62.069058077110782</v>
      </c>
      <c r="L209" s="40">
        <f t="shared" si="74"/>
        <v>58.521717911176125</v>
      </c>
      <c r="M209" s="40">
        <f t="shared" si="75"/>
        <v>41.892386530014534</v>
      </c>
      <c r="N209" s="40">
        <f t="shared" si="76"/>
        <v>36.91434846266462</v>
      </c>
      <c r="O209" s="40"/>
      <c r="P209" s="39">
        <f t="shared" si="77"/>
        <v>39.436066373840767</v>
      </c>
      <c r="Q209" s="39">
        <f t="shared" si="78"/>
        <v>37.370424597364611</v>
      </c>
      <c r="R209" s="39">
        <f t="shared" si="79"/>
        <v>36.240849194729066</v>
      </c>
      <c r="S209" s="39">
        <f t="shared" si="80"/>
        <v>35.863591996095522</v>
      </c>
      <c r="T209" s="39">
        <f t="shared" si="81"/>
        <v>35.971449487555113</v>
      </c>
      <c r="U209" s="39">
        <f t="shared" si="82"/>
        <v>30.857979502196223</v>
      </c>
      <c r="V209" s="39">
        <f t="shared" si="83"/>
        <v>41.032454856027314</v>
      </c>
      <c r="W209" s="39">
        <f t="shared" si="84"/>
        <v>45.480966325036583</v>
      </c>
      <c r="X209" s="39">
        <f t="shared" si="85"/>
        <v>39.399463152757605</v>
      </c>
      <c r="Y209" s="39">
        <f t="shared" si="86"/>
        <v>42.355295265983422</v>
      </c>
      <c r="Z209" s="39">
        <f t="shared" si="87"/>
        <v>42.661054172767258</v>
      </c>
      <c r="AA209" s="39">
        <f t="shared" si="88"/>
        <v>43.97266959492439</v>
      </c>
      <c r="AB209" s="38"/>
      <c r="AE209" s="15">
        <v>1.7407407407407406E-2</v>
      </c>
      <c r="AF209" s="14">
        <f t="shared" si="89"/>
        <v>1504</v>
      </c>
      <c r="AG209" s="8">
        <v>2.0621</v>
      </c>
      <c r="AH209" s="8">
        <v>2.0497999999999998</v>
      </c>
      <c r="AI209" s="8">
        <v>2.0438999999999998</v>
      </c>
      <c r="AJ209" s="8">
        <v>2.0329000000000002</v>
      </c>
      <c r="AK209" s="8">
        <v>2.0381999999999998</v>
      </c>
      <c r="AL209" s="8">
        <v>2.0348000000000002</v>
      </c>
      <c r="AM209" s="8">
        <v>1.9639</v>
      </c>
      <c r="AN209" s="8">
        <v>1.9516</v>
      </c>
      <c r="AO209" s="8">
        <v>1.9432</v>
      </c>
      <c r="AP209" s="8">
        <v>1.9648000000000001</v>
      </c>
      <c r="AQ209" s="8">
        <v>1.9990000000000001</v>
      </c>
      <c r="AR209" s="8">
        <v>1.9696</v>
      </c>
      <c r="AS209" s="8">
        <v>2.028</v>
      </c>
      <c r="AT209" s="8">
        <v>2.0280999999999998</v>
      </c>
      <c r="AU209" s="8">
        <v>2.0447000000000002</v>
      </c>
      <c r="AV209" s="8">
        <v>2.0373000000000001</v>
      </c>
      <c r="AW209" s="8">
        <v>2.0411999999999999</v>
      </c>
      <c r="AX209" s="8">
        <v>2.0209999999999999</v>
      </c>
      <c r="AY209" s="8">
        <v>2.0207000000000002</v>
      </c>
      <c r="AZ209" s="8">
        <v>2.0116999999999998</v>
      </c>
      <c r="BA209" s="8">
        <v>2.0141</v>
      </c>
      <c r="BB209" s="8">
        <v>2.0183</v>
      </c>
      <c r="BC209" s="8">
        <v>2.0177999999999998</v>
      </c>
      <c r="BD209" s="8">
        <v>1.9857</v>
      </c>
    </row>
    <row r="210" spans="2:56" s="13" customFormat="1" x14ac:dyDescent="0.3">
      <c r="B210" s="22">
        <f t="shared" si="64"/>
        <v>1511.9999999999998</v>
      </c>
      <c r="C210" s="40">
        <f t="shared" si="65"/>
        <v>20.663006344558347</v>
      </c>
      <c r="D210" s="40">
        <f t="shared" si="66"/>
        <v>18.691556857003349</v>
      </c>
      <c r="E210" s="40">
        <f t="shared" si="67"/>
        <v>31.170326988774917</v>
      </c>
      <c r="F210" s="40">
        <f t="shared" si="68"/>
        <v>29.986822840410024</v>
      </c>
      <c r="G210" s="40">
        <f t="shared" si="69"/>
        <v>32.047340165934429</v>
      </c>
      <c r="H210" s="40">
        <f t="shared" si="70"/>
        <v>30.740361151781421</v>
      </c>
      <c r="I210" s="40">
        <f t="shared" si="71"/>
        <v>59.102244997559815</v>
      </c>
      <c r="J210" s="40">
        <f t="shared" si="72"/>
        <v>64.917276720351268</v>
      </c>
      <c r="K210" s="40">
        <f t="shared" si="73"/>
        <v>63.874816983894604</v>
      </c>
      <c r="L210" s="40">
        <f t="shared" si="74"/>
        <v>58.912152269399712</v>
      </c>
      <c r="M210" s="40">
        <f t="shared" si="75"/>
        <v>42.136408003904322</v>
      </c>
      <c r="N210" s="40">
        <f t="shared" si="76"/>
        <v>36.572718399219077</v>
      </c>
      <c r="O210" s="40"/>
      <c r="P210" s="39">
        <f t="shared" si="77"/>
        <v>39.972913616398152</v>
      </c>
      <c r="Q210" s="39">
        <f t="shared" si="78"/>
        <v>37.51683748169831</v>
      </c>
      <c r="R210" s="39">
        <f t="shared" si="79"/>
        <v>36.826500732064503</v>
      </c>
      <c r="S210" s="39">
        <f t="shared" si="80"/>
        <v>35.277940458760298</v>
      </c>
      <c r="T210" s="39">
        <f t="shared" si="81"/>
        <v>35.922645192777068</v>
      </c>
      <c r="U210" s="39">
        <f t="shared" si="82"/>
        <v>32.273304050756451</v>
      </c>
      <c r="V210" s="39">
        <f t="shared" si="83"/>
        <v>40.642020497803834</v>
      </c>
      <c r="W210" s="39">
        <f t="shared" si="84"/>
        <v>44.944119082479183</v>
      </c>
      <c r="X210" s="39">
        <f t="shared" si="85"/>
        <v>38.862615910200219</v>
      </c>
      <c r="Y210" s="39">
        <f t="shared" si="86"/>
        <v>42.98975109809669</v>
      </c>
      <c r="Z210" s="39">
        <f t="shared" si="87"/>
        <v>42.417032698877478</v>
      </c>
      <c r="AA210" s="39">
        <f t="shared" si="88"/>
        <v>43.533430941922973</v>
      </c>
      <c r="AB210" s="38"/>
      <c r="AE210" s="15">
        <v>1.7499999999999998E-2</v>
      </c>
      <c r="AF210" s="14">
        <f t="shared" si="89"/>
        <v>1511.9999999999998</v>
      </c>
      <c r="AG210" s="8">
        <v>2.0619999999999998</v>
      </c>
      <c r="AH210" s="8">
        <v>2.0508000000000002</v>
      </c>
      <c r="AI210" s="8">
        <v>2.0426000000000002</v>
      </c>
      <c r="AJ210" s="8">
        <v>2.0327999999999999</v>
      </c>
      <c r="AK210" s="8">
        <v>2.0388000000000002</v>
      </c>
      <c r="AL210" s="8">
        <v>2.0354000000000001</v>
      </c>
      <c r="AM210" s="8">
        <v>1.9633</v>
      </c>
      <c r="AN210" s="8">
        <v>1.9515</v>
      </c>
      <c r="AO210" s="8">
        <v>1.9395</v>
      </c>
      <c r="AP210" s="8">
        <v>1.964</v>
      </c>
      <c r="AQ210" s="8">
        <v>1.9984999999999999</v>
      </c>
      <c r="AR210" s="8">
        <v>1.9702999999999999</v>
      </c>
      <c r="AS210" s="8">
        <v>2.0268999999999999</v>
      </c>
      <c r="AT210" s="8">
        <v>2.0278</v>
      </c>
      <c r="AU210" s="8">
        <v>2.0434999999999999</v>
      </c>
      <c r="AV210" s="8">
        <v>2.0385</v>
      </c>
      <c r="AW210" s="8">
        <v>2.0413000000000001</v>
      </c>
      <c r="AX210" s="8">
        <v>2.0181</v>
      </c>
      <c r="AY210" s="8">
        <v>2.0215000000000001</v>
      </c>
      <c r="AZ210" s="8">
        <v>2.0127999999999999</v>
      </c>
      <c r="BA210" s="8">
        <v>2.0152000000000001</v>
      </c>
      <c r="BB210" s="8">
        <v>2.0169999999999999</v>
      </c>
      <c r="BC210" s="8">
        <v>2.0183</v>
      </c>
      <c r="BD210" s="8">
        <v>1.9865999999999999</v>
      </c>
    </row>
    <row r="211" spans="2:56" s="13" customFormat="1" x14ac:dyDescent="0.3">
      <c r="B211" s="22">
        <f t="shared" si="64"/>
        <v>1520.0000000000002</v>
      </c>
      <c r="C211" s="40">
        <f t="shared" si="65"/>
        <v>20.321376281112695</v>
      </c>
      <c r="D211" s="40">
        <f t="shared" si="66"/>
        <v>17.959492435334433</v>
      </c>
      <c r="E211" s="40">
        <f t="shared" si="67"/>
        <v>30.38945827232796</v>
      </c>
      <c r="F211" s="40">
        <f t="shared" si="68"/>
        <v>29.157149829185016</v>
      </c>
      <c r="G211" s="40">
        <f t="shared" si="69"/>
        <v>31.754514397266814</v>
      </c>
      <c r="H211" s="40">
        <f t="shared" si="70"/>
        <v>31.326012689116858</v>
      </c>
      <c r="I211" s="40">
        <f t="shared" si="71"/>
        <v>58.663006344558397</v>
      </c>
      <c r="J211" s="40">
        <f t="shared" si="72"/>
        <v>64.917276720351268</v>
      </c>
      <c r="K211" s="40">
        <f t="shared" si="73"/>
        <v>63.533186920449054</v>
      </c>
      <c r="L211" s="40">
        <f t="shared" si="74"/>
        <v>59.54660810151298</v>
      </c>
      <c r="M211" s="40">
        <f t="shared" si="75"/>
        <v>43.014885309907264</v>
      </c>
      <c r="N211" s="40">
        <f t="shared" si="76"/>
        <v>37.304782820888093</v>
      </c>
      <c r="O211" s="40"/>
      <c r="P211" s="39">
        <f t="shared" si="77"/>
        <v>39.728892142508379</v>
      </c>
      <c r="Q211" s="39">
        <f t="shared" si="78"/>
        <v>38.444119082479183</v>
      </c>
      <c r="R211" s="39">
        <f t="shared" si="79"/>
        <v>36.387262079062985</v>
      </c>
      <c r="S211" s="39">
        <f t="shared" si="80"/>
        <v>35.863591996095522</v>
      </c>
      <c r="T211" s="39">
        <f t="shared" si="81"/>
        <v>36.361883845778593</v>
      </c>
      <c r="U211" s="39">
        <f t="shared" si="82"/>
        <v>30.711566617862307</v>
      </c>
      <c r="V211" s="39">
        <f t="shared" si="83"/>
        <v>40.788433382137747</v>
      </c>
      <c r="W211" s="39">
        <f t="shared" si="84"/>
        <v>44.992923377257014</v>
      </c>
      <c r="X211" s="39">
        <f t="shared" si="85"/>
        <v>38.5697901415326</v>
      </c>
      <c r="Y211" s="39">
        <f t="shared" si="86"/>
        <v>42.404099560761246</v>
      </c>
      <c r="Z211" s="39">
        <f t="shared" si="87"/>
        <v>42.758662762323134</v>
      </c>
      <c r="AA211" s="39">
        <f t="shared" si="88"/>
        <v>43.826256710590577</v>
      </c>
      <c r="AB211" s="38"/>
      <c r="AE211" s="15">
        <v>1.7592592592592594E-2</v>
      </c>
      <c r="AF211" s="14">
        <f t="shared" si="89"/>
        <v>1520.0000000000002</v>
      </c>
      <c r="AG211" s="8">
        <v>2.0627</v>
      </c>
      <c r="AH211" s="8">
        <v>2.0522999999999998</v>
      </c>
      <c r="AI211" s="8">
        <v>2.0442</v>
      </c>
      <c r="AJ211" s="8">
        <v>2.0345</v>
      </c>
      <c r="AK211" s="8">
        <v>2.0394000000000001</v>
      </c>
      <c r="AL211" s="8">
        <v>2.0341999999999998</v>
      </c>
      <c r="AM211" s="8">
        <v>1.9641999999999999</v>
      </c>
      <c r="AN211" s="8">
        <v>1.9515</v>
      </c>
      <c r="AO211" s="8">
        <v>1.9401999999999999</v>
      </c>
      <c r="AP211" s="8">
        <v>1.9626999999999999</v>
      </c>
      <c r="AQ211" s="8">
        <v>1.9966999999999999</v>
      </c>
      <c r="AR211" s="8">
        <v>1.9688000000000001</v>
      </c>
      <c r="AS211" s="8">
        <v>2.0274000000000001</v>
      </c>
      <c r="AT211" s="8">
        <v>2.0259</v>
      </c>
      <c r="AU211" s="8">
        <v>2.0444</v>
      </c>
      <c r="AV211" s="8">
        <v>2.0373000000000001</v>
      </c>
      <c r="AW211" s="8">
        <v>2.0404</v>
      </c>
      <c r="AX211" s="8">
        <v>2.0213000000000001</v>
      </c>
      <c r="AY211" s="8">
        <v>2.0211999999999999</v>
      </c>
      <c r="AZ211" s="8">
        <v>2.0127000000000002</v>
      </c>
      <c r="BA211" s="8">
        <v>2.0158</v>
      </c>
      <c r="BB211" s="8">
        <v>2.0182000000000002</v>
      </c>
      <c r="BC211" s="8">
        <v>2.0175999999999998</v>
      </c>
      <c r="BD211" s="8">
        <v>1.986</v>
      </c>
    </row>
    <row r="212" spans="2:56" s="13" customFormat="1" x14ac:dyDescent="0.3">
      <c r="B212" s="22">
        <f t="shared" ref="B212:B275" si="90">AF212</f>
        <v>1528</v>
      </c>
      <c r="C212" s="40">
        <f t="shared" si="65"/>
        <v>20.467789165446611</v>
      </c>
      <c r="D212" s="40">
        <f t="shared" si="66"/>
        <v>18.837969741337261</v>
      </c>
      <c r="E212" s="40">
        <f t="shared" si="67"/>
        <v>30.779892630551444</v>
      </c>
      <c r="F212" s="40">
        <f t="shared" si="68"/>
        <v>30.230844314299592</v>
      </c>
      <c r="G212" s="40">
        <f t="shared" si="69"/>
        <v>32.047340165934429</v>
      </c>
      <c r="H212" s="40">
        <f t="shared" si="70"/>
        <v>30.642752562225546</v>
      </c>
      <c r="I212" s="40">
        <f t="shared" si="71"/>
        <v>58.955832113226009</v>
      </c>
      <c r="J212" s="40">
        <f t="shared" si="72"/>
        <v>65.405319668130716</v>
      </c>
      <c r="K212" s="40">
        <f t="shared" si="73"/>
        <v>65.3877501220108</v>
      </c>
      <c r="L212" s="40">
        <f t="shared" si="74"/>
        <v>59.302586627623199</v>
      </c>
      <c r="M212" s="40">
        <f t="shared" si="75"/>
        <v>44.088579795021943</v>
      </c>
      <c r="N212" s="40">
        <f t="shared" si="76"/>
        <v>37.060761346998419</v>
      </c>
      <c r="O212" s="40"/>
      <c r="P212" s="39">
        <f t="shared" si="77"/>
        <v>39.924109321620115</v>
      </c>
      <c r="Q212" s="39">
        <f t="shared" si="78"/>
        <v>37.809663250365915</v>
      </c>
      <c r="R212" s="39">
        <f t="shared" si="79"/>
        <v>35.752806246949724</v>
      </c>
      <c r="S212" s="39">
        <f t="shared" si="80"/>
        <v>36.058809175207266</v>
      </c>
      <c r="T212" s="39">
        <f t="shared" si="81"/>
        <v>36.557101024890336</v>
      </c>
      <c r="U212" s="39">
        <f t="shared" si="82"/>
        <v>30.906783796974054</v>
      </c>
      <c r="V212" s="39">
        <f t="shared" si="83"/>
        <v>41.569302098584707</v>
      </c>
      <c r="W212" s="39">
        <f t="shared" si="84"/>
        <v>46.945095168374628</v>
      </c>
      <c r="X212" s="39">
        <f t="shared" si="85"/>
        <v>39.399463152757605</v>
      </c>
      <c r="Y212" s="39">
        <f t="shared" si="86"/>
        <v>42.45290385553929</v>
      </c>
      <c r="Z212" s="39">
        <f t="shared" si="87"/>
        <v>43.295510004880306</v>
      </c>
      <c r="AA212" s="39">
        <f t="shared" si="88"/>
        <v>44.167886774036127</v>
      </c>
      <c r="AB212" s="38"/>
      <c r="AE212" s="15">
        <v>1.7685185185185182E-2</v>
      </c>
      <c r="AF212" s="14">
        <f t="shared" si="89"/>
        <v>1528</v>
      </c>
      <c r="AG212" s="8">
        <v>2.0623999999999998</v>
      </c>
      <c r="AH212" s="8">
        <v>2.0505</v>
      </c>
      <c r="AI212" s="8">
        <v>2.0434000000000001</v>
      </c>
      <c r="AJ212" s="8">
        <v>2.0323000000000002</v>
      </c>
      <c r="AK212" s="8">
        <v>2.0388000000000002</v>
      </c>
      <c r="AL212" s="8">
        <v>2.0356000000000001</v>
      </c>
      <c r="AM212" s="8">
        <v>1.9636</v>
      </c>
      <c r="AN212" s="8">
        <v>1.9504999999999999</v>
      </c>
      <c r="AO212" s="8">
        <v>1.9363999999999999</v>
      </c>
      <c r="AP212" s="8">
        <v>1.9632000000000001</v>
      </c>
      <c r="AQ212" s="8">
        <v>1.9944999999999999</v>
      </c>
      <c r="AR212" s="8">
        <v>1.9693000000000001</v>
      </c>
      <c r="AS212" s="8">
        <v>2.0270000000000001</v>
      </c>
      <c r="AT212" s="8">
        <v>2.0272000000000001</v>
      </c>
      <c r="AU212" s="8">
        <v>2.0457000000000001</v>
      </c>
      <c r="AV212" s="8">
        <v>2.0369000000000002</v>
      </c>
      <c r="AW212" s="8">
        <v>2.04</v>
      </c>
      <c r="AX212" s="8">
        <v>2.0209000000000001</v>
      </c>
      <c r="AY212" s="8">
        <v>2.0196000000000001</v>
      </c>
      <c r="AZ212" s="8">
        <v>2.0087000000000002</v>
      </c>
      <c r="BA212" s="8">
        <v>2.0141</v>
      </c>
      <c r="BB212" s="8">
        <v>2.0181</v>
      </c>
      <c r="BC212" s="8">
        <v>2.0165000000000002</v>
      </c>
      <c r="BD212" s="8">
        <v>1.9853000000000001</v>
      </c>
    </row>
    <row r="213" spans="2:56" s="13" customFormat="1" x14ac:dyDescent="0.3">
      <c r="B213" s="22">
        <f t="shared" si="90"/>
        <v>1535.9999999999998</v>
      </c>
      <c r="C213" s="40">
        <f t="shared" ref="C213:C276" si="91">((C$9-AG213-($A$5*$A$9*((C$3/10^6)-((C$3/10^6)*EXP(-1*$A$11*$B213)))))/(($A$5+$A$7)*$A$9))*10^6</f>
        <v>22.663982430453796</v>
      </c>
      <c r="D213" s="40">
        <f t="shared" ref="D213:D276" si="92">((D$9-AH213-($A$5*$A$9*((D$3/10^6)-((D$3/10^6)*EXP(-1*$A$11*$B213)))))/(($A$5+$A$7)*$A$9))*10^6</f>
        <v>19.667642752562269</v>
      </c>
      <c r="E213" s="40">
        <f t="shared" ref="E213:E276" si="93">((E$9-AI213-($A$5*$A$9*((E$3/10^6)-((E$3/10^6)*EXP(-1*$A$11*$B213)))))/(($A$5+$A$7)*$A$9))*10^6</f>
        <v>30.487066861883829</v>
      </c>
      <c r="F213" s="40">
        <f t="shared" ref="F213:F276" si="94">((F$9-AJ213-($A$5*$A$9*((F$3/10^6)-((F$3/10^6)*EXP(-1*$A$11*$B213)))))/(($A$5+$A$7)*$A$9))*10^6</f>
        <v>30.279648609077633</v>
      </c>
      <c r="G213" s="40">
        <f t="shared" ref="G213:G276" si="95">((G$9-AK213-($A$5*$A$9*((G$3/10^6)-((G$3/10^6)*EXP(-1*$A$11*$B213)))))/(($A$5+$A$7)*$A$9))*10^6</f>
        <v>31.510492923377246</v>
      </c>
      <c r="H213" s="40">
        <f t="shared" ref="H213:H276" si="96">((H$9-AL213-($A$5*$A$9*((H$3/10^6)-((H$3/10^6)*EXP(-1*$A$11*$B213)))))/(($A$5+$A$7)*$A$9))*10^6</f>
        <v>30.447535383113806</v>
      </c>
      <c r="I213" s="40">
        <f t="shared" ref="I213:I276" si="97">((I$9-AM213-($A$5*$A$9*((I$3/10^6)-((I$3/10^6)*EXP(-1*$A$11*$B213)))))/(($A$5+$A$7)*$A$9))*10^6</f>
        <v>58.223767691556873</v>
      </c>
      <c r="J213" s="40">
        <f t="shared" ref="J213:J276" si="98">((J$9-AN213-($A$5*$A$9*((J$3/10^6)-((J$3/10^6)*EXP(-1*$A$11*$B213)))))/(($A$5+$A$7)*$A$9))*10^6</f>
        <v>65.258906783796803</v>
      </c>
      <c r="K213" s="40">
        <f t="shared" ref="K213:K276" si="99">((K$9-AO213-($A$5*$A$9*((K$3/10^6)-((K$3/10^6)*EXP(-1*$A$11*$B213)))))/(($A$5+$A$7)*$A$9))*10^6</f>
        <v>65.436554416788738</v>
      </c>
      <c r="L213" s="40">
        <f t="shared" ref="L213:L276" si="100">((L$9-AP213-($A$5*$A$9*((L$3/10^6)-((L$3/10^6)*EXP(-1*$A$11*$B213)))))/(($A$5+$A$7)*$A$9))*10^6</f>
        <v>59.888238164958523</v>
      </c>
      <c r="M213" s="40">
        <f t="shared" ref="M213:M276" si="101">((M$9-AQ213-($A$5*$A$9*((M$3/10^6)-((M$3/10^6)*EXP(-1*$A$11*$B213)))))/(($A$5+$A$7)*$A$9))*10^6</f>
        <v>43.307711078574869</v>
      </c>
      <c r="N213" s="40">
        <f t="shared" ref="N213:N276" si="102">((N$9-AR213-($A$5*$A$9*((N$3/10^6)-((N$3/10^6)*EXP(-1*$A$11*$B213)))))/(($A$5+$A$7)*$A$9))*10^6</f>
        <v>36.865544167886682</v>
      </c>
      <c r="O213" s="40"/>
      <c r="P213" s="39">
        <f t="shared" ref="P213:P276" si="103">((P$9-AS213-($A$5*$A$9*((P$3/10^6)-((P$3/10^6)*EXP(-1*$A$13*$B213)))))/(($A$5+$A$7)*$A$9))*10^6</f>
        <v>39.680087847730547</v>
      </c>
      <c r="Q213" s="39">
        <f t="shared" ref="Q213:Q276" si="104">((Q$9-AT213-($A$5*$A$9*((Q$3/10^6)-((Q$3/10^6)*EXP(-1*$A$13*$B213)))))/(($A$5+$A$7)*$A$9))*10^6</f>
        <v>38.395314787701352</v>
      </c>
      <c r="R213" s="39">
        <f t="shared" ref="R213:R276" si="105">((R$9-AU213-($A$5*$A$9*((R$3/10^6)-((R$3/10^6)*EXP(-1*$A$13*$B213)))))/(($A$5+$A$7)*$A$9))*10^6</f>
        <v>36.777696437286465</v>
      </c>
      <c r="S213" s="39">
        <f t="shared" ref="S213:S276" si="106">((S$9-AV213-($A$5*$A$9*((S$3/10^6)-((S$3/10^6)*EXP(-1*$A$13*$B213)))))/(($A$5+$A$7)*$A$9))*10^6</f>
        <v>36.449243533430959</v>
      </c>
      <c r="T213" s="39">
        <f t="shared" ref="T213:T276" si="107">((T$9-AW213-($A$5*$A$9*((T$3/10^6)-((T$3/10^6)*EXP(-1*$A$13*$B213)))))/(($A$5+$A$7)*$A$9))*10^6</f>
        <v>36.166666666666849</v>
      </c>
      <c r="U213" s="39">
        <f t="shared" ref="U213:U276" si="108">((U$9-AX213-($A$5*$A$9*((U$3/10^6)-((U$3/10^6)*EXP(-1*$A$13*$B213)))))/(($A$5+$A$7)*$A$9))*10^6</f>
        <v>31.248413860419706</v>
      </c>
      <c r="V213" s="39">
        <f t="shared" ref="V213:V276" si="109">((V$9-AY213-($A$5*$A$9*((V$3/10^6)-((V$3/10^6)*EXP(-1*$A$13*$B213)))))/(($A$5+$A$7)*$A$9))*10^6</f>
        <v>41.618106393362758</v>
      </c>
      <c r="W213" s="39">
        <f t="shared" ref="W213:W276" si="110">((W$9-AZ213-($A$5*$A$9*((W$3/10^6)-((W$3/10^6)*EXP(-1*$A$13*$B213)))))/(($A$5+$A$7)*$A$9))*10^6</f>
        <v>45.529770619814407</v>
      </c>
      <c r="X213" s="39">
        <f t="shared" ref="X213:X276" si="111">((X$9-BA213-($A$5*$A$9*((X$3/10^6)-((X$3/10^6)*EXP(-1*$A$13*$B213)))))/(($A$5+$A$7)*$A$9))*10^6</f>
        <v>38.911420204978256</v>
      </c>
      <c r="Y213" s="39">
        <f t="shared" ref="Y213:Y276" si="112">((Y$9-BB213-($A$5*$A$9*((Y$3/10^6)-((Y$3/10^6)*EXP(-1*$A$13*$B213)))))/(($A$5+$A$7)*$A$9))*10^6</f>
        <v>42.501708150317334</v>
      </c>
      <c r="Z213" s="39">
        <f t="shared" ref="Z213:Z276" si="113">((Z$9-BC213-($A$5*$A$9*((Z$3/10^6)-((Z$3/10^6)*EXP(-1*$A$13*$B213)))))/(($A$5+$A$7)*$A$9))*10^6</f>
        <v>43.832357247437706</v>
      </c>
      <c r="AA213" s="39">
        <f t="shared" ref="AA213:AA276" si="114">((AA$9-BD213-($A$5*$A$9*((AA$3/10^6)-((AA$3/10^6)*EXP(-1*$A$13*$B213)))))/(($A$5+$A$7)*$A$9))*10^6</f>
        <v>43.97266959492439</v>
      </c>
      <c r="AB213" s="38"/>
      <c r="AE213" s="15">
        <v>1.7777777777777778E-2</v>
      </c>
      <c r="AF213" s="14">
        <f t="shared" si="89"/>
        <v>1535.9999999999998</v>
      </c>
      <c r="AG213" s="8">
        <v>2.0579000000000001</v>
      </c>
      <c r="AH213" s="8">
        <v>2.0488</v>
      </c>
      <c r="AI213" s="8">
        <v>2.044</v>
      </c>
      <c r="AJ213" s="8">
        <v>2.0322</v>
      </c>
      <c r="AK213" s="8">
        <v>2.0398999999999998</v>
      </c>
      <c r="AL213" s="8">
        <v>2.036</v>
      </c>
      <c r="AM213" s="8">
        <v>1.9651000000000001</v>
      </c>
      <c r="AN213" s="8">
        <v>1.9508000000000001</v>
      </c>
      <c r="AO213" s="8">
        <v>1.9362999999999999</v>
      </c>
      <c r="AP213" s="8">
        <v>1.962</v>
      </c>
      <c r="AQ213" s="8">
        <v>1.9961</v>
      </c>
      <c r="AR213" s="8">
        <v>1.9697</v>
      </c>
      <c r="AS213" s="8">
        <v>2.0274999999999999</v>
      </c>
      <c r="AT213" s="8">
        <v>2.0259999999999998</v>
      </c>
      <c r="AU213" s="8">
        <v>2.0436000000000001</v>
      </c>
      <c r="AV213" s="8">
        <v>2.0360999999999998</v>
      </c>
      <c r="AW213" s="8">
        <v>2.0407999999999999</v>
      </c>
      <c r="AX213" s="8">
        <v>2.0202</v>
      </c>
      <c r="AY213" s="8">
        <v>2.0194999999999999</v>
      </c>
      <c r="AZ213" s="8">
        <v>2.0116000000000001</v>
      </c>
      <c r="BA213" s="8">
        <v>2.0150999999999999</v>
      </c>
      <c r="BB213" s="8">
        <v>2.0179999999999998</v>
      </c>
      <c r="BC213" s="8">
        <v>2.0154000000000001</v>
      </c>
      <c r="BD213" s="8">
        <v>1.9857</v>
      </c>
    </row>
    <row r="214" spans="2:56" s="13" customFormat="1" x14ac:dyDescent="0.3">
      <c r="B214" s="22">
        <f t="shared" si="90"/>
        <v>1544.0000000000002</v>
      </c>
      <c r="C214" s="40">
        <f t="shared" si="91"/>
        <v>22.90800390434358</v>
      </c>
      <c r="D214" s="40">
        <f t="shared" si="92"/>
        <v>19.472425573450526</v>
      </c>
      <c r="E214" s="40">
        <f t="shared" si="93"/>
        <v>30.243045387994048</v>
      </c>
      <c r="F214" s="40">
        <f t="shared" si="94"/>
        <v>29.254758418740888</v>
      </c>
      <c r="G214" s="40">
        <f t="shared" si="95"/>
        <v>32.096144460712466</v>
      </c>
      <c r="H214" s="40">
        <f t="shared" si="96"/>
        <v>30.057101024890329</v>
      </c>
      <c r="I214" s="40">
        <f t="shared" si="97"/>
        <v>58.955832113226009</v>
      </c>
      <c r="J214" s="40">
        <f t="shared" si="98"/>
        <v>64.52684236212778</v>
      </c>
      <c r="K214" s="40">
        <f t="shared" si="99"/>
        <v>65.680575890678412</v>
      </c>
      <c r="L214" s="40">
        <f t="shared" si="100"/>
        <v>60.229868228404072</v>
      </c>
      <c r="M214" s="40">
        <f t="shared" si="101"/>
        <v>43.649341142020418</v>
      </c>
      <c r="N214" s="40">
        <f t="shared" si="102"/>
        <v>36.377501220107327</v>
      </c>
      <c r="O214" s="40"/>
      <c r="P214" s="39">
        <f t="shared" si="103"/>
        <v>40.21693509028772</v>
      </c>
      <c r="Q214" s="39">
        <f t="shared" si="104"/>
        <v>37.419228892142435</v>
      </c>
      <c r="R214" s="39">
        <f t="shared" si="105"/>
        <v>36.533674963396898</v>
      </c>
      <c r="S214" s="39">
        <f t="shared" si="106"/>
        <v>36.302830649097054</v>
      </c>
      <c r="T214" s="39">
        <f t="shared" si="107"/>
        <v>35.385797950219676</v>
      </c>
      <c r="U214" s="39">
        <f t="shared" si="108"/>
        <v>31.638848218643183</v>
      </c>
      <c r="V214" s="39">
        <f t="shared" si="109"/>
        <v>41.813323572474495</v>
      </c>
      <c r="W214" s="39">
        <f t="shared" si="110"/>
        <v>45.724987798926151</v>
      </c>
      <c r="X214" s="39">
        <f t="shared" si="111"/>
        <v>39.789897510981092</v>
      </c>
      <c r="Y214" s="39">
        <f t="shared" si="112"/>
        <v>43.331381161542126</v>
      </c>
      <c r="Z214" s="39">
        <f t="shared" si="113"/>
        <v>43.929965836993574</v>
      </c>
      <c r="AA214" s="39">
        <f t="shared" si="114"/>
        <v>43.826256710590577</v>
      </c>
      <c r="AB214" s="38"/>
      <c r="AE214" s="15">
        <v>1.7870370370370373E-2</v>
      </c>
      <c r="AF214" s="14">
        <f t="shared" ref="AF214:AF277" si="115">AE214*24*60*60</f>
        <v>1544.0000000000002</v>
      </c>
      <c r="AG214" s="8">
        <v>2.0573999999999999</v>
      </c>
      <c r="AH214" s="8">
        <v>2.0491999999999999</v>
      </c>
      <c r="AI214" s="8">
        <v>2.0445000000000002</v>
      </c>
      <c r="AJ214" s="8">
        <v>2.0343</v>
      </c>
      <c r="AK214" s="8">
        <v>2.0387</v>
      </c>
      <c r="AL214" s="8">
        <v>2.0367999999999999</v>
      </c>
      <c r="AM214" s="8">
        <v>1.9636</v>
      </c>
      <c r="AN214" s="8">
        <v>1.9522999999999999</v>
      </c>
      <c r="AO214" s="8">
        <v>1.9358</v>
      </c>
      <c r="AP214" s="8">
        <v>1.9613</v>
      </c>
      <c r="AQ214" s="8">
        <v>1.9954000000000001</v>
      </c>
      <c r="AR214" s="8">
        <v>1.9706999999999999</v>
      </c>
      <c r="AS214" s="8">
        <v>2.0264000000000002</v>
      </c>
      <c r="AT214" s="8">
        <v>2.028</v>
      </c>
      <c r="AU214" s="8">
        <v>2.0440999999999998</v>
      </c>
      <c r="AV214" s="8">
        <v>2.0364</v>
      </c>
      <c r="AW214" s="8">
        <v>2.0424000000000002</v>
      </c>
      <c r="AX214" s="8">
        <v>2.0194000000000001</v>
      </c>
      <c r="AY214" s="8">
        <v>2.0190999999999999</v>
      </c>
      <c r="AZ214" s="8">
        <v>2.0112000000000001</v>
      </c>
      <c r="BA214" s="8">
        <v>2.0133000000000001</v>
      </c>
      <c r="BB214" s="8">
        <v>2.0163000000000002</v>
      </c>
      <c r="BC214" s="8">
        <v>2.0152000000000001</v>
      </c>
      <c r="BD214" s="8">
        <v>1.986</v>
      </c>
    </row>
    <row r="215" spans="2:56" s="13" customFormat="1" x14ac:dyDescent="0.3">
      <c r="B215" s="22">
        <f t="shared" si="90"/>
        <v>1552</v>
      </c>
      <c r="C215" s="40">
        <f t="shared" si="91"/>
        <v>22.663982430453796</v>
      </c>
      <c r="D215" s="40">
        <f t="shared" si="92"/>
        <v>19.521229868228353</v>
      </c>
      <c r="E215" s="40">
        <f t="shared" si="93"/>
        <v>31.121522693997097</v>
      </c>
      <c r="F215" s="40">
        <f t="shared" si="94"/>
        <v>29.840409956076108</v>
      </c>
      <c r="G215" s="40">
        <f t="shared" si="95"/>
        <v>32.29136163982421</v>
      </c>
      <c r="H215" s="40">
        <f t="shared" si="96"/>
        <v>30.154709614446197</v>
      </c>
      <c r="I215" s="40">
        <f t="shared" si="97"/>
        <v>58.614202049780459</v>
      </c>
      <c r="J215" s="40">
        <f t="shared" si="98"/>
        <v>65.112493899463004</v>
      </c>
      <c r="K215" s="40">
        <f t="shared" si="99"/>
        <v>64.948511469009276</v>
      </c>
      <c r="L215" s="40">
        <f t="shared" si="100"/>
        <v>59.839433870180585</v>
      </c>
      <c r="M215" s="40">
        <f t="shared" si="101"/>
        <v>44.771839921913035</v>
      </c>
      <c r="N215" s="40">
        <f t="shared" si="102"/>
        <v>36.96315275744255</v>
      </c>
      <c r="O215" s="40"/>
      <c r="P215" s="39">
        <f t="shared" si="103"/>
        <v>40.119326500731852</v>
      </c>
      <c r="Q215" s="39">
        <f t="shared" si="104"/>
        <v>38.004880429477659</v>
      </c>
      <c r="R215" s="39">
        <f t="shared" si="105"/>
        <v>37.021717911176253</v>
      </c>
      <c r="S215" s="39">
        <f t="shared" si="106"/>
        <v>36.400439238652922</v>
      </c>
      <c r="T215" s="39">
        <f t="shared" si="107"/>
        <v>36.752318204002073</v>
      </c>
      <c r="U215" s="39">
        <f t="shared" si="108"/>
        <v>30.760370912640354</v>
      </c>
      <c r="V215" s="39">
        <f t="shared" si="109"/>
        <v>42.008540751586231</v>
      </c>
      <c r="W215" s="39">
        <f t="shared" si="110"/>
        <v>45.529770619814407</v>
      </c>
      <c r="X215" s="39">
        <f t="shared" si="111"/>
        <v>39.350658857979568</v>
      </c>
      <c r="Y215" s="39">
        <f t="shared" si="112"/>
        <v>42.45290385553929</v>
      </c>
      <c r="Z215" s="39">
        <f t="shared" si="113"/>
        <v>43.295510004880306</v>
      </c>
      <c r="AA215" s="39">
        <f t="shared" si="114"/>
        <v>43.875061005368515</v>
      </c>
      <c r="AB215" s="38"/>
      <c r="AE215" s="15">
        <v>1.7962962962962962E-2</v>
      </c>
      <c r="AF215" s="14">
        <f t="shared" si="115"/>
        <v>1552</v>
      </c>
      <c r="AG215" s="8">
        <v>2.0579000000000001</v>
      </c>
      <c r="AH215" s="8">
        <v>2.0491000000000001</v>
      </c>
      <c r="AI215" s="8">
        <v>2.0427</v>
      </c>
      <c r="AJ215" s="8">
        <v>2.0331000000000001</v>
      </c>
      <c r="AK215" s="8">
        <v>2.0383</v>
      </c>
      <c r="AL215" s="8">
        <v>2.0366</v>
      </c>
      <c r="AM215" s="8">
        <v>1.9642999999999999</v>
      </c>
      <c r="AN215" s="8">
        <v>1.9511000000000001</v>
      </c>
      <c r="AO215" s="8">
        <v>1.9373</v>
      </c>
      <c r="AP215" s="8">
        <v>1.9621</v>
      </c>
      <c r="AQ215" s="8">
        <v>1.9931000000000001</v>
      </c>
      <c r="AR215" s="8">
        <v>1.9695</v>
      </c>
      <c r="AS215" s="8">
        <v>2.0266000000000002</v>
      </c>
      <c r="AT215" s="8">
        <v>2.0268000000000002</v>
      </c>
      <c r="AU215" s="8">
        <v>2.0430999999999999</v>
      </c>
      <c r="AV215" s="8">
        <v>2.0362</v>
      </c>
      <c r="AW215" s="8">
        <v>2.0396000000000001</v>
      </c>
      <c r="AX215" s="8">
        <v>2.0211999999999999</v>
      </c>
      <c r="AY215" s="8">
        <v>2.0186999999999999</v>
      </c>
      <c r="AZ215" s="8">
        <v>2.0116000000000001</v>
      </c>
      <c r="BA215" s="8">
        <v>2.0142000000000002</v>
      </c>
      <c r="BB215" s="8">
        <v>2.0181</v>
      </c>
      <c r="BC215" s="8">
        <v>2.0165000000000002</v>
      </c>
      <c r="BD215" s="8">
        <v>1.9859</v>
      </c>
    </row>
    <row r="216" spans="2:56" s="13" customFormat="1" x14ac:dyDescent="0.3">
      <c r="B216" s="22">
        <f t="shared" si="90"/>
        <v>1560</v>
      </c>
      <c r="C216" s="40">
        <f t="shared" si="91"/>
        <v>22.859199609565536</v>
      </c>
      <c r="D216" s="40">
        <f t="shared" si="92"/>
        <v>18.691556857003349</v>
      </c>
      <c r="E216" s="40">
        <f t="shared" si="93"/>
        <v>31.023914104441229</v>
      </c>
      <c r="F216" s="40">
        <f t="shared" si="94"/>
        <v>29.645192776964368</v>
      </c>
      <c r="G216" s="40">
        <f t="shared" si="95"/>
        <v>31.315275744265509</v>
      </c>
      <c r="H216" s="40">
        <f t="shared" si="96"/>
        <v>30.349926793557938</v>
      </c>
      <c r="I216" s="40">
        <f t="shared" si="97"/>
        <v>59.053440702781877</v>
      </c>
      <c r="J216" s="40">
        <f t="shared" si="98"/>
        <v>65.063689604685067</v>
      </c>
      <c r="K216" s="40">
        <f t="shared" si="99"/>
        <v>65.826988775012211</v>
      </c>
      <c r="L216" s="40">
        <f t="shared" si="100"/>
        <v>60.278672523182003</v>
      </c>
      <c r="M216" s="40">
        <f t="shared" si="101"/>
        <v>44.479014153245423</v>
      </c>
      <c r="N216" s="40">
        <f t="shared" si="102"/>
        <v>37.207174231332225</v>
      </c>
      <c r="O216" s="40"/>
      <c r="P216" s="39">
        <f t="shared" si="103"/>
        <v>40.60736944851142</v>
      </c>
      <c r="Q216" s="39">
        <f t="shared" si="104"/>
        <v>38.834553440702663</v>
      </c>
      <c r="R216" s="39">
        <f t="shared" si="105"/>
        <v>37.119326500732122</v>
      </c>
      <c r="S216" s="39">
        <f t="shared" si="106"/>
        <v>36.693265007320527</v>
      </c>
      <c r="T216" s="39">
        <f t="shared" si="107"/>
        <v>36.703513909224249</v>
      </c>
      <c r="U216" s="39">
        <f t="shared" si="108"/>
        <v>31.150805270863838</v>
      </c>
      <c r="V216" s="39">
        <f t="shared" si="109"/>
        <v>42.057345046364063</v>
      </c>
      <c r="W216" s="39">
        <f t="shared" si="110"/>
        <v>46.701073694485061</v>
      </c>
      <c r="X216" s="39">
        <f t="shared" si="111"/>
        <v>39.789897510981092</v>
      </c>
      <c r="Y216" s="39">
        <f t="shared" si="112"/>
        <v>43.868228404099519</v>
      </c>
      <c r="Z216" s="39">
        <f t="shared" si="113"/>
        <v>43.393118594436174</v>
      </c>
      <c r="AA216" s="39">
        <f t="shared" si="114"/>
        <v>44.070278184480259</v>
      </c>
      <c r="AB216" s="38"/>
      <c r="AE216" s="15">
        <v>1.8055555555555557E-2</v>
      </c>
      <c r="AF216" s="14">
        <f t="shared" si="115"/>
        <v>1560</v>
      </c>
      <c r="AG216" s="8">
        <v>2.0575000000000001</v>
      </c>
      <c r="AH216" s="8">
        <v>2.0508000000000002</v>
      </c>
      <c r="AI216" s="8">
        <v>2.0428999999999999</v>
      </c>
      <c r="AJ216" s="8">
        <v>2.0335000000000001</v>
      </c>
      <c r="AK216" s="8">
        <v>2.0402999999999998</v>
      </c>
      <c r="AL216" s="8">
        <v>2.0362</v>
      </c>
      <c r="AM216" s="8">
        <v>1.9634</v>
      </c>
      <c r="AN216" s="8">
        <v>1.9512</v>
      </c>
      <c r="AO216" s="8">
        <v>1.9355</v>
      </c>
      <c r="AP216" s="8">
        <v>1.9612000000000001</v>
      </c>
      <c r="AQ216" s="8">
        <v>1.9937</v>
      </c>
      <c r="AR216" s="8">
        <v>1.9690000000000001</v>
      </c>
      <c r="AS216" s="8">
        <v>2.0255999999999998</v>
      </c>
      <c r="AT216" s="8">
        <v>2.0251000000000001</v>
      </c>
      <c r="AU216" s="8">
        <v>2.0428999999999999</v>
      </c>
      <c r="AV216" s="8">
        <v>2.0356000000000001</v>
      </c>
      <c r="AW216" s="8">
        <v>2.0396999999999998</v>
      </c>
      <c r="AX216" s="8">
        <v>2.0204</v>
      </c>
      <c r="AY216" s="8">
        <v>2.0186000000000002</v>
      </c>
      <c r="AZ216" s="8">
        <v>2.0091999999999999</v>
      </c>
      <c r="BA216" s="8">
        <v>2.0133000000000001</v>
      </c>
      <c r="BB216" s="8">
        <v>2.0152000000000001</v>
      </c>
      <c r="BC216" s="8">
        <v>2.0163000000000002</v>
      </c>
      <c r="BD216" s="8">
        <v>1.9855</v>
      </c>
    </row>
    <row r="217" spans="2:56" s="13" customFormat="1" x14ac:dyDescent="0.3">
      <c r="B217" s="22">
        <f t="shared" si="90"/>
        <v>1567.9999999999998</v>
      </c>
      <c r="C217" s="40">
        <f t="shared" si="91"/>
        <v>23.054416788677276</v>
      </c>
      <c r="D217" s="40">
        <f t="shared" si="92"/>
        <v>18.837969741337261</v>
      </c>
      <c r="E217" s="40">
        <f t="shared" si="93"/>
        <v>30.340653977550133</v>
      </c>
      <c r="F217" s="40">
        <f t="shared" si="94"/>
        <v>29.498779892630672</v>
      </c>
      <c r="G217" s="40">
        <f t="shared" si="95"/>
        <v>31.608101512933118</v>
      </c>
      <c r="H217" s="40">
        <f t="shared" si="96"/>
        <v>30.545143972669678</v>
      </c>
      <c r="I217" s="40">
        <f t="shared" si="97"/>
        <v>58.711810639336335</v>
      </c>
      <c r="J217" s="40">
        <f t="shared" si="98"/>
        <v>65.600536847242466</v>
      </c>
      <c r="K217" s="40">
        <f t="shared" si="99"/>
        <v>66.16861883845776</v>
      </c>
      <c r="L217" s="40">
        <f t="shared" si="100"/>
        <v>59.937042459736453</v>
      </c>
      <c r="M217" s="40">
        <f t="shared" si="101"/>
        <v>45.455100048804233</v>
      </c>
      <c r="N217" s="40">
        <f t="shared" si="102"/>
        <v>37.402391410444082</v>
      </c>
      <c r="O217" s="40"/>
      <c r="P217" s="39">
        <f t="shared" si="103"/>
        <v>40.265739385065771</v>
      </c>
      <c r="Q217" s="39">
        <f t="shared" si="104"/>
        <v>38.492923377257227</v>
      </c>
      <c r="R217" s="39">
        <f t="shared" si="105"/>
        <v>36.777696437286465</v>
      </c>
      <c r="S217" s="39">
        <f t="shared" si="106"/>
        <v>36.790873596876402</v>
      </c>
      <c r="T217" s="39">
        <f t="shared" si="107"/>
        <v>36.21547096144468</v>
      </c>
      <c r="U217" s="39">
        <f t="shared" si="108"/>
        <v>31.931673987310795</v>
      </c>
      <c r="V217" s="39">
        <f t="shared" si="109"/>
        <v>42.154953635919931</v>
      </c>
      <c r="W217" s="39">
        <f t="shared" si="110"/>
        <v>46.115422157149624</v>
      </c>
      <c r="X217" s="39">
        <f t="shared" si="111"/>
        <v>39.838701805759136</v>
      </c>
      <c r="Y217" s="39">
        <f t="shared" si="112"/>
        <v>42.45290385553929</v>
      </c>
      <c r="Z217" s="39">
        <f t="shared" si="113"/>
        <v>43.685944363104007</v>
      </c>
      <c r="AA217" s="39">
        <f t="shared" si="114"/>
        <v>44.265495363592002</v>
      </c>
      <c r="AB217" s="38"/>
      <c r="AE217" s="15">
        <v>1.8148148148148146E-2</v>
      </c>
      <c r="AF217" s="14">
        <f t="shared" si="115"/>
        <v>1567.9999999999998</v>
      </c>
      <c r="AG217" s="8">
        <v>2.0571000000000002</v>
      </c>
      <c r="AH217" s="8">
        <v>2.0505</v>
      </c>
      <c r="AI217" s="8">
        <v>2.0442999999999998</v>
      </c>
      <c r="AJ217" s="8">
        <v>2.0337999999999998</v>
      </c>
      <c r="AK217" s="8">
        <v>2.0396999999999998</v>
      </c>
      <c r="AL217" s="8">
        <v>2.0358000000000001</v>
      </c>
      <c r="AM217" s="8">
        <v>1.9641</v>
      </c>
      <c r="AN217" s="8">
        <v>1.9500999999999999</v>
      </c>
      <c r="AO217" s="8">
        <v>1.9348000000000001</v>
      </c>
      <c r="AP217" s="8">
        <v>1.9619</v>
      </c>
      <c r="AQ217" s="8">
        <v>1.9917</v>
      </c>
      <c r="AR217" s="8">
        <v>1.9685999999999999</v>
      </c>
      <c r="AS217" s="8">
        <v>2.0263</v>
      </c>
      <c r="AT217" s="8">
        <v>2.0257999999999998</v>
      </c>
      <c r="AU217" s="8">
        <v>2.0436000000000001</v>
      </c>
      <c r="AV217" s="8">
        <v>2.0354000000000001</v>
      </c>
      <c r="AW217" s="8">
        <v>2.0407000000000002</v>
      </c>
      <c r="AX217" s="8">
        <v>2.0188000000000001</v>
      </c>
      <c r="AY217" s="8">
        <v>2.0184000000000002</v>
      </c>
      <c r="AZ217" s="8">
        <v>2.0104000000000002</v>
      </c>
      <c r="BA217" s="8">
        <v>2.0131999999999999</v>
      </c>
      <c r="BB217" s="8">
        <v>2.0181</v>
      </c>
      <c r="BC217" s="8">
        <v>2.0156999999999998</v>
      </c>
      <c r="BD217" s="8">
        <v>1.9851000000000001</v>
      </c>
    </row>
    <row r="218" spans="2:56" s="13" customFormat="1" x14ac:dyDescent="0.3">
      <c r="B218" s="22">
        <f t="shared" si="90"/>
        <v>1576.0000000000002</v>
      </c>
      <c r="C218" s="40">
        <f t="shared" si="91"/>
        <v>22.566373840897924</v>
      </c>
      <c r="D218" s="40">
        <f t="shared" si="92"/>
        <v>18.935578330893133</v>
      </c>
      <c r="E218" s="40">
        <f t="shared" si="93"/>
        <v>30.633479746217745</v>
      </c>
      <c r="F218" s="40">
        <f t="shared" si="94"/>
        <v>30.035627135187848</v>
      </c>
      <c r="G218" s="40">
        <f t="shared" si="95"/>
        <v>31.120058565153553</v>
      </c>
      <c r="H218" s="40">
        <f t="shared" si="96"/>
        <v>30.252318204002069</v>
      </c>
      <c r="I218" s="40">
        <f t="shared" si="97"/>
        <v>58.955832113226009</v>
      </c>
      <c r="J218" s="40">
        <f t="shared" si="98"/>
        <v>65.307711078574741</v>
      </c>
      <c r="K218" s="40">
        <f t="shared" si="99"/>
        <v>66.607857491459285</v>
      </c>
      <c r="L218" s="40">
        <f t="shared" si="100"/>
        <v>60.327476817959941</v>
      </c>
      <c r="M218" s="40">
        <f t="shared" si="101"/>
        <v>45.699121522693908</v>
      </c>
      <c r="N218" s="40">
        <f t="shared" si="102"/>
        <v>37.207174231332225</v>
      </c>
      <c r="O218" s="40"/>
      <c r="P218" s="39">
        <f t="shared" si="103"/>
        <v>41.193020985846644</v>
      </c>
      <c r="Q218" s="39">
        <f t="shared" si="104"/>
        <v>38.248901903367447</v>
      </c>
      <c r="R218" s="39">
        <f t="shared" si="105"/>
        <v>37.60736944851147</v>
      </c>
      <c r="S218" s="39">
        <f t="shared" si="106"/>
        <v>37.132503660322058</v>
      </c>
      <c r="T218" s="39">
        <f t="shared" si="107"/>
        <v>36.557101024890336</v>
      </c>
      <c r="U218" s="39">
        <f t="shared" si="108"/>
        <v>31.443631039531443</v>
      </c>
      <c r="V218" s="39">
        <f t="shared" si="109"/>
        <v>42.106149341142107</v>
      </c>
      <c r="W218" s="39">
        <f t="shared" si="110"/>
        <v>46.261835041483543</v>
      </c>
      <c r="X218" s="39">
        <f t="shared" si="111"/>
        <v>39.253050268423699</v>
      </c>
      <c r="Y218" s="39">
        <f t="shared" si="112"/>
        <v>42.892142508540815</v>
      </c>
      <c r="Z218" s="39">
        <f t="shared" si="113"/>
        <v>44.418008784772923</v>
      </c>
      <c r="AA218" s="39">
        <f t="shared" si="114"/>
        <v>44.704734016593527</v>
      </c>
      <c r="AB218" s="38"/>
      <c r="AE218" s="15">
        <v>1.8240740740740741E-2</v>
      </c>
      <c r="AF218" s="14">
        <f t="shared" si="115"/>
        <v>1576.0000000000002</v>
      </c>
      <c r="AG218" s="8">
        <v>2.0581</v>
      </c>
      <c r="AH218" s="8">
        <v>2.0503</v>
      </c>
      <c r="AI218" s="8">
        <v>2.0436999999999999</v>
      </c>
      <c r="AJ218" s="8">
        <v>2.0327000000000002</v>
      </c>
      <c r="AK218" s="8">
        <v>2.0407000000000002</v>
      </c>
      <c r="AL218" s="8">
        <v>2.0364</v>
      </c>
      <c r="AM218" s="8">
        <v>1.9636</v>
      </c>
      <c r="AN218" s="8">
        <v>1.9507000000000001</v>
      </c>
      <c r="AO218" s="8">
        <v>1.9339</v>
      </c>
      <c r="AP218" s="8">
        <v>1.9611000000000001</v>
      </c>
      <c r="AQ218" s="8">
        <v>1.9912000000000001</v>
      </c>
      <c r="AR218" s="8">
        <v>1.9690000000000001</v>
      </c>
      <c r="AS218" s="8">
        <v>2.0244</v>
      </c>
      <c r="AT218" s="8">
        <v>2.0263</v>
      </c>
      <c r="AU218" s="8">
        <v>2.0419</v>
      </c>
      <c r="AV218" s="8">
        <v>2.0347</v>
      </c>
      <c r="AW218" s="8">
        <v>2.04</v>
      </c>
      <c r="AX218" s="8">
        <v>2.0198</v>
      </c>
      <c r="AY218" s="8">
        <v>2.0185</v>
      </c>
      <c r="AZ218" s="8">
        <v>2.0101</v>
      </c>
      <c r="BA218" s="8">
        <v>2.0144000000000002</v>
      </c>
      <c r="BB218" s="8">
        <v>2.0171999999999999</v>
      </c>
      <c r="BC218" s="8">
        <v>2.0142000000000002</v>
      </c>
      <c r="BD218" s="8">
        <v>1.9842</v>
      </c>
    </row>
    <row r="219" spans="2:56" s="13" customFormat="1" x14ac:dyDescent="0.3">
      <c r="B219" s="22">
        <f t="shared" si="90"/>
        <v>1584</v>
      </c>
      <c r="C219" s="40">
        <f t="shared" si="91"/>
        <v>23.200829673011189</v>
      </c>
      <c r="D219" s="40">
        <f t="shared" si="92"/>
        <v>18.984382625671174</v>
      </c>
      <c r="E219" s="40">
        <f t="shared" si="93"/>
        <v>30.194241093216217</v>
      </c>
      <c r="F219" s="40">
        <f t="shared" si="94"/>
        <v>29.449975597852628</v>
      </c>
      <c r="G219" s="40">
        <f t="shared" si="95"/>
        <v>30.973645680819857</v>
      </c>
      <c r="H219" s="40">
        <f t="shared" si="96"/>
        <v>30.740361151781421</v>
      </c>
      <c r="I219" s="40">
        <f t="shared" si="97"/>
        <v>58.174963396778942</v>
      </c>
      <c r="J219" s="40">
        <f t="shared" si="98"/>
        <v>65.600536847242466</v>
      </c>
      <c r="K219" s="40">
        <f t="shared" si="99"/>
        <v>66.607857491459285</v>
      </c>
      <c r="L219" s="40">
        <f t="shared" si="100"/>
        <v>60.571498291849721</v>
      </c>
      <c r="M219" s="40">
        <f t="shared" si="101"/>
        <v>46.919228892142499</v>
      </c>
      <c r="N219" s="40">
        <f t="shared" si="102"/>
        <v>37.646412884333749</v>
      </c>
      <c r="O219" s="40"/>
      <c r="P219" s="39">
        <f t="shared" si="103"/>
        <v>40.948999511956856</v>
      </c>
      <c r="Q219" s="39">
        <f t="shared" si="104"/>
        <v>38.492923377257227</v>
      </c>
      <c r="R219" s="39">
        <f t="shared" si="105"/>
        <v>37.363347974621689</v>
      </c>
      <c r="S219" s="39">
        <f t="shared" si="106"/>
        <v>36.790873596876402</v>
      </c>
      <c r="T219" s="39">
        <f t="shared" si="107"/>
        <v>36.605905319668381</v>
      </c>
      <c r="U219" s="39">
        <f t="shared" si="108"/>
        <v>31.638848218643183</v>
      </c>
      <c r="V219" s="39">
        <f t="shared" si="109"/>
        <v>42.49658369936558</v>
      </c>
      <c r="W219" s="39">
        <f t="shared" si="110"/>
        <v>46.213030746705499</v>
      </c>
      <c r="X219" s="39">
        <f t="shared" si="111"/>
        <v>39.009028794534132</v>
      </c>
      <c r="Y219" s="39">
        <f t="shared" si="112"/>
        <v>43.428989751098207</v>
      </c>
      <c r="Z219" s="39">
        <f t="shared" si="113"/>
        <v>43.637140068325962</v>
      </c>
      <c r="AA219" s="39">
        <f t="shared" si="114"/>
        <v>45.143972669594937</v>
      </c>
      <c r="AB219" s="38"/>
      <c r="AE219" s="15">
        <v>1.8333333333333333E-2</v>
      </c>
      <c r="AF219" s="14">
        <f t="shared" si="115"/>
        <v>1584</v>
      </c>
      <c r="AG219" s="8">
        <v>2.0568</v>
      </c>
      <c r="AH219" s="8">
        <v>2.0501999999999998</v>
      </c>
      <c r="AI219" s="8">
        <v>2.0446</v>
      </c>
      <c r="AJ219" s="8">
        <v>2.0339</v>
      </c>
      <c r="AK219" s="8">
        <v>2.0409999999999999</v>
      </c>
      <c r="AL219" s="8">
        <v>2.0354000000000001</v>
      </c>
      <c r="AM219" s="8">
        <v>1.9652000000000001</v>
      </c>
      <c r="AN219" s="8">
        <v>1.9500999999999999</v>
      </c>
      <c r="AO219" s="8">
        <v>1.9339</v>
      </c>
      <c r="AP219" s="8">
        <v>1.9605999999999999</v>
      </c>
      <c r="AQ219" s="8">
        <v>1.9886999999999999</v>
      </c>
      <c r="AR219" s="8">
        <v>1.9681</v>
      </c>
      <c r="AS219" s="8">
        <v>2.0249000000000001</v>
      </c>
      <c r="AT219" s="8">
        <v>2.0257999999999998</v>
      </c>
      <c r="AU219" s="8">
        <v>2.0424000000000002</v>
      </c>
      <c r="AV219" s="8">
        <v>2.0354000000000001</v>
      </c>
      <c r="AW219" s="8">
        <v>2.0398999999999998</v>
      </c>
      <c r="AX219" s="8">
        <v>2.0194000000000001</v>
      </c>
      <c r="AY219" s="8">
        <v>2.0177</v>
      </c>
      <c r="AZ219" s="8">
        <v>2.0102000000000002</v>
      </c>
      <c r="BA219" s="8">
        <v>2.0148999999999999</v>
      </c>
      <c r="BB219" s="8">
        <v>2.0160999999999998</v>
      </c>
      <c r="BC219" s="8">
        <v>2.0158</v>
      </c>
      <c r="BD219" s="8">
        <v>1.9833000000000001</v>
      </c>
    </row>
    <row r="220" spans="2:56" s="13" customFormat="1" x14ac:dyDescent="0.3">
      <c r="B220" s="22">
        <f t="shared" si="90"/>
        <v>1592</v>
      </c>
      <c r="C220" s="40">
        <f t="shared" si="91"/>
        <v>21.687896534895096</v>
      </c>
      <c r="D220" s="40">
        <f t="shared" si="92"/>
        <v>19.716447047340093</v>
      </c>
      <c r="E220" s="40">
        <f t="shared" si="93"/>
        <v>30.975109809663181</v>
      </c>
      <c r="F220" s="40">
        <f t="shared" si="94"/>
        <v>30.133235724743717</v>
      </c>
      <c r="G220" s="40">
        <f t="shared" si="95"/>
        <v>31.656905807710945</v>
      </c>
      <c r="H220" s="40">
        <f t="shared" si="96"/>
        <v>30.69155685700359</v>
      </c>
      <c r="I220" s="40">
        <f t="shared" si="97"/>
        <v>58.858223523670141</v>
      </c>
      <c r="J220" s="40">
        <f t="shared" si="98"/>
        <v>65.307711078574741</v>
      </c>
      <c r="K220" s="40">
        <f t="shared" si="99"/>
        <v>65.485358711566676</v>
      </c>
      <c r="L220" s="40">
        <f t="shared" si="100"/>
        <v>61.05954123962907</v>
      </c>
      <c r="M220" s="40">
        <f t="shared" si="101"/>
        <v>46.675207418252718</v>
      </c>
      <c r="N220" s="40">
        <f t="shared" si="102"/>
        <v>37.597608589555819</v>
      </c>
      <c r="O220" s="40"/>
      <c r="P220" s="39">
        <f t="shared" si="103"/>
        <v>41.437042459736425</v>
      </c>
      <c r="Q220" s="39">
        <f t="shared" si="104"/>
        <v>38.932162030258532</v>
      </c>
      <c r="R220" s="39">
        <f t="shared" si="105"/>
        <v>37.75378233284539</v>
      </c>
      <c r="S220" s="39">
        <f t="shared" si="106"/>
        <v>37.327720839433795</v>
      </c>
      <c r="T220" s="39">
        <f t="shared" si="107"/>
        <v>36.947535383113816</v>
      </c>
      <c r="U220" s="39">
        <f t="shared" si="108"/>
        <v>31.297218155197747</v>
      </c>
      <c r="V220" s="39">
        <f t="shared" si="109"/>
        <v>42.935822352367111</v>
      </c>
      <c r="W220" s="39">
        <f t="shared" si="110"/>
        <v>47.823572474377684</v>
      </c>
      <c r="X220" s="39">
        <f t="shared" si="111"/>
        <v>39.643484626647393</v>
      </c>
      <c r="Y220" s="39">
        <f t="shared" si="112"/>
        <v>43.380185456320163</v>
      </c>
      <c r="Z220" s="39">
        <f t="shared" si="113"/>
        <v>44.173987310883355</v>
      </c>
      <c r="AA220" s="39">
        <f t="shared" si="114"/>
        <v>44.704734016593527</v>
      </c>
      <c r="AB220" s="38"/>
      <c r="AE220" s="15">
        <v>1.8425925925925925E-2</v>
      </c>
      <c r="AF220" s="14">
        <f t="shared" si="115"/>
        <v>1592</v>
      </c>
      <c r="AG220" s="8">
        <v>2.0598999999999998</v>
      </c>
      <c r="AH220" s="8">
        <v>2.0487000000000002</v>
      </c>
      <c r="AI220" s="8">
        <v>2.0430000000000001</v>
      </c>
      <c r="AJ220" s="8">
        <v>2.0325000000000002</v>
      </c>
      <c r="AK220" s="8">
        <v>2.0396000000000001</v>
      </c>
      <c r="AL220" s="8">
        <v>2.0354999999999999</v>
      </c>
      <c r="AM220" s="8">
        <v>1.9638</v>
      </c>
      <c r="AN220" s="8">
        <v>1.9507000000000001</v>
      </c>
      <c r="AO220" s="8">
        <v>1.9361999999999999</v>
      </c>
      <c r="AP220" s="8">
        <v>1.9596</v>
      </c>
      <c r="AQ220" s="8">
        <v>1.9892000000000001</v>
      </c>
      <c r="AR220" s="8">
        <v>1.9681999999999999</v>
      </c>
      <c r="AS220" s="8">
        <v>2.0238999999999998</v>
      </c>
      <c r="AT220" s="8">
        <v>2.0249000000000001</v>
      </c>
      <c r="AU220" s="8">
        <v>2.0415999999999999</v>
      </c>
      <c r="AV220" s="8">
        <v>2.0343</v>
      </c>
      <c r="AW220" s="8">
        <v>2.0392000000000001</v>
      </c>
      <c r="AX220" s="8">
        <v>2.0200999999999998</v>
      </c>
      <c r="AY220" s="8">
        <v>2.0167999999999999</v>
      </c>
      <c r="AZ220" s="8">
        <v>2.0068999999999999</v>
      </c>
      <c r="BA220" s="8">
        <v>2.0135999999999998</v>
      </c>
      <c r="BB220" s="8">
        <v>2.0162</v>
      </c>
      <c r="BC220" s="8">
        <v>2.0146999999999999</v>
      </c>
      <c r="BD220" s="8">
        <v>1.9842</v>
      </c>
    </row>
    <row r="221" spans="2:56" s="13" customFormat="1" x14ac:dyDescent="0.3">
      <c r="B221" s="22">
        <f t="shared" si="90"/>
        <v>1600.0000000000002</v>
      </c>
      <c r="C221" s="40">
        <f t="shared" si="91"/>
        <v>22.175939482674448</v>
      </c>
      <c r="D221" s="40">
        <f t="shared" si="92"/>
        <v>19.472425573450526</v>
      </c>
      <c r="E221" s="40">
        <f t="shared" si="93"/>
        <v>29.755002440214696</v>
      </c>
      <c r="F221" s="40">
        <f t="shared" si="94"/>
        <v>29.693997071742412</v>
      </c>
      <c r="G221" s="40">
        <f t="shared" si="95"/>
        <v>30.729624206930072</v>
      </c>
      <c r="H221" s="40">
        <f t="shared" si="96"/>
        <v>30.203513909224021</v>
      </c>
      <c r="I221" s="40">
        <f t="shared" si="97"/>
        <v>58.516593460224591</v>
      </c>
      <c r="J221" s="40">
        <f t="shared" si="98"/>
        <v>65.405319668130716</v>
      </c>
      <c r="K221" s="40">
        <f t="shared" si="99"/>
        <v>65.973401659346024</v>
      </c>
      <c r="L221" s="40">
        <f t="shared" si="100"/>
        <v>61.205954123962883</v>
      </c>
      <c r="M221" s="40">
        <f t="shared" si="101"/>
        <v>45.308687164470427</v>
      </c>
      <c r="N221" s="40">
        <f t="shared" si="102"/>
        <v>37.548804294777881</v>
      </c>
      <c r="O221" s="40"/>
      <c r="P221" s="39">
        <f t="shared" si="103"/>
        <v>40.997803806734908</v>
      </c>
      <c r="Q221" s="39">
        <f t="shared" si="104"/>
        <v>39.273792093704188</v>
      </c>
      <c r="R221" s="39">
        <f t="shared" si="105"/>
        <v>37.900195217179075</v>
      </c>
      <c r="S221" s="39">
        <f t="shared" si="106"/>
        <v>38.059785261102931</v>
      </c>
      <c r="T221" s="39">
        <f t="shared" si="107"/>
        <v>37.045143972669685</v>
      </c>
      <c r="U221" s="39">
        <f t="shared" si="108"/>
        <v>31.980478282088836</v>
      </c>
      <c r="V221" s="39">
        <f t="shared" si="109"/>
        <v>42.398975109809712</v>
      </c>
      <c r="W221" s="39">
        <f t="shared" si="110"/>
        <v>46.554660810151155</v>
      </c>
      <c r="X221" s="39">
        <f t="shared" si="111"/>
        <v>39.692288921425224</v>
      </c>
      <c r="Y221" s="39">
        <f t="shared" si="112"/>
        <v>43.428989751098207</v>
      </c>
      <c r="Z221" s="39">
        <f t="shared" si="113"/>
        <v>43.637140068325962</v>
      </c>
      <c r="AA221" s="39">
        <f t="shared" si="114"/>
        <v>45.095168374817</v>
      </c>
      <c r="AB221" s="38"/>
      <c r="AE221" s="15">
        <v>1.8518518518518521E-2</v>
      </c>
      <c r="AF221" s="14">
        <f t="shared" si="115"/>
        <v>1600.0000000000002</v>
      </c>
      <c r="AG221" s="8">
        <v>2.0589</v>
      </c>
      <c r="AH221" s="8">
        <v>2.0491999999999999</v>
      </c>
      <c r="AI221" s="8">
        <v>2.0455000000000001</v>
      </c>
      <c r="AJ221" s="8">
        <v>2.0333999999999999</v>
      </c>
      <c r="AK221" s="8">
        <v>2.0415000000000001</v>
      </c>
      <c r="AL221" s="8">
        <v>2.0365000000000002</v>
      </c>
      <c r="AM221" s="8">
        <v>1.9644999999999999</v>
      </c>
      <c r="AN221" s="8">
        <v>1.9504999999999999</v>
      </c>
      <c r="AO221" s="8">
        <v>1.9352</v>
      </c>
      <c r="AP221" s="8">
        <v>1.9593</v>
      </c>
      <c r="AQ221" s="8">
        <v>1.992</v>
      </c>
      <c r="AR221" s="8">
        <v>1.9682999999999999</v>
      </c>
      <c r="AS221" s="8">
        <v>2.0247999999999999</v>
      </c>
      <c r="AT221" s="8">
        <v>2.0242</v>
      </c>
      <c r="AU221" s="8">
        <v>2.0413000000000001</v>
      </c>
      <c r="AV221" s="8">
        <v>2.0327999999999999</v>
      </c>
      <c r="AW221" s="8">
        <v>2.0390000000000001</v>
      </c>
      <c r="AX221" s="8">
        <v>2.0186999999999999</v>
      </c>
      <c r="AY221" s="8">
        <v>2.0179</v>
      </c>
      <c r="AZ221" s="8">
        <v>2.0095000000000001</v>
      </c>
      <c r="BA221" s="8">
        <v>2.0135000000000001</v>
      </c>
      <c r="BB221" s="8">
        <v>2.0160999999999998</v>
      </c>
      <c r="BC221" s="8">
        <v>2.0158</v>
      </c>
      <c r="BD221" s="8">
        <v>1.9834000000000001</v>
      </c>
    </row>
    <row r="222" spans="2:56" s="13" customFormat="1" x14ac:dyDescent="0.3">
      <c r="B222" s="22">
        <f t="shared" si="90"/>
        <v>1608</v>
      </c>
      <c r="C222" s="40">
        <f t="shared" si="91"/>
        <v>22.419960956564228</v>
      </c>
      <c r="D222" s="40">
        <f t="shared" si="92"/>
        <v>20.399707174231402</v>
      </c>
      <c r="E222" s="40">
        <f t="shared" si="93"/>
        <v>30.243045387994048</v>
      </c>
      <c r="F222" s="40">
        <f t="shared" si="94"/>
        <v>29.74280136652024</v>
      </c>
      <c r="G222" s="40">
        <f t="shared" si="95"/>
        <v>31.168862859931593</v>
      </c>
      <c r="H222" s="40">
        <f t="shared" si="96"/>
        <v>30.301122498779893</v>
      </c>
      <c r="I222" s="40">
        <f t="shared" si="97"/>
        <v>59.151049292337746</v>
      </c>
      <c r="J222" s="40">
        <f t="shared" si="98"/>
        <v>65.210102489018865</v>
      </c>
      <c r="K222" s="40">
        <f t="shared" si="99"/>
        <v>66.16861883845776</v>
      </c>
      <c r="L222" s="40">
        <f t="shared" si="100"/>
        <v>60.620302586627652</v>
      </c>
      <c r="M222" s="40">
        <f t="shared" si="101"/>
        <v>47.114446071254243</v>
      </c>
      <c r="N222" s="40">
        <f t="shared" si="102"/>
        <v>36.621522693997008</v>
      </c>
      <c r="O222" s="40"/>
      <c r="P222" s="39">
        <f t="shared" si="103"/>
        <v>41.095412396290776</v>
      </c>
      <c r="Q222" s="39">
        <f t="shared" si="104"/>
        <v>40.933138116154197</v>
      </c>
      <c r="R222" s="39">
        <f t="shared" si="105"/>
        <v>37.460956564177771</v>
      </c>
      <c r="S222" s="39">
        <f t="shared" si="106"/>
        <v>37.376525134211839</v>
      </c>
      <c r="T222" s="39">
        <f t="shared" si="107"/>
        <v>37.142752562225553</v>
      </c>
      <c r="U222" s="39">
        <f t="shared" si="108"/>
        <v>32.273304050756451</v>
      </c>
      <c r="V222" s="39">
        <f t="shared" si="109"/>
        <v>43.131039531478848</v>
      </c>
      <c r="W222" s="39">
        <f t="shared" si="110"/>
        <v>46.84748657881876</v>
      </c>
      <c r="X222" s="39">
        <f t="shared" si="111"/>
        <v>40.180331869204572</v>
      </c>
      <c r="Y222" s="39">
        <f t="shared" si="112"/>
        <v>43.282576866764295</v>
      </c>
      <c r="Z222" s="39">
        <f t="shared" si="113"/>
        <v>43.978770131771611</v>
      </c>
      <c r="AA222" s="39">
        <f t="shared" si="114"/>
        <v>45.241581259150806</v>
      </c>
      <c r="AB222" s="38"/>
      <c r="AE222" s="15">
        <v>1.861111111111111E-2</v>
      </c>
      <c r="AF222" s="14">
        <f t="shared" si="115"/>
        <v>1608</v>
      </c>
      <c r="AG222" s="8">
        <v>2.0583999999999998</v>
      </c>
      <c r="AH222" s="8">
        <v>2.0472999999999999</v>
      </c>
      <c r="AI222" s="8">
        <v>2.0445000000000002</v>
      </c>
      <c r="AJ222" s="8">
        <v>2.0333000000000001</v>
      </c>
      <c r="AK222" s="8">
        <v>2.0406</v>
      </c>
      <c r="AL222" s="8">
        <v>2.0363000000000002</v>
      </c>
      <c r="AM222" s="8">
        <v>1.9632000000000001</v>
      </c>
      <c r="AN222" s="8">
        <v>1.9509000000000001</v>
      </c>
      <c r="AO222" s="8">
        <v>1.9348000000000001</v>
      </c>
      <c r="AP222" s="8">
        <v>1.9604999999999999</v>
      </c>
      <c r="AQ222" s="8">
        <v>1.9883</v>
      </c>
      <c r="AR222" s="8">
        <v>1.9702</v>
      </c>
      <c r="AS222" s="8">
        <v>2.0246</v>
      </c>
      <c r="AT222" s="8">
        <v>2.0207999999999999</v>
      </c>
      <c r="AU222" s="8">
        <v>2.0421999999999998</v>
      </c>
      <c r="AV222" s="8">
        <v>2.0341999999999998</v>
      </c>
      <c r="AW222" s="8">
        <v>2.0388000000000002</v>
      </c>
      <c r="AX222" s="8">
        <v>2.0181</v>
      </c>
      <c r="AY222" s="8">
        <v>2.0164</v>
      </c>
      <c r="AZ222" s="8">
        <v>2.0089000000000001</v>
      </c>
      <c r="BA222" s="8">
        <v>2.0125000000000002</v>
      </c>
      <c r="BB222" s="8">
        <v>2.0164</v>
      </c>
      <c r="BC222" s="8">
        <v>2.0150999999999999</v>
      </c>
      <c r="BD222" s="8">
        <v>1.9831000000000001</v>
      </c>
    </row>
    <row r="223" spans="2:56" s="13" customFormat="1" x14ac:dyDescent="0.3">
      <c r="B223" s="22">
        <f t="shared" si="90"/>
        <v>1616</v>
      </c>
      <c r="C223" s="40">
        <f t="shared" si="91"/>
        <v>22.371156661786184</v>
      </c>
      <c r="D223" s="40">
        <f t="shared" si="92"/>
        <v>19.716447047340093</v>
      </c>
      <c r="E223" s="40">
        <f t="shared" si="93"/>
        <v>29.80380673499274</v>
      </c>
      <c r="F223" s="40">
        <f t="shared" si="94"/>
        <v>29.059541239629148</v>
      </c>
      <c r="G223" s="40">
        <f t="shared" si="95"/>
        <v>30.387994143484637</v>
      </c>
      <c r="H223" s="40">
        <f t="shared" si="96"/>
        <v>30.447535383113806</v>
      </c>
      <c r="I223" s="40">
        <f t="shared" si="97"/>
        <v>58.516593460224591</v>
      </c>
      <c r="J223" s="40">
        <f t="shared" si="98"/>
        <v>65.112493899463004</v>
      </c>
      <c r="K223" s="40">
        <f t="shared" si="99"/>
        <v>66.266227428013636</v>
      </c>
      <c r="L223" s="40">
        <f t="shared" si="100"/>
        <v>61.401171303074619</v>
      </c>
      <c r="M223" s="40">
        <f t="shared" si="101"/>
        <v>46.968033186920437</v>
      </c>
      <c r="N223" s="40">
        <f t="shared" si="102"/>
        <v>37.353587115666144</v>
      </c>
      <c r="O223" s="40"/>
      <c r="P223" s="39">
        <f t="shared" si="103"/>
        <v>41.534651049292293</v>
      </c>
      <c r="Q223" s="39">
        <f t="shared" si="104"/>
        <v>39.0297706198144</v>
      </c>
      <c r="R223" s="39">
        <f t="shared" si="105"/>
        <v>37.900195217179075</v>
      </c>
      <c r="S223" s="39">
        <f t="shared" si="106"/>
        <v>38.303806734992499</v>
      </c>
      <c r="T223" s="39">
        <f t="shared" si="107"/>
        <v>36.996339677891854</v>
      </c>
      <c r="U223" s="39">
        <f t="shared" si="108"/>
        <v>31.834065397754927</v>
      </c>
      <c r="V223" s="39">
        <f t="shared" si="109"/>
        <v>43.375061005368636</v>
      </c>
      <c r="W223" s="39">
        <f t="shared" si="110"/>
        <v>46.896290873596811</v>
      </c>
      <c r="X223" s="39">
        <f t="shared" si="111"/>
        <v>39.545876037091524</v>
      </c>
      <c r="Y223" s="39">
        <f t="shared" si="112"/>
        <v>44.014641288433431</v>
      </c>
      <c r="Z223" s="39">
        <f t="shared" si="113"/>
        <v>44.759638848218579</v>
      </c>
      <c r="AA223" s="39">
        <f t="shared" si="114"/>
        <v>45.6320156173744</v>
      </c>
      <c r="AB223" s="38"/>
      <c r="AE223" s="15">
        <v>1.8703703703703705E-2</v>
      </c>
      <c r="AF223" s="14">
        <f t="shared" si="115"/>
        <v>1616</v>
      </c>
      <c r="AG223" s="8">
        <v>2.0585</v>
      </c>
      <c r="AH223" s="8">
        <v>2.0487000000000002</v>
      </c>
      <c r="AI223" s="8">
        <v>2.0453999999999999</v>
      </c>
      <c r="AJ223" s="8">
        <v>2.0347</v>
      </c>
      <c r="AK223" s="8">
        <v>2.0421999999999998</v>
      </c>
      <c r="AL223" s="8">
        <v>2.036</v>
      </c>
      <c r="AM223" s="8">
        <v>1.9644999999999999</v>
      </c>
      <c r="AN223" s="8">
        <v>1.9511000000000001</v>
      </c>
      <c r="AO223" s="8">
        <v>1.9346000000000001</v>
      </c>
      <c r="AP223" s="8">
        <v>1.9589000000000001</v>
      </c>
      <c r="AQ223" s="8">
        <v>1.9885999999999999</v>
      </c>
      <c r="AR223" s="8">
        <v>1.9686999999999999</v>
      </c>
      <c r="AS223" s="8">
        <v>2.0236999999999998</v>
      </c>
      <c r="AT223" s="8">
        <v>2.0247000000000002</v>
      </c>
      <c r="AU223" s="8">
        <v>2.0413000000000001</v>
      </c>
      <c r="AV223" s="8">
        <v>2.0323000000000002</v>
      </c>
      <c r="AW223" s="8">
        <v>2.0390999999999999</v>
      </c>
      <c r="AX223" s="8">
        <v>2.0190000000000001</v>
      </c>
      <c r="AY223" s="8">
        <v>2.0158999999999998</v>
      </c>
      <c r="AZ223" s="8">
        <v>2.0087999999999999</v>
      </c>
      <c r="BA223" s="8">
        <v>2.0137999999999998</v>
      </c>
      <c r="BB223" s="8">
        <v>2.0148999999999999</v>
      </c>
      <c r="BC223" s="8">
        <v>2.0135000000000001</v>
      </c>
      <c r="BD223" s="8">
        <v>1.9823</v>
      </c>
    </row>
    <row r="224" spans="2:56" s="13" customFormat="1" x14ac:dyDescent="0.3">
      <c r="B224" s="22">
        <f t="shared" si="90"/>
        <v>1624</v>
      </c>
      <c r="C224" s="40">
        <f t="shared" si="91"/>
        <v>23.005612493899449</v>
      </c>
      <c r="D224" s="40">
        <f t="shared" si="92"/>
        <v>20.69253294289901</v>
      </c>
      <c r="E224" s="40">
        <f t="shared" si="93"/>
        <v>30.535871156661877</v>
      </c>
      <c r="F224" s="40">
        <f t="shared" si="94"/>
        <v>30.621278672523285</v>
      </c>
      <c r="G224" s="40">
        <f t="shared" si="95"/>
        <v>29.997559785260936</v>
      </c>
      <c r="H224" s="40">
        <f t="shared" si="96"/>
        <v>30.935578330893158</v>
      </c>
      <c r="I224" s="40">
        <f t="shared" si="97"/>
        <v>59.004636408003947</v>
      </c>
      <c r="J224" s="40">
        <f t="shared" si="98"/>
        <v>66.332601268911489</v>
      </c>
      <c r="K224" s="40">
        <f t="shared" si="99"/>
        <v>66.16861883845776</v>
      </c>
      <c r="L224" s="40">
        <f t="shared" si="100"/>
        <v>61.303562713518744</v>
      </c>
      <c r="M224" s="40">
        <f t="shared" si="101"/>
        <v>46.2359687652513</v>
      </c>
      <c r="N224" s="40">
        <f t="shared" si="102"/>
        <v>37.451195705222013</v>
      </c>
      <c r="O224" s="40"/>
      <c r="P224" s="39">
        <f t="shared" si="103"/>
        <v>41.290629575402512</v>
      </c>
      <c r="Q224" s="39">
        <f t="shared" si="104"/>
        <v>38.883357735480701</v>
      </c>
      <c r="R224" s="39">
        <f t="shared" si="105"/>
        <v>37.75378233284539</v>
      </c>
      <c r="S224" s="39">
        <f t="shared" si="106"/>
        <v>37.522938018545531</v>
      </c>
      <c r="T224" s="39">
        <f t="shared" si="107"/>
        <v>37.240361151781421</v>
      </c>
      <c r="U224" s="39">
        <f t="shared" si="108"/>
        <v>31.785261102977099</v>
      </c>
      <c r="V224" s="39">
        <f t="shared" si="109"/>
        <v>43.521473889702335</v>
      </c>
      <c r="W224" s="39">
        <f t="shared" si="110"/>
        <v>46.798682284040936</v>
      </c>
      <c r="X224" s="39">
        <f t="shared" si="111"/>
        <v>39.741093216203261</v>
      </c>
      <c r="Y224" s="39">
        <f t="shared" si="112"/>
        <v>43.624206930209951</v>
      </c>
      <c r="Z224" s="39">
        <f t="shared" si="113"/>
        <v>43.637140068325962</v>
      </c>
      <c r="AA224" s="39">
        <f t="shared" si="114"/>
        <v>45.924841386042004</v>
      </c>
      <c r="AB224" s="38"/>
      <c r="AE224" s="15">
        <v>1.8796296296296297E-2</v>
      </c>
      <c r="AF224" s="14">
        <f t="shared" si="115"/>
        <v>1624</v>
      </c>
      <c r="AG224" s="8">
        <v>2.0571999999999999</v>
      </c>
      <c r="AH224" s="8">
        <v>2.0467</v>
      </c>
      <c r="AI224" s="8">
        <v>2.0438999999999998</v>
      </c>
      <c r="AJ224" s="8">
        <v>2.0314999999999999</v>
      </c>
      <c r="AK224" s="8">
        <v>2.0430000000000001</v>
      </c>
      <c r="AL224" s="8">
        <v>2.0350000000000001</v>
      </c>
      <c r="AM224" s="8">
        <v>1.9635</v>
      </c>
      <c r="AN224" s="8">
        <v>1.9486000000000001</v>
      </c>
      <c r="AO224" s="8">
        <v>1.9348000000000001</v>
      </c>
      <c r="AP224" s="8">
        <v>1.9591000000000001</v>
      </c>
      <c r="AQ224" s="8">
        <v>1.9901</v>
      </c>
      <c r="AR224" s="8">
        <v>1.9684999999999999</v>
      </c>
      <c r="AS224" s="8">
        <v>2.0242</v>
      </c>
      <c r="AT224" s="8">
        <v>2.0249999999999999</v>
      </c>
      <c r="AU224" s="8">
        <v>2.0415999999999999</v>
      </c>
      <c r="AV224" s="8">
        <v>2.0339</v>
      </c>
      <c r="AW224" s="8">
        <v>2.0386000000000002</v>
      </c>
      <c r="AX224" s="8">
        <v>2.0190999999999999</v>
      </c>
      <c r="AY224" s="8">
        <v>2.0156000000000001</v>
      </c>
      <c r="AZ224" s="8">
        <v>2.0089999999999999</v>
      </c>
      <c r="BA224" s="8">
        <v>2.0133999999999999</v>
      </c>
      <c r="BB224" s="8">
        <v>2.0156999999999998</v>
      </c>
      <c r="BC224" s="8">
        <v>2.0158</v>
      </c>
      <c r="BD224" s="8">
        <v>1.9817</v>
      </c>
    </row>
    <row r="225" spans="2:56" s="13" customFormat="1" x14ac:dyDescent="0.3">
      <c r="B225" s="22">
        <f t="shared" si="90"/>
        <v>1632.0000000000002</v>
      </c>
      <c r="C225" s="40">
        <f t="shared" si="91"/>
        <v>22.078330893118572</v>
      </c>
      <c r="D225" s="40">
        <f t="shared" si="92"/>
        <v>20.253294289897489</v>
      </c>
      <c r="E225" s="40">
        <f t="shared" si="93"/>
        <v>29.80380673499274</v>
      </c>
      <c r="F225" s="40">
        <f t="shared" si="94"/>
        <v>29.791605661298281</v>
      </c>
      <c r="G225" s="40">
        <f t="shared" si="95"/>
        <v>30.876037091263989</v>
      </c>
      <c r="H225" s="40">
        <f t="shared" si="96"/>
        <v>29.227428013665321</v>
      </c>
      <c r="I225" s="40">
        <f t="shared" si="97"/>
        <v>58.565397755002522</v>
      </c>
      <c r="J225" s="40">
        <f t="shared" si="98"/>
        <v>66.381405563689526</v>
      </c>
      <c r="K225" s="40">
        <f t="shared" si="99"/>
        <v>66.071010248901885</v>
      </c>
      <c r="L225" s="40">
        <f t="shared" si="100"/>
        <v>62.523670082967342</v>
      </c>
      <c r="M225" s="40">
        <f t="shared" si="101"/>
        <v>47.700097608589466</v>
      </c>
      <c r="N225" s="40">
        <f t="shared" si="102"/>
        <v>37.744021473889624</v>
      </c>
      <c r="O225" s="40"/>
      <c r="P225" s="39">
        <f t="shared" si="103"/>
        <v>40.851390922400988</v>
      </c>
      <c r="Q225" s="39">
        <f t="shared" si="104"/>
        <v>39.17618350414832</v>
      </c>
      <c r="R225" s="39">
        <f t="shared" si="105"/>
        <v>38.290629575402562</v>
      </c>
      <c r="S225" s="39">
        <f t="shared" si="106"/>
        <v>36.986090775988139</v>
      </c>
      <c r="T225" s="39">
        <f t="shared" si="107"/>
        <v>37.630795510005122</v>
      </c>
      <c r="U225" s="39">
        <f t="shared" si="108"/>
        <v>32.6149341142021</v>
      </c>
      <c r="V225" s="39">
        <f t="shared" si="109"/>
        <v>43.472669594924504</v>
      </c>
      <c r="W225" s="39">
        <f t="shared" si="110"/>
        <v>48.067593948267252</v>
      </c>
      <c r="X225" s="39">
        <f t="shared" si="111"/>
        <v>40.326744753538485</v>
      </c>
      <c r="Y225" s="39">
        <f t="shared" si="112"/>
        <v>43.868228404099519</v>
      </c>
      <c r="Z225" s="39">
        <f t="shared" si="113"/>
        <v>45.63811615422162</v>
      </c>
      <c r="AA225" s="39">
        <f t="shared" si="114"/>
        <v>45.387994143484718</v>
      </c>
      <c r="AB225" s="38"/>
      <c r="AE225" s="15">
        <v>1.8888888888888889E-2</v>
      </c>
      <c r="AF225" s="14">
        <f t="shared" si="115"/>
        <v>1632.0000000000002</v>
      </c>
      <c r="AG225" s="8">
        <v>2.0590999999999999</v>
      </c>
      <c r="AH225" s="8">
        <v>2.0476000000000001</v>
      </c>
      <c r="AI225" s="8">
        <v>2.0453999999999999</v>
      </c>
      <c r="AJ225" s="8">
        <v>2.0331999999999999</v>
      </c>
      <c r="AK225" s="8">
        <v>2.0411999999999999</v>
      </c>
      <c r="AL225" s="8">
        <v>2.0385</v>
      </c>
      <c r="AM225" s="8">
        <v>1.9643999999999999</v>
      </c>
      <c r="AN225" s="8">
        <v>1.9484999999999999</v>
      </c>
      <c r="AO225" s="8">
        <v>1.9350000000000001</v>
      </c>
      <c r="AP225" s="8">
        <v>1.9565999999999999</v>
      </c>
      <c r="AQ225" s="8">
        <v>1.9871000000000001</v>
      </c>
      <c r="AR225" s="8">
        <v>1.9679</v>
      </c>
      <c r="AS225" s="8">
        <v>2.0251000000000001</v>
      </c>
      <c r="AT225" s="8">
        <v>2.0244</v>
      </c>
      <c r="AU225" s="8">
        <v>2.0405000000000002</v>
      </c>
      <c r="AV225" s="8">
        <v>2.0350000000000001</v>
      </c>
      <c r="AW225" s="8">
        <v>2.0377999999999998</v>
      </c>
      <c r="AX225" s="8">
        <v>2.0173999999999999</v>
      </c>
      <c r="AY225" s="8">
        <v>2.0156999999999998</v>
      </c>
      <c r="AZ225" s="8">
        <v>2.0064000000000002</v>
      </c>
      <c r="BA225" s="8">
        <v>2.0122</v>
      </c>
      <c r="BB225" s="8">
        <v>2.0152000000000001</v>
      </c>
      <c r="BC225" s="8">
        <v>2.0116999999999998</v>
      </c>
      <c r="BD225" s="8">
        <v>1.9827999999999999</v>
      </c>
    </row>
    <row r="226" spans="2:56" s="13" customFormat="1" x14ac:dyDescent="0.3">
      <c r="B226" s="22">
        <f t="shared" si="90"/>
        <v>1640</v>
      </c>
      <c r="C226" s="40">
        <f t="shared" si="91"/>
        <v>22.078330893118572</v>
      </c>
      <c r="D226" s="40">
        <f t="shared" si="92"/>
        <v>19.570034163006394</v>
      </c>
      <c r="E226" s="40">
        <f t="shared" si="93"/>
        <v>30.243045387994048</v>
      </c>
      <c r="F226" s="40">
        <f t="shared" si="94"/>
        <v>29.449975597852628</v>
      </c>
      <c r="G226" s="40">
        <f t="shared" si="95"/>
        <v>31.656905807710945</v>
      </c>
      <c r="H226" s="40">
        <f t="shared" si="96"/>
        <v>30.252318204002069</v>
      </c>
      <c r="I226" s="40">
        <f t="shared" si="97"/>
        <v>59.151049292337746</v>
      </c>
      <c r="J226" s="40">
        <f t="shared" si="98"/>
        <v>66.869448511468875</v>
      </c>
      <c r="K226" s="40">
        <f t="shared" si="99"/>
        <v>66.119814543679823</v>
      </c>
      <c r="L226" s="40">
        <f t="shared" si="100"/>
        <v>62.328452903855492</v>
      </c>
      <c r="M226" s="40">
        <f t="shared" si="101"/>
        <v>47.456076134699792</v>
      </c>
      <c r="N226" s="40">
        <f t="shared" si="102"/>
        <v>37.548804294777881</v>
      </c>
      <c r="O226" s="40"/>
      <c r="P226" s="39">
        <f t="shared" si="103"/>
        <v>41.827476817959912</v>
      </c>
      <c r="Q226" s="39">
        <f t="shared" si="104"/>
        <v>39.517813567593969</v>
      </c>
      <c r="R226" s="39">
        <f t="shared" si="105"/>
        <v>38.290629575402562</v>
      </c>
      <c r="S226" s="39">
        <f t="shared" si="106"/>
        <v>37.327720839433795</v>
      </c>
      <c r="T226" s="39">
        <f t="shared" si="107"/>
        <v>38.021229868228602</v>
      </c>
      <c r="U226" s="39">
        <f t="shared" si="108"/>
        <v>32.175695461200583</v>
      </c>
      <c r="V226" s="39">
        <f t="shared" si="109"/>
        <v>44.692776964372989</v>
      </c>
      <c r="W226" s="39">
        <f t="shared" si="110"/>
        <v>47.921181063933552</v>
      </c>
      <c r="X226" s="39">
        <f t="shared" si="111"/>
        <v>40.570766227428265</v>
      </c>
      <c r="Y226" s="39">
        <f t="shared" si="112"/>
        <v>44.356271351878867</v>
      </c>
      <c r="Z226" s="39">
        <f t="shared" si="113"/>
        <v>44.271595900439223</v>
      </c>
      <c r="AA226" s="39">
        <f t="shared" si="114"/>
        <v>45.485602733040594</v>
      </c>
      <c r="AB226" s="38"/>
      <c r="AE226" s="15">
        <v>1.8981481481481481E-2</v>
      </c>
      <c r="AF226" s="14">
        <f t="shared" si="115"/>
        <v>1640</v>
      </c>
      <c r="AG226" s="8">
        <v>2.0590999999999999</v>
      </c>
      <c r="AH226" s="8">
        <v>2.0489999999999999</v>
      </c>
      <c r="AI226" s="8">
        <v>2.0445000000000002</v>
      </c>
      <c r="AJ226" s="8">
        <v>2.0339</v>
      </c>
      <c r="AK226" s="8">
        <v>2.0396000000000001</v>
      </c>
      <c r="AL226" s="8">
        <v>2.0364</v>
      </c>
      <c r="AM226" s="8">
        <v>1.9632000000000001</v>
      </c>
      <c r="AN226" s="8">
        <v>1.9475</v>
      </c>
      <c r="AO226" s="8">
        <v>1.9349000000000001</v>
      </c>
      <c r="AP226" s="8">
        <v>1.9570000000000001</v>
      </c>
      <c r="AQ226" s="8">
        <v>1.9876</v>
      </c>
      <c r="AR226" s="8">
        <v>1.9682999999999999</v>
      </c>
      <c r="AS226" s="8">
        <v>2.0230999999999999</v>
      </c>
      <c r="AT226" s="8">
        <v>2.0236999999999998</v>
      </c>
      <c r="AU226" s="8">
        <v>2.0405000000000002</v>
      </c>
      <c r="AV226" s="8">
        <v>2.0343</v>
      </c>
      <c r="AW226" s="8">
        <v>2.0369999999999999</v>
      </c>
      <c r="AX226" s="8">
        <v>2.0183</v>
      </c>
      <c r="AY226" s="8">
        <v>2.0131999999999999</v>
      </c>
      <c r="AZ226" s="8">
        <v>2.0066999999999999</v>
      </c>
      <c r="BA226" s="8">
        <v>2.0116999999999998</v>
      </c>
      <c r="BB226" s="8">
        <v>2.0142000000000002</v>
      </c>
      <c r="BC226" s="8">
        <v>2.0145</v>
      </c>
      <c r="BD226" s="8">
        <v>1.9825999999999999</v>
      </c>
    </row>
    <row r="227" spans="2:56" s="13" customFormat="1" x14ac:dyDescent="0.3">
      <c r="B227" s="22">
        <f t="shared" si="90"/>
        <v>1648</v>
      </c>
      <c r="C227" s="40">
        <f t="shared" si="91"/>
        <v>22.078330893118572</v>
      </c>
      <c r="D227" s="40">
        <f t="shared" si="92"/>
        <v>20.155685700341618</v>
      </c>
      <c r="E227" s="40">
        <f t="shared" si="93"/>
        <v>30.096632503660349</v>
      </c>
      <c r="F227" s="40">
        <f t="shared" si="94"/>
        <v>29.840409956076108</v>
      </c>
      <c r="G227" s="40">
        <f t="shared" si="95"/>
        <v>30.973645680819857</v>
      </c>
      <c r="H227" s="40">
        <f t="shared" si="96"/>
        <v>30.69155685700359</v>
      </c>
      <c r="I227" s="40">
        <f t="shared" si="97"/>
        <v>58.663006344558397</v>
      </c>
      <c r="J227" s="40">
        <f t="shared" si="98"/>
        <v>66.6254270375792</v>
      </c>
      <c r="K227" s="40">
        <f t="shared" si="99"/>
        <v>66.022205954123962</v>
      </c>
      <c r="L227" s="40">
        <f t="shared" si="100"/>
        <v>62.279648609077555</v>
      </c>
      <c r="M227" s="40">
        <f t="shared" si="101"/>
        <v>47.065641776476305</v>
      </c>
      <c r="N227" s="40">
        <f t="shared" si="102"/>
        <v>37.353587115666144</v>
      </c>
      <c r="O227" s="40"/>
      <c r="P227" s="39">
        <f t="shared" si="103"/>
        <v>41.92508540751578</v>
      </c>
      <c r="Q227" s="39">
        <f t="shared" si="104"/>
        <v>39.713030746705712</v>
      </c>
      <c r="R227" s="39">
        <f t="shared" si="105"/>
        <v>38.339433870180606</v>
      </c>
      <c r="S227" s="39">
        <f t="shared" si="106"/>
        <v>38.206198145436623</v>
      </c>
      <c r="T227" s="39">
        <f t="shared" si="107"/>
        <v>37.826012689116858</v>
      </c>
      <c r="U227" s="39">
        <f t="shared" si="108"/>
        <v>33.054172767203411</v>
      </c>
      <c r="V227" s="39">
        <f t="shared" si="109"/>
        <v>44.302342606149509</v>
      </c>
      <c r="W227" s="39">
        <f t="shared" si="110"/>
        <v>47.969985358711384</v>
      </c>
      <c r="X227" s="39">
        <f t="shared" si="111"/>
        <v>40.473157637872397</v>
      </c>
      <c r="Y227" s="39">
        <f t="shared" si="112"/>
        <v>43.965836993655387</v>
      </c>
      <c r="Z227" s="39">
        <f t="shared" si="113"/>
        <v>44.369204489995099</v>
      </c>
      <c r="AA227" s="39">
        <f t="shared" si="114"/>
        <v>45.290385553928743</v>
      </c>
      <c r="AB227" s="38"/>
      <c r="AE227" s="15">
        <v>1.9074074074074073E-2</v>
      </c>
      <c r="AF227" s="14">
        <f t="shared" si="115"/>
        <v>1648</v>
      </c>
      <c r="AG227" s="8">
        <v>2.0590999999999999</v>
      </c>
      <c r="AH227" s="8">
        <v>2.0478000000000001</v>
      </c>
      <c r="AI227" s="8">
        <v>2.0448</v>
      </c>
      <c r="AJ227" s="8">
        <v>2.0331000000000001</v>
      </c>
      <c r="AK227" s="8">
        <v>2.0409999999999999</v>
      </c>
      <c r="AL227" s="8">
        <v>2.0354999999999999</v>
      </c>
      <c r="AM227" s="8">
        <v>1.9641999999999999</v>
      </c>
      <c r="AN227" s="8">
        <v>1.948</v>
      </c>
      <c r="AO227" s="8">
        <v>1.9351</v>
      </c>
      <c r="AP227" s="8">
        <v>1.9571000000000001</v>
      </c>
      <c r="AQ227" s="8">
        <v>1.9883999999999999</v>
      </c>
      <c r="AR227" s="8">
        <v>1.9686999999999999</v>
      </c>
      <c r="AS227" s="8">
        <v>2.0228999999999999</v>
      </c>
      <c r="AT227" s="8">
        <v>2.0232999999999999</v>
      </c>
      <c r="AU227" s="8">
        <v>2.0404</v>
      </c>
      <c r="AV227" s="8">
        <v>2.0325000000000002</v>
      </c>
      <c r="AW227" s="8">
        <v>2.0373999999999999</v>
      </c>
      <c r="AX227" s="8">
        <v>2.0165000000000002</v>
      </c>
      <c r="AY227" s="8">
        <v>2.0139999999999998</v>
      </c>
      <c r="AZ227" s="8">
        <v>2.0066000000000002</v>
      </c>
      <c r="BA227" s="8">
        <v>2.0118999999999998</v>
      </c>
      <c r="BB227" s="8">
        <v>2.0150000000000001</v>
      </c>
      <c r="BC227" s="8">
        <v>2.0143</v>
      </c>
      <c r="BD227" s="8">
        <v>1.9830000000000001</v>
      </c>
    </row>
    <row r="228" spans="2:56" s="13" customFormat="1" x14ac:dyDescent="0.3">
      <c r="B228" s="22">
        <f t="shared" si="90"/>
        <v>1656.0000000000002</v>
      </c>
      <c r="C228" s="40">
        <f t="shared" si="91"/>
        <v>22.566373840897924</v>
      </c>
      <c r="D228" s="40">
        <f t="shared" si="92"/>
        <v>20.350902879453358</v>
      </c>
      <c r="E228" s="40">
        <f t="shared" si="93"/>
        <v>30.096632503660349</v>
      </c>
      <c r="F228" s="40">
        <f t="shared" si="94"/>
        <v>29.303562713518932</v>
      </c>
      <c r="G228" s="40">
        <f t="shared" si="95"/>
        <v>31.412884333821378</v>
      </c>
      <c r="H228" s="40">
        <f t="shared" si="96"/>
        <v>30.203513909224021</v>
      </c>
      <c r="I228" s="40">
        <f t="shared" si="97"/>
        <v>59.395070766227533</v>
      </c>
      <c r="J228" s="40">
        <f t="shared" si="98"/>
        <v>66.088579795021815</v>
      </c>
      <c r="K228" s="40">
        <f t="shared" si="99"/>
        <v>66.949487554904834</v>
      </c>
      <c r="L228" s="40">
        <f t="shared" si="100"/>
        <v>62.426061493411368</v>
      </c>
      <c r="M228" s="40">
        <f t="shared" si="101"/>
        <v>48.383357735480665</v>
      </c>
      <c r="N228" s="40">
        <f t="shared" si="102"/>
        <v>36.91434846266462</v>
      </c>
      <c r="O228" s="40"/>
      <c r="P228" s="39">
        <f t="shared" si="103"/>
        <v>41.778672523181861</v>
      </c>
      <c r="Q228" s="39">
        <f t="shared" si="104"/>
        <v>39.322596388482225</v>
      </c>
      <c r="R228" s="39">
        <f t="shared" si="105"/>
        <v>38.534651049292343</v>
      </c>
      <c r="S228" s="39">
        <f t="shared" si="106"/>
        <v>37.474133723767707</v>
      </c>
      <c r="T228" s="39">
        <f t="shared" si="107"/>
        <v>37.045143972669685</v>
      </c>
      <c r="U228" s="39">
        <f t="shared" si="108"/>
        <v>32.761346998535799</v>
      </c>
      <c r="V228" s="39">
        <f t="shared" si="109"/>
        <v>43.911908247925808</v>
      </c>
      <c r="W228" s="39">
        <f t="shared" si="110"/>
        <v>48.067593948267252</v>
      </c>
      <c r="X228" s="39">
        <f t="shared" si="111"/>
        <v>40.521961932650228</v>
      </c>
      <c r="Y228" s="39">
        <f t="shared" si="112"/>
        <v>44.16105417276713</v>
      </c>
      <c r="Z228" s="39">
        <f t="shared" si="113"/>
        <v>45.198877501220103</v>
      </c>
      <c r="AA228" s="39">
        <f t="shared" si="114"/>
        <v>46.02244997559788</v>
      </c>
      <c r="AB228" s="38"/>
      <c r="AE228" s="15">
        <v>1.9166666666666669E-2</v>
      </c>
      <c r="AF228" s="14">
        <f t="shared" si="115"/>
        <v>1656.0000000000002</v>
      </c>
      <c r="AG228" s="8">
        <v>2.0581</v>
      </c>
      <c r="AH228" s="8">
        <v>2.0474000000000001</v>
      </c>
      <c r="AI228" s="8">
        <v>2.0448</v>
      </c>
      <c r="AJ228" s="8">
        <v>2.0341999999999998</v>
      </c>
      <c r="AK228" s="8">
        <v>2.0400999999999998</v>
      </c>
      <c r="AL228" s="8">
        <v>2.0365000000000002</v>
      </c>
      <c r="AM228" s="8">
        <v>1.9626999999999999</v>
      </c>
      <c r="AN228" s="8">
        <v>1.9491000000000001</v>
      </c>
      <c r="AO228" s="8">
        <v>1.9332</v>
      </c>
      <c r="AP228" s="8">
        <v>1.9568000000000001</v>
      </c>
      <c r="AQ228" s="8">
        <v>1.9857</v>
      </c>
      <c r="AR228" s="8">
        <v>1.9696</v>
      </c>
      <c r="AS228" s="8">
        <v>2.0232000000000001</v>
      </c>
      <c r="AT228" s="8">
        <v>2.0240999999999998</v>
      </c>
      <c r="AU228" s="8">
        <v>2.04</v>
      </c>
      <c r="AV228" s="8">
        <v>2.0339999999999998</v>
      </c>
      <c r="AW228" s="8">
        <v>2.0390000000000001</v>
      </c>
      <c r="AX228" s="8">
        <v>2.0171000000000001</v>
      </c>
      <c r="AY228" s="8">
        <v>2.0148000000000001</v>
      </c>
      <c r="AZ228" s="8">
        <v>2.0064000000000002</v>
      </c>
      <c r="BA228" s="8">
        <v>2.0118</v>
      </c>
      <c r="BB228" s="8">
        <v>2.0146000000000002</v>
      </c>
      <c r="BC228" s="8">
        <v>2.0125999999999999</v>
      </c>
      <c r="BD228" s="8">
        <v>1.9815</v>
      </c>
    </row>
    <row r="229" spans="2:56" s="13" customFormat="1" x14ac:dyDescent="0.3">
      <c r="B229" s="22">
        <f t="shared" si="90"/>
        <v>1664</v>
      </c>
      <c r="C229" s="40">
        <f t="shared" si="91"/>
        <v>22.32235236700814</v>
      </c>
      <c r="D229" s="40">
        <f t="shared" si="92"/>
        <v>20.83894582723271</v>
      </c>
      <c r="E229" s="40">
        <f t="shared" si="93"/>
        <v>29.608589555880997</v>
      </c>
      <c r="F229" s="40">
        <f t="shared" si="94"/>
        <v>29.840409956076108</v>
      </c>
      <c r="G229" s="40">
        <f t="shared" si="95"/>
        <v>30.973645680819857</v>
      </c>
      <c r="H229" s="40">
        <f t="shared" si="96"/>
        <v>29.910688140556413</v>
      </c>
      <c r="I229" s="40">
        <f t="shared" si="97"/>
        <v>58.907027818448071</v>
      </c>
      <c r="J229" s="40">
        <f t="shared" si="98"/>
        <v>67.015861395802688</v>
      </c>
      <c r="K229" s="40">
        <f t="shared" si="99"/>
        <v>66.363836017569611</v>
      </c>
      <c r="L229" s="40">
        <f t="shared" si="100"/>
        <v>63.743777452415827</v>
      </c>
      <c r="M229" s="40">
        <f t="shared" si="101"/>
        <v>47.992923377257178</v>
      </c>
      <c r="N229" s="40">
        <f t="shared" si="102"/>
        <v>36.91434846266462</v>
      </c>
      <c r="O229" s="40"/>
      <c r="P229" s="39">
        <f t="shared" si="103"/>
        <v>41.583455344070124</v>
      </c>
      <c r="Q229" s="39">
        <f t="shared" si="104"/>
        <v>40.201073694485061</v>
      </c>
      <c r="R229" s="39">
        <f t="shared" si="105"/>
        <v>38.534651049292343</v>
      </c>
      <c r="S229" s="39">
        <f t="shared" si="106"/>
        <v>38.157393850658799</v>
      </c>
      <c r="T229" s="39">
        <f t="shared" si="107"/>
        <v>38.070034163006426</v>
      </c>
      <c r="U229" s="39">
        <f t="shared" si="108"/>
        <v>33.102977061981456</v>
      </c>
      <c r="V229" s="39">
        <f t="shared" si="109"/>
        <v>44.20473401659342</v>
      </c>
      <c r="W229" s="39">
        <f t="shared" si="110"/>
        <v>47.823572474377684</v>
      </c>
      <c r="X229" s="39">
        <f t="shared" si="111"/>
        <v>40.765983406540009</v>
      </c>
      <c r="Y229" s="39">
        <f t="shared" si="112"/>
        <v>43.819424109321695</v>
      </c>
      <c r="Z229" s="39">
        <f t="shared" si="113"/>
        <v>44.857247437774447</v>
      </c>
      <c r="AA229" s="39">
        <f t="shared" si="114"/>
        <v>45.729624206930268</v>
      </c>
      <c r="AB229" s="38"/>
      <c r="AE229" s="15">
        <v>1.9259259259259261E-2</v>
      </c>
      <c r="AF229" s="14">
        <f t="shared" si="115"/>
        <v>1664</v>
      </c>
      <c r="AG229" s="8">
        <v>2.0586000000000002</v>
      </c>
      <c r="AH229" s="8">
        <v>2.0464000000000002</v>
      </c>
      <c r="AI229" s="8">
        <v>2.0457999999999998</v>
      </c>
      <c r="AJ229" s="8">
        <v>2.0331000000000001</v>
      </c>
      <c r="AK229" s="8">
        <v>2.0409999999999999</v>
      </c>
      <c r="AL229" s="8">
        <v>2.0371000000000001</v>
      </c>
      <c r="AM229" s="8">
        <v>1.9637</v>
      </c>
      <c r="AN229" s="8">
        <v>1.9472</v>
      </c>
      <c r="AO229" s="8">
        <v>1.9343999999999999</v>
      </c>
      <c r="AP229" s="8">
        <v>1.9540999999999999</v>
      </c>
      <c r="AQ229" s="8">
        <v>1.9864999999999999</v>
      </c>
      <c r="AR229" s="8">
        <v>1.9696</v>
      </c>
      <c r="AS229" s="8">
        <v>2.0236000000000001</v>
      </c>
      <c r="AT229" s="8">
        <v>2.0223</v>
      </c>
      <c r="AU229" s="8">
        <v>2.04</v>
      </c>
      <c r="AV229" s="8">
        <v>2.0326</v>
      </c>
      <c r="AW229" s="8">
        <v>2.0369000000000002</v>
      </c>
      <c r="AX229" s="8">
        <v>2.0164</v>
      </c>
      <c r="AY229" s="8">
        <v>2.0142000000000002</v>
      </c>
      <c r="AZ229" s="8">
        <v>2.0068999999999999</v>
      </c>
      <c r="BA229" s="8">
        <v>2.0112999999999999</v>
      </c>
      <c r="BB229" s="8">
        <v>2.0152999999999999</v>
      </c>
      <c r="BC229" s="8">
        <v>2.0133000000000001</v>
      </c>
      <c r="BD229" s="8">
        <v>1.9821</v>
      </c>
    </row>
    <row r="230" spans="2:56" s="13" customFormat="1" x14ac:dyDescent="0.3">
      <c r="B230" s="22">
        <f t="shared" si="90"/>
        <v>1672</v>
      </c>
      <c r="C230" s="40">
        <f t="shared" si="91"/>
        <v>22.615178135675968</v>
      </c>
      <c r="D230" s="40">
        <f t="shared" si="92"/>
        <v>21.326988775012275</v>
      </c>
      <c r="E230" s="40">
        <f t="shared" si="93"/>
        <v>30.438262567106001</v>
      </c>
      <c r="F230" s="40">
        <f t="shared" si="94"/>
        <v>29.74280136652024</v>
      </c>
      <c r="G230" s="40">
        <f t="shared" si="95"/>
        <v>30.095168374816808</v>
      </c>
      <c r="H230" s="40">
        <f t="shared" si="96"/>
        <v>29.715470961444673</v>
      </c>
      <c r="I230" s="40">
        <f t="shared" si="97"/>
        <v>59.395070766227533</v>
      </c>
      <c r="J230" s="40">
        <f t="shared" si="98"/>
        <v>67.991947291361484</v>
      </c>
      <c r="K230" s="40">
        <f t="shared" si="99"/>
        <v>65.973401659346024</v>
      </c>
      <c r="L230" s="40">
        <f t="shared" si="100"/>
        <v>63.060517325524629</v>
      </c>
      <c r="M230" s="40">
        <f t="shared" si="101"/>
        <v>48.334553440702727</v>
      </c>
      <c r="N230" s="40">
        <f t="shared" si="102"/>
        <v>37.255978526110162</v>
      </c>
      <c r="O230" s="40"/>
      <c r="P230" s="39">
        <f t="shared" si="103"/>
        <v>42.120302586627517</v>
      </c>
      <c r="Q230" s="39">
        <f t="shared" si="104"/>
        <v>39.371400683260056</v>
      </c>
      <c r="R230" s="39">
        <f t="shared" si="105"/>
        <v>39.364324060517347</v>
      </c>
      <c r="S230" s="39">
        <f t="shared" si="106"/>
        <v>37.718155197657275</v>
      </c>
      <c r="T230" s="39">
        <f t="shared" si="107"/>
        <v>37.33796974133729</v>
      </c>
      <c r="U230" s="39">
        <f t="shared" si="108"/>
        <v>32.370912640312319</v>
      </c>
      <c r="V230" s="39">
        <f t="shared" si="109"/>
        <v>43.81429965836994</v>
      </c>
      <c r="W230" s="39">
        <f t="shared" si="110"/>
        <v>47.725963884821816</v>
      </c>
      <c r="X230" s="39">
        <f t="shared" si="111"/>
        <v>40.42435334309436</v>
      </c>
      <c r="Y230" s="39">
        <f t="shared" si="112"/>
        <v>44.649097120546699</v>
      </c>
      <c r="Z230" s="39">
        <f t="shared" si="113"/>
        <v>44.466813079550967</v>
      </c>
      <c r="AA230" s="39">
        <f t="shared" si="114"/>
        <v>45.339189848706674</v>
      </c>
      <c r="AB230" s="38"/>
      <c r="AE230" s="15">
        <v>1.9351851851851853E-2</v>
      </c>
      <c r="AF230" s="14">
        <f t="shared" si="115"/>
        <v>1672</v>
      </c>
      <c r="AG230" s="8">
        <v>2.0579999999999998</v>
      </c>
      <c r="AH230" s="8">
        <v>2.0453999999999999</v>
      </c>
      <c r="AI230" s="8">
        <v>2.0440999999999998</v>
      </c>
      <c r="AJ230" s="8">
        <v>2.0333000000000001</v>
      </c>
      <c r="AK230" s="8">
        <v>2.0428000000000002</v>
      </c>
      <c r="AL230" s="8">
        <v>2.0375000000000001</v>
      </c>
      <c r="AM230" s="8">
        <v>1.9626999999999999</v>
      </c>
      <c r="AN230" s="8">
        <v>1.9452</v>
      </c>
      <c r="AO230" s="8">
        <v>1.9352</v>
      </c>
      <c r="AP230" s="8">
        <v>1.9555</v>
      </c>
      <c r="AQ230" s="8">
        <v>1.9858</v>
      </c>
      <c r="AR230" s="8">
        <v>1.9689000000000001</v>
      </c>
      <c r="AS230" s="8">
        <v>2.0225</v>
      </c>
      <c r="AT230" s="8">
        <v>2.024</v>
      </c>
      <c r="AU230" s="8">
        <v>2.0383</v>
      </c>
      <c r="AV230" s="8">
        <v>2.0335000000000001</v>
      </c>
      <c r="AW230" s="8">
        <v>2.0384000000000002</v>
      </c>
      <c r="AX230" s="8">
        <v>2.0179</v>
      </c>
      <c r="AY230" s="8">
        <v>2.0150000000000001</v>
      </c>
      <c r="AZ230" s="8">
        <v>2.0070999999999999</v>
      </c>
      <c r="BA230" s="8">
        <v>2.012</v>
      </c>
      <c r="BB230" s="8">
        <v>2.0135999999999998</v>
      </c>
      <c r="BC230" s="8">
        <v>2.0141</v>
      </c>
      <c r="BD230" s="8">
        <v>1.9829000000000001</v>
      </c>
    </row>
    <row r="231" spans="2:56" s="13" customFormat="1" x14ac:dyDescent="0.3">
      <c r="B231" s="22">
        <f t="shared" si="90"/>
        <v>1680</v>
      </c>
      <c r="C231" s="40">
        <f t="shared" si="91"/>
        <v>22.663982430453796</v>
      </c>
      <c r="D231" s="40">
        <f t="shared" si="92"/>
        <v>21.278184480234231</v>
      </c>
      <c r="E231" s="40">
        <f t="shared" si="93"/>
        <v>30.096632503660349</v>
      </c>
      <c r="F231" s="40">
        <f t="shared" si="94"/>
        <v>29.059541239629148</v>
      </c>
      <c r="G231" s="40">
        <f t="shared" si="95"/>
        <v>30.583211322596373</v>
      </c>
      <c r="H231" s="40">
        <f t="shared" si="96"/>
        <v>29.471449487555105</v>
      </c>
      <c r="I231" s="40">
        <f t="shared" si="97"/>
        <v>58.565397755002522</v>
      </c>
      <c r="J231" s="40">
        <f t="shared" si="98"/>
        <v>67.357491459248337</v>
      </c>
      <c r="K231" s="40">
        <f t="shared" si="99"/>
        <v>66.217423133235698</v>
      </c>
      <c r="L231" s="40">
        <f t="shared" si="100"/>
        <v>63.402147388970171</v>
      </c>
      <c r="M231" s="40">
        <f t="shared" si="101"/>
        <v>47.651293313811529</v>
      </c>
      <c r="N231" s="40">
        <f t="shared" si="102"/>
        <v>37.646412884333749</v>
      </c>
      <c r="O231" s="40"/>
      <c r="P231" s="39">
        <f t="shared" si="103"/>
        <v>41.92508540751578</v>
      </c>
      <c r="Q231" s="39">
        <f t="shared" si="104"/>
        <v>40.054660810151148</v>
      </c>
      <c r="R231" s="39">
        <f t="shared" si="105"/>
        <v>38.290629575402562</v>
      </c>
      <c r="S231" s="39">
        <f t="shared" si="106"/>
        <v>37.962176671547063</v>
      </c>
      <c r="T231" s="39">
        <f t="shared" si="107"/>
        <v>37.777208394338821</v>
      </c>
      <c r="U231" s="39">
        <f t="shared" si="108"/>
        <v>32.566129819424056</v>
      </c>
      <c r="V231" s="39">
        <f t="shared" si="109"/>
        <v>44.058321132259728</v>
      </c>
      <c r="W231" s="39">
        <f t="shared" si="110"/>
        <v>49.922157149828998</v>
      </c>
      <c r="X231" s="39">
        <f t="shared" si="111"/>
        <v>40.863591996095877</v>
      </c>
      <c r="Y231" s="39">
        <f t="shared" si="112"/>
        <v>44.405075646656911</v>
      </c>
      <c r="Z231" s="39">
        <f t="shared" si="113"/>
        <v>45.296486090775971</v>
      </c>
      <c r="AA231" s="39">
        <f t="shared" si="114"/>
        <v>46.120058565153748</v>
      </c>
      <c r="AB231" s="38"/>
      <c r="AE231" s="15">
        <v>1.9444444444444445E-2</v>
      </c>
      <c r="AF231" s="14">
        <f t="shared" si="115"/>
        <v>1680</v>
      </c>
      <c r="AG231" s="8">
        <v>2.0579000000000001</v>
      </c>
      <c r="AH231" s="8">
        <v>2.0455000000000001</v>
      </c>
      <c r="AI231" s="8">
        <v>2.0448</v>
      </c>
      <c r="AJ231" s="8">
        <v>2.0347</v>
      </c>
      <c r="AK231" s="8">
        <v>2.0417999999999998</v>
      </c>
      <c r="AL231" s="8">
        <v>2.0379999999999998</v>
      </c>
      <c r="AM231" s="8">
        <v>1.9643999999999999</v>
      </c>
      <c r="AN231" s="8">
        <v>1.9464999999999999</v>
      </c>
      <c r="AO231" s="8">
        <v>1.9347000000000001</v>
      </c>
      <c r="AP231" s="8">
        <v>1.9548000000000001</v>
      </c>
      <c r="AQ231" s="8">
        <v>1.9872000000000001</v>
      </c>
      <c r="AR231" s="8">
        <v>1.9681</v>
      </c>
      <c r="AS231" s="8">
        <v>2.0228999999999999</v>
      </c>
      <c r="AT231" s="8">
        <v>2.0226000000000002</v>
      </c>
      <c r="AU231" s="8">
        <v>2.0405000000000002</v>
      </c>
      <c r="AV231" s="8">
        <v>2.0329999999999999</v>
      </c>
      <c r="AW231" s="8">
        <v>2.0375000000000001</v>
      </c>
      <c r="AX231" s="8">
        <v>2.0175000000000001</v>
      </c>
      <c r="AY231" s="8">
        <v>2.0145</v>
      </c>
      <c r="AZ231" s="8">
        <v>2.0026000000000002</v>
      </c>
      <c r="BA231" s="8">
        <v>2.0110999999999999</v>
      </c>
      <c r="BB231" s="8">
        <v>2.0141</v>
      </c>
      <c r="BC231" s="8">
        <v>2.0124</v>
      </c>
      <c r="BD231" s="8">
        <v>1.9813000000000001</v>
      </c>
    </row>
    <row r="232" spans="2:56" s="13" customFormat="1" x14ac:dyDescent="0.3">
      <c r="B232" s="22">
        <f t="shared" si="90"/>
        <v>1688</v>
      </c>
      <c r="C232" s="40">
        <f t="shared" si="91"/>
        <v>22.90800390434358</v>
      </c>
      <c r="D232" s="40">
        <f t="shared" si="92"/>
        <v>21.326988775012275</v>
      </c>
      <c r="E232" s="40">
        <f t="shared" si="93"/>
        <v>29.364568081991216</v>
      </c>
      <c r="F232" s="40">
        <f t="shared" si="94"/>
        <v>30.328452903855677</v>
      </c>
      <c r="G232" s="40">
        <f t="shared" si="95"/>
        <v>31.071254270375725</v>
      </c>
      <c r="H232" s="40">
        <f t="shared" si="96"/>
        <v>30.203513909224021</v>
      </c>
      <c r="I232" s="40">
        <f t="shared" si="97"/>
        <v>59.248657881893614</v>
      </c>
      <c r="J232" s="40">
        <f t="shared" si="98"/>
        <v>68.577598828696821</v>
      </c>
      <c r="K232" s="40">
        <f t="shared" si="99"/>
        <v>67.144704734016585</v>
      </c>
      <c r="L232" s="40">
        <f t="shared" si="100"/>
        <v>63.841386041971695</v>
      </c>
      <c r="M232" s="40">
        <f t="shared" si="101"/>
        <v>48.139336261590991</v>
      </c>
      <c r="N232" s="40">
        <f t="shared" si="102"/>
        <v>37.451195705222013</v>
      </c>
      <c r="O232" s="40"/>
      <c r="P232" s="39">
        <f t="shared" si="103"/>
        <v>42.217911176183385</v>
      </c>
      <c r="Q232" s="39">
        <f t="shared" si="104"/>
        <v>40.737920937042453</v>
      </c>
      <c r="R232" s="39">
        <f t="shared" si="105"/>
        <v>38.876281112737999</v>
      </c>
      <c r="S232" s="39">
        <f t="shared" si="106"/>
        <v>38.059785261102931</v>
      </c>
      <c r="T232" s="39">
        <f t="shared" si="107"/>
        <v>37.972425573450558</v>
      </c>
      <c r="U232" s="39">
        <f t="shared" si="108"/>
        <v>32.370912640312319</v>
      </c>
      <c r="V232" s="39">
        <f t="shared" si="109"/>
        <v>44.155929721815596</v>
      </c>
      <c r="W232" s="39">
        <f t="shared" si="110"/>
        <v>49.092484138603993</v>
      </c>
      <c r="X232" s="39">
        <f t="shared" si="111"/>
        <v>41.058809175207621</v>
      </c>
      <c r="Y232" s="39">
        <f t="shared" si="112"/>
        <v>44.112249877989299</v>
      </c>
      <c r="Z232" s="39">
        <f t="shared" si="113"/>
        <v>44.515617374329011</v>
      </c>
      <c r="AA232" s="39">
        <f t="shared" si="114"/>
        <v>45.778428501708206</v>
      </c>
      <c r="AB232" s="38"/>
      <c r="AE232" s="15">
        <v>1.9537037037037037E-2</v>
      </c>
      <c r="AF232" s="14">
        <f t="shared" si="115"/>
        <v>1688</v>
      </c>
      <c r="AG232" s="8">
        <v>2.0573999999999999</v>
      </c>
      <c r="AH232" s="8">
        <v>2.0453999999999999</v>
      </c>
      <c r="AI232" s="8">
        <v>2.0463</v>
      </c>
      <c r="AJ232" s="8">
        <v>2.0320999999999998</v>
      </c>
      <c r="AK232" s="8">
        <v>2.0407999999999999</v>
      </c>
      <c r="AL232" s="8">
        <v>2.0365000000000002</v>
      </c>
      <c r="AM232" s="8">
        <v>1.9630000000000001</v>
      </c>
      <c r="AN232" s="8">
        <v>1.944</v>
      </c>
      <c r="AO232" s="8">
        <v>1.9328000000000001</v>
      </c>
      <c r="AP232" s="8">
        <v>1.9539</v>
      </c>
      <c r="AQ232" s="8">
        <v>1.9862</v>
      </c>
      <c r="AR232" s="8">
        <v>1.9684999999999999</v>
      </c>
      <c r="AS232" s="8">
        <v>2.0223</v>
      </c>
      <c r="AT232" s="8">
        <v>2.0211999999999999</v>
      </c>
      <c r="AU232" s="8">
        <v>2.0392999999999999</v>
      </c>
      <c r="AV232" s="8">
        <v>2.0327999999999999</v>
      </c>
      <c r="AW232" s="8">
        <v>2.0371000000000001</v>
      </c>
      <c r="AX232" s="8">
        <v>2.0179</v>
      </c>
      <c r="AY232" s="8">
        <v>2.0143</v>
      </c>
      <c r="AZ232" s="8">
        <v>2.0043000000000002</v>
      </c>
      <c r="BA232" s="8">
        <v>2.0106999999999999</v>
      </c>
      <c r="BB232" s="8">
        <v>2.0146999999999999</v>
      </c>
      <c r="BC232" s="8">
        <v>2.0139999999999998</v>
      </c>
      <c r="BD232" s="8">
        <v>1.982</v>
      </c>
    </row>
    <row r="233" spans="2:56" s="13" customFormat="1" x14ac:dyDescent="0.3">
      <c r="B233" s="22">
        <f t="shared" si="90"/>
        <v>1696</v>
      </c>
      <c r="C233" s="40">
        <f t="shared" si="91"/>
        <v>22.615178135675968</v>
      </c>
      <c r="D233" s="40">
        <f t="shared" si="92"/>
        <v>20.30209858467553</v>
      </c>
      <c r="E233" s="40">
        <f t="shared" si="93"/>
        <v>29.80380673499274</v>
      </c>
      <c r="F233" s="40">
        <f t="shared" si="94"/>
        <v>28.864324060517408</v>
      </c>
      <c r="G233" s="40">
        <f t="shared" si="95"/>
        <v>31.168862859931593</v>
      </c>
      <c r="H233" s="40">
        <f t="shared" si="96"/>
        <v>30.252318204002069</v>
      </c>
      <c r="I233" s="40">
        <f t="shared" si="97"/>
        <v>59.492679355783402</v>
      </c>
      <c r="J233" s="40">
        <f t="shared" si="98"/>
        <v>68.968033186920294</v>
      </c>
      <c r="K233" s="40">
        <f t="shared" si="99"/>
        <v>66.998291849682772</v>
      </c>
      <c r="L233" s="40">
        <f t="shared" si="100"/>
        <v>63.694973157637889</v>
      </c>
      <c r="M233" s="40">
        <f t="shared" si="101"/>
        <v>47.748901903367397</v>
      </c>
      <c r="N233" s="40">
        <f t="shared" si="102"/>
        <v>37.695217179111687</v>
      </c>
      <c r="O233" s="40"/>
      <c r="P233" s="39">
        <f t="shared" si="103"/>
        <v>42.266715470961216</v>
      </c>
      <c r="Q233" s="39">
        <f t="shared" si="104"/>
        <v>40.201073694485061</v>
      </c>
      <c r="R233" s="39">
        <f t="shared" si="105"/>
        <v>39.120302586627567</v>
      </c>
      <c r="S233" s="39">
        <f t="shared" si="106"/>
        <v>39.084675451439672</v>
      </c>
      <c r="T233" s="39">
        <f t="shared" si="107"/>
        <v>39.241337237677087</v>
      </c>
      <c r="U233" s="39">
        <f t="shared" si="108"/>
        <v>32.2244997559784</v>
      </c>
      <c r="V233" s="39">
        <f t="shared" si="109"/>
        <v>45.278428501708213</v>
      </c>
      <c r="W233" s="39">
        <f t="shared" si="110"/>
        <v>48.458028306490945</v>
      </c>
      <c r="X233" s="39">
        <f t="shared" si="111"/>
        <v>40.570766227428265</v>
      </c>
      <c r="Y233" s="39">
        <f t="shared" si="112"/>
        <v>45.039531478770172</v>
      </c>
      <c r="Z233" s="39">
        <f t="shared" si="113"/>
        <v>45.345290385553795</v>
      </c>
      <c r="AA233" s="39">
        <f t="shared" si="114"/>
        <v>46.217667154709616</v>
      </c>
      <c r="AB233" s="38"/>
      <c r="AE233" s="15">
        <v>1.9629629629629629E-2</v>
      </c>
      <c r="AF233" s="14">
        <f t="shared" si="115"/>
        <v>1696</v>
      </c>
      <c r="AG233" s="8">
        <v>2.0579999999999998</v>
      </c>
      <c r="AH233" s="8">
        <v>2.0474999999999999</v>
      </c>
      <c r="AI233" s="8">
        <v>2.0453999999999999</v>
      </c>
      <c r="AJ233" s="8">
        <v>2.0350999999999999</v>
      </c>
      <c r="AK233" s="8">
        <v>2.0406</v>
      </c>
      <c r="AL233" s="8">
        <v>2.0364</v>
      </c>
      <c r="AM233" s="8">
        <v>1.9624999999999999</v>
      </c>
      <c r="AN233" s="8">
        <v>1.9432</v>
      </c>
      <c r="AO233" s="8">
        <v>1.9331</v>
      </c>
      <c r="AP233" s="8">
        <v>1.9541999999999999</v>
      </c>
      <c r="AQ233" s="8">
        <v>1.9870000000000001</v>
      </c>
      <c r="AR233" s="8">
        <v>1.968</v>
      </c>
      <c r="AS233" s="8">
        <v>2.0222000000000002</v>
      </c>
      <c r="AT233" s="8">
        <v>2.0223</v>
      </c>
      <c r="AU233" s="8">
        <v>2.0388000000000002</v>
      </c>
      <c r="AV233" s="8">
        <v>2.0306999999999999</v>
      </c>
      <c r="AW233" s="8">
        <v>2.0345</v>
      </c>
      <c r="AX233" s="8">
        <v>2.0182000000000002</v>
      </c>
      <c r="AY233" s="8">
        <v>2.012</v>
      </c>
      <c r="AZ233" s="8">
        <v>2.0055999999999998</v>
      </c>
      <c r="BA233" s="8">
        <v>2.0116999999999998</v>
      </c>
      <c r="BB233" s="8">
        <v>2.0127999999999999</v>
      </c>
      <c r="BC233" s="8">
        <v>2.0123000000000002</v>
      </c>
      <c r="BD233" s="8">
        <v>1.9811000000000001</v>
      </c>
    </row>
    <row r="234" spans="2:56" s="13" customFormat="1" x14ac:dyDescent="0.3">
      <c r="B234" s="22">
        <f t="shared" si="90"/>
        <v>1703.9999999999998</v>
      </c>
      <c r="C234" s="40">
        <f t="shared" si="91"/>
        <v>22.468765251342056</v>
      </c>
      <c r="D234" s="40">
        <f t="shared" si="92"/>
        <v>22.010248901903367</v>
      </c>
      <c r="E234" s="40">
        <f t="shared" si="93"/>
        <v>29.510980966325128</v>
      </c>
      <c r="F234" s="40">
        <f t="shared" si="94"/>
        <v>29.498779892630672</v>
      </c>
      <c r="G234" s="40">
        <f t="shared" si="95"/>
        <v>30.192776964372676</v>
      </c>
      <c r="H234" s="40">
        <f t="shared" si="96"/>
        <v>29.569058077110977</v>
      </c>
      <c r="I234" s="40">
        <f t="shared" si="97"/>
        <v>59.492679355783402</v>
      </c>
      <c r="J234" s="40">
        <f t="shared" si="98"/>
        <v>69.407271839921819</v>
      </c>
      <c r="K234" s="40">
        <f t="shared" si="99"/>
        <v>66.900683260126897</v>
      </c>
      <c r="L234" s="40">
        <f t="shared" si="100"/>
        <v>63.402147388970171</v>
      </c>
      <c r="M234" s="40">
        <f t="shared" si="101"/>
        <v>47.55368472425566</v>
      </c>
      <c r="N234" s="40">
        <f t="shared" si="102"/>
        <v>37.792825768667555</v>
      </c>
      <c r="O234" s="40"/>
      <c r="P234" s="39">
        <f t="shared" si="103"/>
        <v>42.413128355295129</v>
      </c>
      <c r="Q234" s="39">
        <f t="shared" si="104"/>
        <v>40.396290873596797</v>
      </c>
      <c r="R234" s="39">
        <f t="shared" si="105"/>
        <v>39.071498291849736</v>
      </c>
      <c r="S234" s="39">
        <f t="shared" si="106"/>
        <v>38.547828208882279</v>
      </c>
      <c r="T234" s="39">
        <f t="shared" si="107"/>
        <v>37.533186920449253</v>
      </c>
      <c r="U234" s="39">
        <f t="shared" si="108"/>
        <v>33.688628599316672</v>
      </c>
      <c r="V234" s="39">
        <f t="shared" si="109"/>
        <v>44.887994143484732</v>
      </c>
      <c r="W234" s="39">
        <f t="shared" si="110"/>
        <v>48.214006832601164</v>
      </c>
      <c r="X234" s="39">
        <f t="shared" si="111"/>
        <v>40.863591996095877</v>
      </c>
      <c r="Y234" s="39">
        <f t="shared" si="112"/>
        <v>44.600292825768655</v>
      </c>
      <c r="Z234" s="39">
        <f t="shared" si="113"/>
        <v>45.78452903855532</v>
      </c>
      <c r="AA234" s="39">
        <f t="shared" si="114"/>
        <v>46.60810151293321</v>
      </c>
      <c r="AB234" s="38"/>
      <c r="AE234" s="15">
        <v>1.9722222222222221E-2</v>
      </c>
      <c r="AF234" s="14">
        <f t="shared" si="115"/>
        <v>1703.9999999999998</v>
      </c>
      <c r="AG234" s="8">
        <v>2.0583</v>
      </c>
      <c r="AH234" s="8">
        <v>2.044</v>
      </c>
      <c r="AI234" s="8">
        <v>2.0459999999999998</v>
      </c>
      <c r="AJ234" s="8">
        <v>2.0337999999999998</v>
      </c>
      <c r="AK234" s="8">
        <v>2.0426000000000002</v>
      </c>
      <c r="AL234" s="8">
        <v>2.0377999999999998</v>
      </c>
      <c r="AM234" s="8">
        <v>1.9624999999999999</v>
      </c>
      <c r="AN234" s="8">
        <v>1.9422999999999999</v>
      </c>
      <c r="AO234" s="8">
        <v>1.9333</v>
      </c>
      <c r="AP234" s="8">
        <v>1.9548000000000001</v>
      </c>
      <c r="AQ234" s="8">
        <v>1.9874000000000001</v>
      </c>
      <c r="AR234" s="8">
        <v>1.9678</v>
      </c>
      <c r="AS234" s="8">
        <v>2.0219</v>
      </c>
      <c r="AT234" s="8">
        <v>2.0219</v>
      </c>
      <c r="AU234" s="8">
        <v>2.0388999999999999</v>
      </c>
      <c r="AV234" s="8">
        <v>2.0318000000000001</v>
      </c>
      <c r="AW234" s="8">
        <v>2.0379999999999998</v>
      </c>
      <c r="AX234" s="8">
        <v>2.0152000000000001</v>
      </c>
      <c r="AY234" s="8">
        <v>2.0127999999999999</v>
      </c>
      <c r="AZ234" s="8">
        <v>2.0061</v>
      </c>
      <c r="BA234" s="8">
        <v>2.0110999999999999</v>
      </c>
      <c r="BB234" s="8">
        <v>2.0137</v>
      </c>
      <c r="BC234" s="8">
        <v>2.0114000000000001</v>
      </c>
      <c r="BD234" s="8">
        <v>1.9802999999999999</v>
      </c>
    </row>
    <row r="235" spans="2:56" s="13" customFormat="1" x14ac:dyDescent="0.3">
      <c r="B235" s="22">
        <f t="shared" si="90"/>
        <v>1712.0000000000002</v>
      </c>
      <c r="C235" s="40">
        <f t="shared" si="91"/>
        <v>22.224743777452272</v>
      </c>
      <c r="D235" s="40">
        <f t="shared" si="92"/>
        <v>21.229380185456407</v>
      </c>
      <c r="E235" s="40">
        <f t="shared" si="93"/>
        <v>30.779892630551444</v>
      </c>
      <c r="F235" s="40">
        <f t="shared" si="94"/>
        <v>29.986822840410024</v>
      </c>
      <c r="G235" s="40">
        <f t="shared" si="95"/>
        <v>30.827232796485941</v>
      </c>
      <c r="H235" s="40">
        <f t="shared" si="96"/>
        <v>29.520253782332933</v>
      </c>
      <c r="I235" s="40">
        <f t="shared" si="97"/>
        <v>59.248657881893614</v>
      </c>
      <c r="J235" s="40">
        <f t="shared" si="98"/>
        <v>69.79770619814532</v>
      </c>
      <c r="K235" s="40">
        <f t="shared" si="99"/>
        <v>67.095900439238648</v>
      </c>
      <c r="L235" s="40">
        <f t="shared" si="100"/>
        <v>64.183016105417238</v>
      </c>
      <c r="M235" s="40">
        <f t="shared" si="101"/>
        <v>48.432162030258596</v>
      </c>
      <c r="N235" s="40">
        <f t="shared" si="102"/>
        <v>37.792825768667555</v>
      </c>
      <c r="O235" s="40"/>
      <c r="P235" s="39">
        <f t="shared" si="103"/>
        <v>43.04758418740839</v>
      </c>
      <c r="Q235" s="39">
        <f t="shared" si="104"/>
        <v>40.884333821376153</v>
      </c>
      <c r="R235" s="39">
        <f t="shared" si="105"/>
        <v>38.973889702293867</v>
      </c>
      <c r="S235" s="39">
        <f t="shared" si="106"/>
        <v>38.596632503660324</v>
      </c>
      <c r="T235" s="39">
        <f t="shared" si="107"/>
        <v>37.826012689116858</v>
      </c>
      <c r="U235" s="39">
        <f t="shared" si="108"/>
        <v>33.005368472425587</v>
      </c>
      <c r="V235" s="39">
        <f t="shared" si="109"/>
        <v>45.522449975597993</v>
      </c>
      <c r="W235" s="39">
        <f t="shared" si="110"/>
        <v>48.946071254270294</v>
      </c>
      <c r="X235" s="39">
        <f t="shared" si="111"/>
        <v>40.473157637872397</v>
      </c>
      <c r="Y235" s="39">
        <f t="shared" si="112"/>
        <v>44.893118594436267</v>
      </c>
      <c r="Z235" s="39">
        <f t="shared" si="113"/>
        <v>45.101268911664235</v>
      </c>
      <c r="AA235" s="39">
        <f t="shared" si="114"/>
        <v>46.168862859931679</v>
      </c>
      <c r="AB235" s="38"/>
      <c r="AE235" s="15">
        <v>1.9814814814814816E-2</v>
      </c>
      <c r="AF235" s="14">
        <f t="shared" si="115"/>
        <v>1712.0000000000002</v>
      </c>
      <c r="AG235" s="8">
        <v>2.0588000000000002</v>
      </c>
      <c r="AH235" s="8">
        <v>2.0455999999999999</v>
      </c>
      <c r="AI235" s="8">
        <v>2.0434000000000001</v>
      </c>
      <c r="AJ235" s="8">
        <v>2.0327999999999999</v>
      </c>
      <c r="AK235" s="8">
        <v>2.0413000000000001</v>
      </c>
      <c r="AL235" s="8">
        <v>2.0379</v>
      </c>
      <c r="AM235" s="8">
        <v>1.9630000000000001</v>
      </c>
      <c r="AN235" s="8">
        <v>1.9415</v>
      </c>
      <c r="AO235" s="8">
        <v>1.9329000000000001</v>
      </c>
      <c r="AP235" s="8">
        <v>1.9532</v>
      </c>
      <c r="AQ235" s="8">
        <v>1.9856</v>
      </c>
      <c r="AR235" s="8">
        <v>1.9678</v>
      </c>
      <c r="AS235" s="8">
        <v>2.0206</v>
      </c>
      <c r="AT235" s="8">
        <v>2.0209000000000001</v>
      </c>
      <c r="AU235" s="8">
        <v>2.0390999999999999</v>
      </c>
      <c r="AV235" s="8">
        <v>2.0316999999999998</v>
      </c>
      <c r="AW235" s="8">
        <v>2.0373999999999999</v>
      </c>
      <c r="AX235" s="8">
        <v>2.0165999999999999</v>
      </c>
      <c r="AY235" s="8">
        <v>2.0114999999999998</v>
      </c>
      <c r="AZ235" s="8">
        <v>2.0045999999999999</v>
      </c>
      <c r="BA235" s="8">
        <v>2.0118999999999998</v>
      </c>
      <c r="BB235" s="8">
        <v>2.0131000000000001</v>
      </c>
      <c r="BC235" s="8">
        <v>2.0127999999999999</v>
      </c>
      <c r="BD235" s="8">
        <v>1.9812000000000001</v>
      </c>
    </row>
    <row r="236" spans="2:56" s="13" customFormat="1" x14ac:dyDescent="0.3">
      <c r="B236" s="22">
        <f t="shared" si="90"/>
        <v>1720</v>
      </c>
      <c r="C236" s="40">
        <f t="shared" si="91"/>
        <v>22.468765251342056</v>
      </c>
      <c r="D236" s="40">
        <f t="shared" si="92"/>
        <v>23.181551976574028</v>
      </c>
      <c r="E236" s="40">
        <f t="shared" si="93"/>
        <v>30.096632503660349</v>
      </c>
      <c r="F236" s="40">
        <f t="shared" si="94"/>
        <v>29.596388482186544</v>
      </c>
      <c r="G236" s="40">
        <f t="shared" si="95"/>
        <v>31.461688628599209</v>
      </c>
      <c r="H236" s="40">
        <f t="shared" si="96"/>
        <v>29.520253782332933</v>
      </c>
      <c r="I236" s="40">
        <f t="shared" si="97"/>
        <v>58.711810639336335</v>
      </c>
      <c r="J236" s="40">
        <f t="shared" si="98"/>
        <v>69.700097608589431</v>
      </c>
      <c r="K236" s="40">
        <f t="shared" si="99"/>
        <v>67.730356271351894</v>
      </c>
      <c r="L236" s="40">
        <f t="shared" si="100"/>
        <v>64.378233284528989</v>
      </c>
      <c r="M236" s="40">
        <f t="shared" si="101"/>
        <v>48.139336261590991</v>
      </c>
      <c r="N236" s="40">
        <f t="shared" si="102"/>
        <v>38.183260126891042</v>
      </c>
      <c r="O236" s="40"/>
      <c r="P236" s="39">
        <f t="shared" si="103"/>
        <v>42.754758418740785</v>
      </c>
      <c r="Q236" s="39">
        <f t="shared" si="104"/>
        <v>40.933138116154197</v>
      </c>
      <c r="R236" s="39">
        <f t="shared" si="105"/>
        <v>39.461932650073223</v>
      </c>
      <c r="S236" s="39">
        <f t="shared" si="106"/>
        <v>38.499023914104455</v>
      </c>
      <c r="T236" s="39">
        <f t="shared" si="107"/>
        <v>38.216447047340345</v>
      </c>
      <c r="U236" s="39">
        <f t="shared" si="108"/>
        <v>32.858955588091668</v>
      </c>
      <c r="V236" s="39">
        <f t="shared" si="109"/>
        <v>45.376037091264081</v>
      </c>
      <c r="W236" s="39">
        <f t="shared" si="110"/>
        <v>49.28770131771595</v>
      </c>
      <c r="X236" s="39">
        <f t="shared" si="111"/>
        <v>40.521961932650228</v>
      </c>
      <c r="Y236" s="39">
        <f t="shared" si="112"/>
        <v>45.381161542215608</v>
      </c>
      <c r="Z236" s="39">
        <f t="shared" si="113"/>
        <v>45.345290385553795</v>
      </c>
      <c r="AA236" s="39">
        <f t="shared" si="114"/>
        <v>47.535383113714083</v>
      </c>
      <c r="AB236" s="38"/>
      <c r="AE236" s="15">
        <v>1.9907407407407408E-2</v>
      </c>
      <c r="AF236" s="14">
        <f t="shared" si="115"/>
        <v>1720</v>
      </c>
      <c r="AG236" s="8">
        <v>2.0583</v>
      </c>
      <c r="AH236" s="8">
        <v>2.0415999999999999</v>
      </c>
      <c r="AI236" s="8">
        <v>2.0448</v>
      </c>
      <c r="AJ236" s="8">
        <v>2.0335999999999999</v>
      </c>
      <c r="AK236" s="8">
        <v>2.04</v>
      </c>
      <c r="AL236" s="8">
        <v>2.0379</v>
      </c>
      <c r="AM236" s="8">
        <v>1.9641</v>
      </c>
      <c r="AN236" s="8">
        <v>1.9417</v>
      </c>
      <c r="AO236" s="8">
        <v>1.9316</v>
      </c>
      <c r="AP236" s="8">
        <v>1.9528000000000001</v>
      </c>
      <c r="AQ236" s="8">
        <v>1.9862</v>
      </c>
      <c r="AR236" s="8">
        <v>1.9670000000000001</v>
      </c>
      <c r="AS236" s="8">
        <v>2.0211999999999999</v>
      </c>
      <c r="AT236" s="8">
        <v>2.0207999999999999</v>
      </c>
      <c r="AU236" s="8">
        <v>2.0381</v>
      </c>
      <c r="AV236" s="8">
        <v>2.0318999999999998</v>
      </c>
      <c r="AW236" s="8">
        <v>2.0366</v>
      </c>
      <c r="AX236" s="8">
        <v>2.0169000000000001</v>
      </c>
      <c r="AY236" s="8">
        <v>2.0118</v>
      </c>
      <c r="AZ236" s="8">
        <v>2.0038999999999998</v>
      </c>
      <c r="BA236" s="8">
        <v>2.0118</v>
      </c>
      <c r="BB236" s="8">
        <v>2.0121000000000002</v>
      </c>
      <c r="BC236" s="8">
        <v>2.0123000000000002</v>
      </c>
      <c r="BD236" s="8">
        <v>1.9783999999999999</v>
      </c>
    </row>
    <row r="237" spans="2:56" s="13" customFormat="1" x14ac:dyDescent="0.3">
      <c r="B237" s="22">
        <f t="shared" si="90"/>
        <v>1727.9999999999998</v>
      </c>
      <c r="C237" s="40">
        <f t="shared" si="91"/>
        <v>23.054416788677276</v>
      </c>
      <c r="D237" s="40">
        <f t="shared" si="92"/>
        <v>23.279160566129896</v>
      </c>
      <c r="E237" s="40">
        <f t="shared" si="93"/>
        <v>30.047828208882308</v>
      </c>
      <c r="F237" s="40">
        <f t="shared" si="94"/>
        <v>30.035627135187848</v>
      </c>
      <c r="G237" s="40">
        <f t="shared" si="95"/>
        <v>32.047340165934429</v>
      </c>
      <c r="H237" s="40">
        <f t="shared" si="96"/>
        <v>30.593948267447722</v>
      </c>
      <c r="I237" s="40">
        <f t="shared" si="97"/>
        <v>58.955832113226009</v>
      </c>
      <c r="J237" s="40">
        <f t="shared" si="98"/>
        <v>69.212054660809983</v>
      </c>
      <c r="K237" s="40">
        <f t="shared" si="99"/>
        <v>67.437530502684297</v>
      </c>
      <c r="L237" s="40">
        <f t="shared" si="100"/>
        <v>65.061493411420187</v>
      </c>
      <c r="M237" s="40">
        <f t="shared" si="101"/>
        <v>48.334553440702727</v>
      </c>
      <c r="N237" s="40">
        <f t="shared" si="102"/>
        <v>37.49999999999995</v>
      </c>
      <c r="O237" s="40"/>
      <c r="P237" s="39">
        <f t="shared" si="103"/>
        <v>43.145192776964258</v>
      </c>
      <c r="Q237" s="39">
        <f t="shared" si="104"/>
        <v>42.25085407515855</v>
      </c>
      <c r="R237" s="39">
        <f t="shared" si="105"/>
        <v>39.998779892630608</v>
      </c>
      <c r="S237" s="39">
        <f t="shared" si="106"/>
        <v>38.79184968277206</v>
      </c>
      <c r="T237" s="39">
        <f t="shared" si="107"/>
        <v>38.460468521230126</v>
      </c>
      <c r="U237" s="39">
        <f t="shared" si="108"/>
        <v>32.6149341142021</v>
      </c>
      <c r="V237" s="39">
        <f t="shared" si="109"/>
        <v>45.083211322596469</v>
      </c>
      <c r="W237" s="39">
        <f t="shared" si="110"/>
        <v>49.190092728159861</v>
      </c>
      <c r="X237" s="39">
        <f t="shared" si="111"/>
        <v>41.986090775988494</v>
      </c>
      <c r="Y237" s="39">
        <f t="shared" si="112"/>
        <v>44.941922889214304</v>
      </c>
      <c r="Z237" s="39">
        <f t="shared" si="113"/>
        <v>45.247681795997927</v>
      </c>
      <c r="AA237" s="39">
        <f t="shared" si="114"/>
        <v>47.340165934602339</v>
      </c>
      <c r="AB237" s="38"/>
      <c r="AE237" s="15">
        <v>0.02</v>
      </c>
      <c r="AF237" s="14">
        <f t="shared" si="115"/>
        <v>1727.9999999999998</v>
      </c>
      <c r="AG237" s="8">
        <v>2.0571000000000002</v>
      </c>
      <c r="AH237" s="8">
        <v>2.0413999999999999</v>
      </c>
      <c r="AI237" s="8">
        <v>2.0449000000000002</v>
      </c>
      <c r="AJ237" s="8">
        <v>2.0327000000000002</v>
      </c>
      <c r="AK237" s="8">
        <v>2.0388000000000002</v>
      </c>
      <c r="AL237" s="8">
        <v>2.0356999999999998</v>
      </c>
      <c r="AM237" s="8">
        <v>1.9636</v>
      </c>
      <c r="AN237" s="8">
        <v>1.9427000000000001</v>
      </c>
      <c r="AO237" s="8">
        <v>1.9321999999999999</v>
      </c>
      <c r="AP237" s="8">
        <v>1.9514</v>
      </c>
      <c r="AQ237" s="8">
        <v>1.9858</v>
      </c>
      <c r="AR237" s="8">
        <v>1.9683999999999999</v>
      </c>
      <c r="AS237" s="8">
        <v>2.0204</v>
      </c>
      <c r="AT237" s="8">
        <v>2.0181</v>
      </c>
      <c r="AU237" s="8">
        <v>2.0369999999999999</v>
      </c>
      <c r="AV237" s="8">
        <v>2.0312999999999999</v>
      </c>
      <c r="AW237" s="8">
        <v>2.0360999999999998</v>
      </c>
      <c r="AX237" s="8">
        <v>2.0173999999999999</v>
      </c>
      <c r="AY237" s="8">
        <v>2.0124</v>
      </c>
      <c r="AZ237" s="8">
        <v>2.0041000000000002</v>
      </c>
      <c r="BA237" s="8">
        <v>2.0087999999999999</v>
      </c>
      <c r="BB237" s="8">
        <v>2.0129999999999999</v>
      </c>
      <c r="BC237" s="8">
        <v>2.0125000000000002</v>
      </c>
      <c r="BD237" s="8">
        <v>1.9787999999999999</v>
      </c>
    </row>
    <row r="238" spans="2:56" s="13" customFormat="1" x14ac:dyDescent="0.3">
      <c r="B238" s="22">
        <f t="shared" si="90"/>
        <v>1736</v>
      </c>
      <c r="C238" s="40">
        <f t="shared" si="91"/>
        <v>22.419960956564228</v>
      </c>
      <c r="D238" s="40">
        <f t="shared" si="92"/>
        <v>23.279160566129896</v>
      </c>
      <c r="E238" s="40">
        <f t="shared" si="93"/>
        <v>29.901415324548609</v>
      </c>
      <c r="F238" s="40">
        <f t="shared" si="94"/>
        <v>29.93801854563198</v>
      </c>
      <c r="G238" s="40">
        <f t="shared" si="95"/>
        <v>31.510492923377246</v>
      </c>
      <c r="H238" s="40">
        <f t="shared" si="96"/>
        <v>29.325036603221193</v>
      </c>
      <c r="I238" s="40">
        <f t="shared" si="97"/>
        <v>59.736700829673076</v>
      </c>
      <c r="J238" s="40">
        <f t="shared" si="98"/>
        <v>69.163250366032045</v>
      </c>
      <c r="K238" s="40">
        <f t="shared" si="99"/>
        <v>67.535139092240158</v>
      </c>
      <c r="L238" s="40">
        <f t="shared" si="100"/>
        <v>64.475841874084963</v>
      </c>
      <c r="M238" s="40">
        <f t="shared" si="101"/>
        <v>48.724987798926207</v>
      </c>
      <c r="N238" s="40">
        <f t="shared" si="102"/>
        <v>37.890434358223423</v>
      </c>
      <c r="O238" s="40"/>
      <c r="P238" s="39">
        <f t="shared" si="103"/>
        <v>43.242801366520133</v>
      </c>
      <c r="Q238" s="39">
        <f t="shared" si="104"/>
        <v>41.32357247437767</v>
      </c>
      <c r="R238" s="39">
        <f t="shared" si="105"/>
        <v>38.973889702293867</v>
      </c>
      <c r="S238" s="39">
        <f t="shared" si="106"/>
        <v>38.352611029770536</v>
      </c>
      <c r="T238" s="39">
        <f t="shared" si="107"/>
        <v>37.630795510005122</v>
      </c>
      <c r="U238" s="39">
        <f t="shared" si="108"/>
        <v>33.15178135675928</v>
      </c>
      <c r="V238" s="39">
        <f t="shared" si="109"/>
        <v>45.083211322596469</v>
      </c>
      <c r="W238" s="39">
        <f t="shared" si="110"/>
        <v>49.190092728159861</v>
      </c>
      <c r="X238" s="39">
        <f t="shared" si="111"/>
        <v>40.521961932650228</v>
      </c>
      <c r="Y238" s="39">
        <f t="shared" si="112"/>
        <v>45.527574426549528</v>
      </c>
      <c r="Z238" s="39">
        <f t="shared" si="113"/>
        <v>45.686920448999452</v>
      </c>
      <c r="AA238" s="39">
        <f t="shared" si="114"/>
        <v>46.705710102489078</v>
      </c>
      <c r="AB238" s="38"/>
      <c r="AE238" s="15">
        <v>2.0092592592592592E-2</v>
      </c>
      <c r="AF238" s="14">
        <f t="shared" si="115"/>
        <v>1736</v>
      </c>
      <c r="AG238" s="8">
        <v>2.0583999999999998</v>
      </c>
      <c r="AH238" s="8">
        <v>2.0413999999999999</v>
      </c>
      <c r="AI238" s="8">
        <v>2.0451999999999999</v>
      </c>
      <c r="AJ238" s="8">
        <v>2.0329000000000002</v>
      </c>
      <c r="AK238" s="8">
        <v>2.0398999999999998</v>
      </c>
      <c r="AL238" s="8">
        <v>2.0383</v>
      </c>
      <c r="AM238" s="8">
        <v>1.962</v>
      </c>
      <c r="AN238" s="8">
        <v>1.9428000000000001</v>
      </c>
      <c r="AO238" s="8">
        <v>1.9319999999999999</v>
      </c>
      <c r="AP238" s="8">
        <v>1.9525999999999999</v>
      </c>
      <c r="AQ238" s="8">
        <v>1.9850000000000001</v>
      </c>
      <c r="AR238" s="8">
        <v>1.9676</v>
      </c>
      <c r="AS238" s="8">
        <v>2.0202</v>
      </c>
      <c r="AT238" s="8">
        <v>2.02</v>
      </c>
      <c r="AU238" s="8">
        <v>2.0390999999999999</v>
      </c>
      <c r="AV238" s="8">
        <v>2.0322</v>
      </c>
      <c r="AW238" s="8">
        <v>2.0377999999999998</v>
      </c>
      <c r="AX238" s="8">
        <v>2.0163000000000002</v>
      </c>
      <c r="AY238" s="8">
        <v>2.0124</v>
      </c>
      <c r="AZ238" s="8">
        <v>2.0041000000000002</v>
      </c>
      <c r="BA238" s="8">
        <v>2.0118</v>
      </c>
      <c r="BB238" s="8">
        <v>2.0118</v>
      </c>
      <c r="BC238" s="8">
        <v>2.0116000000000001</v>
      </c>
      <c r="BD238" s="8">
        <v>1.9801</v>
      </c>
    </row>
    <row r="239" spans="2:56" s="13" customFormat="1" x14ac:dyDescent="0.3">
      <c r="B239" s="22">
        <f t="shared" si="90"/>
        <v>1744</v>
      </c>
      <c r="C239" s="40">
        <f t="shared" si="91"/>
        <v>22.90800390434358</v>
      </c>
      <c r="D239" s="40">
        <f t="shared" si="92"/>
        <v>23.327964860907723</v>
      </c>
      <c r="E239" s="40">
        <f t="shared" si="93"/>
        <v>30.535871156661877</v>
      </c>
      <c r="F239" s="40">
        <f t="shared" si="94"/>
        <v>28.669106881405664</v>
      </c>
      <c r="G239" s="40">
        <f t="shared" si="95"/>
        <v>30.827232796485941</v>
      </c>
      <c r="H239" s="40">
        <f t="shared" si="96"/>
        <v>29.861883845778586</v>
      </c>
      <c r="I239" s="40">
        <f t="shared" si="97"/>
        <v>59.492679355783402</v>
      </c>
      <c r="J239" s="40">
        <f t="shared" si="98"/>
        <v>69.163250366032045</v>
      </c>
      <c r="K239" s="40">
        <f t="shared" si="99"/>
        <v>67.632747681796033</v>
      </c>
      <c r="L239" s="40">
        <f t="shared" si="100"/>
        <v>65.110297706198125</v>
      </c>
      <c r="M239" s="40">
        <f t="shared" si="101"/>
        <v>48.285749145924797</v>
      </c>
      <c r="N239" s="40">
        <f t="shared" si="102"/>
        <v>38.183260126891042</v>
      </c>
      <c r="O239" s="40"/>
      <c r="P239" s="39">
        <f t="shared" si="103"/>
        <v>42.998779892630353</v>
      </c>
      <c r="Q239" s="39">
        <f t="shared" si="104"/>
        <v>41.714006832601157</v>
      </c>
      <c r="R239" s="39">
        <f t="shared" si="105"/>
        <v>39.266715470961479</v>
      </c>
      <c r="S239" s="39">
        <f t="shared" si="106"/>
        <v>38.547828208882279</v>
      </c>
      <c r="T239" s="39">
        <f t="shared" si="107"/>
        <v>38.167642752562294</v>
      </c>
      <c r="U239" s="39">
        <f t="shared" si="108"/>
        <v>32.810151293313844</v>
      </c>
      <c r="V239" s="39">
        <f t="shared" si="109"/>
        <v>45.034407027818432</v>
      </c>
      <c r="W239" s="39">
        <f t="shared" si="110"/>
        <v>49.873352855051166</v>
      </c>
      <c r="X239" s="39">
        <f t="shared" si="111"/>
        <v>41.254026354319357</v>
      </c>
      <c r="Y239" s="39">
        <f t="shared" si="112"/>
        <v>45.088335773548003</v>
      </c>
      <c r="Z239" s="39">
        <f t="shared" si="113"/>
        <v>45.491703269887715</v>
      </c>
      <c r="AA239" s="39">
        <f t="shared" si="114"/>
        <v>46.803318692044947</v>
      </c>
      <c r="AB239" s="38"/>
      <c r="AE239" s="15">
        <v>2.0185185185185184E-2</v>
      </c>
      <c r="AF239" s="14">
        <f t="shared" si="115"/>
        <v>1744</v>
      </c>
      <c r="AG239" s="8">
        <v>2.0573999999999999</v>
      </c>
      <c r="AH239" s="8">
        <v>2.0413000000000001</v>
      </c>
      <c r="AI239" s="8">
        <v>2.0438999999999998</v>
      </c>
      <c r="AJ239" s="8">
        <v>2.0354999999999999</v>
      </c>
      <c r="AK239" s="8">
        <v>2.0413000000000001</v>
      </c>
      <c r="AL239" s="8">
        <v>2.0371999999999999</v>
      </c>
      <c r="AM239" s="8">
        <v>1.9624999999999999</v>
      </c>
      <c r="AN239" s="8">
        <v>1.9428000000000001</v>
      </c>
      <c r="AO239" s="8">
        <v>1.9318</v>
      </c>
      <c r="AP239" s="8">
        <v>1.9513</v>
      </c>
      <c r="AQ239" s="8">
        <v>1.9859</v>
      </c>
      <c r="AR239" s="8">
        <v>1.9670000000000001</v>
      </c>
      <c r="AS239" s="8">
        <v>2.0207000000000002</v>
      </c>
      <c r="AT239" s="8">
        <v>2.0192000000000001</v>
      </c>
      <c r="AU239" s="8">
        <v>2.0385</v>
      </c>
      <c r="AV239" s="8">
        <v>2.0318000000000001</v>
      </c>
      <c r="AW239" s="8">
        <v>2.0367000000000002</v>
      </c>
      <c r="AX239" s="8">
        <v>2.0169999999999999</v>
      </c>
      <c r="AY239" s="8">
        <v>2.0125000000000002</v>
      </c>
      <c r="AZ239" s="8">
        <v>2.0026999999999999</v>
      </c>
      <c r="BA239" s="8">
        <v>2.0103</v>
      </c>
      <c r="BB239" s="8">
        <v>2.0127000000000002</v>
      </c>
      <c r="BC239" s="8">
        <v>2.012</v>
      </c>
      <c r="BD239" s="8">
        <v>1.9799</v>
      </c>
    </row>
    <row r="240" spans="2:56" s="13" customFormat="1" x14ac:dyDescent="0.3">
      <c r="B240" s="22">
        <f t="shared" si="90"/>
        <v>1752</v>
      </c>
      <c r="C240" s="40">
        <f t="shared" si="91"/>
        <v>22.810395314787709</v>
      </c>
      <c r="D240" s="40">
        <f t="shared" si="92"/>
        <v>22.986334797462284</v>
      </c>
      <c r="E240" s="40">
        <f t="shared" si="93"/>
        <v>29.364568081991216</v>
      </c>
      <c r="F240" s="40">
        <f t="shared" si="94"/>
        <v>29.547584187408496</v>
      </c>
      <c r="G240" s="40">
        <f t="shared" si="95"/>
        <v>31.412884333821378</v>
      </c>
      <c r="H240" s="40">
        <f t="shared" si="96"/>
        <v>29.617862371888801</v>
      </c>
      <c r="I240" s="40">
        <f t="shared" si="97"/>
        <v>60.078330893118618</v>
      </c>
      <c r="J240" s="40">
        <f t="shared" si="98"/>
        <v>69.065641776476184</v>
      </c>
      <c r="K240" s="40">
        <f t="shared" si="99"/>
        <v>67.535139092240158</v>
      </c>
      <c r="L240" s="40">
        <f t="shared" si="100"/>
        <v>65.061493411420187</v>
      </c>
      <c r="M240" s="40">
        <f t="shared" si="101"/>
        <v>48.969009272815995</v>
      </c>
      <c r="N240" s="40">
        <f t="shared" si="102"/>
        <v>37.988042947779299</v>
      </c>
      <c r="O240" s="40"/>
      <c r="P240" s="39">
        <f t="shared" si="103"/>
        <v>43.340409956076009</v>
      </c>
      <c r="Q240" s="39">
        <f t="shared" si="104"/>
        <v>42.348462664714425</v>
      </c>
      <c r="R240" s="39">
        <f t="shared" si="105"/>
        <v>40.04758418740844</v>
      </c>
      <c r="S240" s="39">
        <f t="shared" si="106"/>
        <v>38.987066861883804</v>
      </c>
      <c r="T240" s="39">
        <f t="shared" si="107"/>
        <v>38.021229868228602</v>
      </c>
      <c r="U240" s="39">
        <f t="shared" si="108"/>
        <v>33.298194241093192</v>
      </c>
      <c r="V240" s="39">
        <f t="shared" si="109"/>
        <v>46.888970229380178</v>
      </c>
      <c r="W240" s="39">
        <f t="shared" si="110"/>
        <v>49.629331381161386</v>
      </c>
      <c r="X240" s="39">
        <f t="shared" si="111"/>
        <v>41.546852122986969</v>
      </c>
      <c r="Y240" s="39">
        <f t="shared" si="112"/>
        <v>46.015617374328876</v>
      </c>
      <c r="Z240" s="39">
        <f t="shared" si="113"/>
        <v>45.78452903855532</v>
      </c>
      <c r="AA240" s="39">
        <f t="shared" si="114"/>
        <v>47.193753050268434</v>
      </c>
      <c r="AB240" s="38"/>
      <c r="AE240" s="15">
        <v>2.0277777777777777E-2</v>
      </c>
      <c r="AF240" s="14">
        <f t="shared" si="115"/>
        <v>1752</v>
      </c>
      <c r="AG240" s="8">
        <v>2.0575999999999999</v>
      </c>
      <c r="AH240" s="8">
        <v>2.0419999999999998</v>
      </c>
      <c r="AI240" s="8">
        <v>2.0463</v>
      </c>
      <c r="AJ240" s="8">
        <v>2.0337000000000001</v>
      </c>
      <c r="AK240" s="8">
        <v>2.0400999999999998</v>
      </c>
      <c r="AL240" s="8">
        <v>2.0377000000000001</v>
      </c>
      <c r="AM240" s="8">
        <v>1.9613</v>
      </c>
      <c r="AN240" s="8">
        <v>1.9430000000000001</v>
      </c>
      <c r="AO240" s="8">
        <v>1.9319999999999999</v>
      </c>
      <c r="AP240" s="8">
        <v>1.9514</v>
      </c>
      <c r="AQ240" s="8">
        <v>1.9844999999999999</v>
      </c>
      <c r="AR240" s="8">
        <v>1.9674</v>
      </c>
      <c r="AS240" s="8">
        <v>2.02</v>
      </c>
      <c r="AT240" s="8">
        <v>2.0179</v>
      </c>
      <c r="AU240" s="8">
        <v>2.0369000000000002</v>
      </c>
      <c r="AV240" s="8">
        <v>2.0308999999999999</v>
      </c>
      <c r="AW240" s="8">
        <v>2.0369999999999999</v>
      </c>
      <c r="AX240" s="8">
        <v>2.016</v>
      </c>
      <c r="AY240" s="8">
        <v>2.0087000000000002</v>
      </c>
      <c r="AZ240" s="8">
        <v>2.0032000000000001</v>
      </c>
      <c r="BA240" s="8">
        <v>2.0097</v>
      </c>
      <c r="BB240" s="8">
        <v>2.0108000000000001</v>
      </c>
      <c r="BC240" s="8">
        <v>2.0114000000000001</v>
      </c>
      <c r="BD240" s="8">
        <v>1.9791000000000001</v>
      </c>
    </row>
    <row r="241" spans="2:56" s="13" customFormat="1" x14ac:dyDescent="0.3">
      <c r="B241" s="22">
        <f t="shared" si="90"/>
        <v>1759.9999999999998</v>
      </c>
      <c r="C241" s="40">
        <f t="shared" si="91"/>
        <v>22.761591020009668</v>
      </c>
      <c r="D241" s="40">
        <f t="shared" si="92"/>
        <v>22.498291849682715</v>
      </c>
      <c r="E241" s="40">
        <f t="shared" si="93"/>
        <v>29.364568081991216</v>
      </c>
      <c r="F241" s="40">
        <f t="shared" si="94"/>
        <v>29.547584187408496</v>
      </c>
      <c r="G241" s="40">
        <f t="shared" si="95"/>
        <v>31.217667154709424</v>
      </c>
      <c r="H241" s="40">
        <f t="shared" si="96"/>
        <v>30.593948267447722</v>
      </c>
      <c r="I241" s="40">
        <f t="shared" si="97"/>
        <v>59.151049292337746</v>
      </c>
      <c r="J241" s="40">
        <f t="shared" si="98"/>
        <v>69.016837481698232</v>
      </c>
      <c r="K241" s="40">
        <f t="shared" si="99"/>
        <v>68.267203513909195</v>
      </c>
      <c r="L241" s="40">
        <f t="shared" si="100"/>
        <v>65.305514885309861</v>
      </c>
      <c r="M241" s="40">
        <f t="shared" si="101"/>
        <v>47.992923377257178</v>
      </c>
      <c r="N241" s="40">
        <f t="shared" si="102"/>
        <v>37.841630063445493</v>
      </c>
      <c r="O241" s="40"/>
      <c r="P241" s="39">
        <f t="shared" si="103"/>
        <v>42.998779892630353</v>
      </c>
      <c r="Q241" s="39">
        <f t="shared" si="104"/>
        <v>41.909224011712894</v>
      </c>
      <c r="R241" s="39">
        <f t="shared" si="105"/>
        <v>39.754758418740828</v>
      </c>
      <c r="S241" s="39">
        <f t="shared" si="106"/>
        <v>38.987066861883804</v>
      </c>
      <c r="T241" s="39">
        <f t="shared" si="107"/>
        <v>38.997315763787306</v>
      </c>
      <c r="U241" s="39">
        <f t="shared" si="108"/>
        <v>33.15178135675928</v>
      </c>
      <c r="V241" s="39">
        <f t="shared" si="109"/>
        <v>45.424841386042118</v>
      </c>
      <c r="W241" s="39">
        <f t="shared" si="110"/>
        <v>49.67813567593943</v>
      </c>
      <c r="X241" s="39">
        <f t="shared" si="111"/>
        <v>41.595656417765014</v>
      </c>
      <c r="Y241" s="39">
        <f t="shared" si="112"/>
        <v>45.28355295265974</v>
      </c>
      <c r="Z241" s="39">
        <f t="shared" si="113"/>
        <v>46.077354807222932</v>
      </c>
      <c r="AA241" s="39">
        <f t="shared" si="114"/>
        <v>47.047340165934621</v>
      </c>
      <c r="AB241" s="38"/>
      <c r="AE241" s="15">
        <v>2.0370370370370369E-2</v>
      </c>
      <c r="AF241" s="14">
        <f t="shared" si="115"/>
        <v>1759.9999999999998</v>
      </c>
      <c r="AG241" s="8">
        <v>2.0577000000000001</v>
      </c>
      <c r="AH241" s="8">
        <v>2.0430000000000001</v>
      </c>
      <c r="AI241" s="8">
        <v>2.0463</v>
      </c>
      <c r="AJ241" s="8">
        <v>2.0337000000000001</v>
      </c>
      <c r="AK241" s="8">
        <v>2.0405000000000002</v>
      </c>
      <c r="AL241" s="8">
        <v>2.0356999999999998</v>
      </c>
      <c r="AM241" s="8">
        <v>1.9632000000000001</v>
      </c>
      <c r="AN241" s="8">
        <v>1.9431</v>
      </c>
      <c r="AO241" s="8">
        <v>1.9305000000000001</v>
      </c>
      <c r="AP241" s="8">
        <v>1.9509000000000001</v>
      </c>
      <c r="AQ241" s="8">
        <v>1.9864999999999999</v>
      </c>
      <c r="AR241" s="8">
        <v>1.9677</v>
      </c>
      <c r="AS241" s="8">
        <v>2.0207000000000002</v>
      </c>
      <c r="AT241" s="8">
        <v>2.0188000000000001</v>
      </c>
      <c r="AU241" s="8">
        <v>2.0375000000000001</v>
      </c>
      <c r="AV241" s="8">
        <v>2.0308999999999999</v>
      </c>
      <c r="AW241" s="8">
        <v>2.0350000000000001</v>
      </c>
      <c r="AX241" s="8">
        <v>2.0163000000000002</v>
      </c>
      <c r="AY241" s="8">
        <v>2.0116999999999998</v>
      </c>
      <c r="AZ241" s="8">
        <v>2.0030999999999999</v>
      </c>
      <c r="BA241" s="8">
        <v>2.0095999999999998</v>
      </c>
      <c r="BB241" s="8">
        <v>2.0123000000000002</v>
      </c>
      <c r="BC241" s="8">
        <v>2.0108000000000001</v>
      </c>
      <c r="BD241" s="8">
        <v>1.9794</v>
      </c>
    </row>
    <row r="242" spans="2:56" s="13" customFormat="1" x14ac:dyDescent="0.3">
      <c r="B242" s="22">
        <f t="shared" si="90"/>
        <v>1768</v>
      </c>
      <c r="C242" s="40">
        <f t="shared" si="91"/>
        <v>23.10322108345532</v>
      </c>
      <c r="D242" s="40">
        <f t="shared" si="92"/>
        <v>23.181551976574028</v>
      </c>
      <c r="E242" s="40">
        <f t="shared" si="93"/>
        <v>29.706198145436868</v>
      </c>
      <c r="F242" s="40">
        <f t="shared" si="94"/>
        <v>30.523670082967417</v>
      </c>
      <c r="G242" s="40">
        <f t="shared" si="95"/>
        <v>31.803318692044861</v>
      </c>
      <c r="H242" s="40">
        <f t="shared" si="96"/>
        <v>29.861883845778586</v>
      </c>
      <c r="I242" s="40">
        <f t="shared" si="97"/>
        <v>59.443875061005471</v>
      </c>
      <c r="J242" s="40">
        <f t="shared" si="98"/>
        <v>68.28477306002911</v>
      </c>
      <c r="K242" s="40">
        <f t="shared" si="99"/>
        <v>67.925573450463659</v>
      </c>
      <c r="L242" s="40">
        <f t="shared" si="100"/>
        <v>66.379209370424547</v>
      </c>
      <c r="M242" s="40">
        <f t="shared" si="101"/>
        <v>48.285749145924797</v>
      </c>
      <c r="N242" s="40">
        <f t="shared" si="102"/>
        <v>38.329673011224955</v>
      </c>
      <c r="O242" s="40"/>
      <c r="P242" s="39">
        <f t="shared" si="103"/>
        <v>43.926061493411225</v>
      </c>
      <c r="Q242" s="39">
        <f t="shared" si="104"/>
        <v>41.46998535871159</v>
      </c>
      <c r="R242" s="39">
        <f t="shared" si="105"/>
        <v>39.461932650073223</v>
      </c>
      <c r="S242" s="39">
        <f t="shared" si="106"/>
        <v>38.987066861883804</v>
      </c>
      <c r="T242" s="39">
        <f t="shared" si="107"/>
        <v>37.923621278672726</v>
      </c>
      <c r="U242" s="39">
        <f t="shared" si="108"/>
        <v>33.883845778428416</v>
      </c>
      <c r="V242" s="39">
        <f t="shared" si="109"/>
        <v>45.815275744265605</v>
      </c>
      <c r="W242" s="39">
        <f t="shared" si="110"/>
        <v>50.99585163494379</v>
      </c>
      <c r="X242" s="39">
        <f t="shared" si="111"/>
        <v>41.790873596876757</v>
      </c>
      <c r="Y242" s="39">
        <f t="shared" si="112"/>
        <v>45.576378721327572</v>
      </c>
      <c r="Z242" s="39">
        <f t="shared" si="113"/>
        <v>47.297462176671417</v>
      </c>
      <c r="AA242" s="39">
        <f t="shared" si="114"/>
        <v>47.437774524158208</v>
      </c>
      <c r="AB242" s="38"/>
      <c r="AE242" s="15">
        <v>2.0462962962962964E-2</v>
      </c>
      <c r="AF242" s="14">
        <f t="shared" si="115"/>
        <v>1768</v>
      </c>
      <c r="AG242" s="8">
        <v>2.0569999999999999</v>
      </c>
      <c r="AH242" s="8">
        <v>2.0415999999999999</v>
      </c>
      <c r="AI242" s="8">
        <v>2.0455999999999999</v>
      </c>
      <c r="AJ242" s="8">
        <v>2.0316999999999998</v>
      </c>
      <c r="AK242" s="8">
        <v>2.0392999999999999</v>
      </c>
      <c r="AL242" s="8">
        <v>2.0371999999999999</v>
      </c>
      <c r="AM242" s="8">
        <v>1.9625999999999999</v>
      </c>
      <c r="AN242" s="8">
        <v>1.9446000000000001</v>
      </c>
      <c r="AO242" s="8">
        <v>1.9312</v>
      </c>
      <c r="AP242" s="8">
        <v>1.9487000000000001</v>
      </c>
      <c r="AQ242" s="8">
        <v>1.9859</v>
      </c>
      <c r="AR242" s="8">
        <v>1.9666999999999999</v>
      </c>
      <c r="AS242" s="8">
        <v>2.0188000000000001</v>
      </c>
      <c r="AT242" s="8">
        <v>2.0196999999999998</v>
      </c>
      <c r="AU242" s="8">
        <v>2.0381</v>
      </c>
      <c r="AV242" s="8">
        <v>2.0308999999999999</v>
      </c>
      <c r="AW242" s="8">
        <v>2.0371999999999999</v>
      </c>
      <c r="AX242" s="8">
        <v>2.0148000000000001</v>
      </c>
      <c r="AY242" s="8">
        <v>2.0108999999999999</v>
      </c>
      <c r="AZ242" s="8">
        <v>2.0004</v>
      </c>
      <c r="BA242" s="8">
        <v>2.0091999999999999</v>
      </c>
      <c r="BB242" s="8">
        <v>2.0116999999999998</v>
      </c>
      <c r="BC242" s="8">
        <v>2.0083000000000002</v>
      </c>
      <c r="BD242" s="8">
        <v>1.9785999999999999</v>
      </c>
    </row>
    <row r="243" spans="2:56" s="13" customFormat="1" x14ac:dyDescent="0.3">
      <c r="B243" s="22">
        <f t="shared" si="90"/>
        <v>1776</v>
      </c>
      <c r="C243" s="40">
        <f t="shared" si="91"/>
        <v>23.347242557344888</v>
      </c>
      <c r="D243" s="40">
        <f t="shared" si="92"/>
        <v>22.400683260126847</v>
      </c>
      <c r="E243" s="40">
        <f t="shared" si="93"/>
        <v>29.901415324548609</v>
      </c>
      <c r="F243" s="40">
        <f t="shared" si="94"/>
        <v>29.986822840410024</v>
      </c>
      <c r="G243" s="40">
        <f t="shared" si="95"/>
        <v>32.096144460712466</v>
      </c>
      <c r="H243" s="40">
        <f t="shared" si="96"/>
        <v>29.910688140556413</v>
      </c>
      <c r="I243" s="40">
        <f t="shared" si="97"/>
        <v>59.93191800878482</v>
      </c>
      <c r="J243" s="40">
        <f t="shared" si="98"/>
        <v>67.894338701805623</v>
      </c>
      <c r="K243" s="40">
        <f t="shared" si="99"/>
        <v>68.950463640800393</v>
      </c>
      <c r="L243" s="40">
        <f t="shared" si="100"/>
        <v>65.793557833089324</v>
      </c>
      <c r="M243" s="40">
        <f t="shared" si="101"/>
        <v>48.822596388482189</v>
      </c>
      <c r="N243" s="40">
        <f t="shared" si="102"/>
        <v>37.792825768667555</v>
      </c>
      <c r="O243" s="40"/>
      <c r="P243" s="39">
        <f t="shared" si="103"/>
        <v>44.170082967301013</v>
      </c>
      <c r="Q243" s="39">
        <f t="shared" si="104"/>
        <v>42.738897022937898</v>
      </c>
      <c r="R243" s="39">
        <f t="shared" si="105"/>
        <v>40.682040019521708</v>
      </c>
      <c r="S243" s="39">
        <f t="shared" si="106"/>
        <v>39.670326988774896</v>
      </c>
      <c r="T243" s="39">
        <f t="shared" si="107"/>
        <v>39.387750122010999</v>
      </c>
      <c r="U243" s="39">
        <f t="shared" si="108"/>
        <v>34.030258662762328</v>
      </c>
      <c r="V243" s="39">
        <f t="shared" si="109"/>
        <v>46.449731576378873</v>
      </c>
      <c r="W243" s="39">
        <f t="shared" si="110"/>
        <v>50.166178623718785</v>
      </c>
      <c r="X243" s="39">
        <f t="shared" si="111"/>
        <v>42.86456808199133</v>
      </c>
      <c r="Y243" s="39">
        <f t="shared" si="112"/>
        <v>46.650073206442144</v>
      </c>
      <c r="Z243" s="39">
        <f t="shared" si="113"/>
        <v>46.516593460224456</v>
      </c>
      <c r="AA243" s="39">
        <f t="shared" si="114"/>
        <v>48.706686188384637</v>
      </c>
      <c r="AB243" s="38"/>
      <c r="AE243" s="15">
        <v>2.0555555555555556E-2</v>
      </c>
      <c r="AF243" s="14">
        <f t="shared" si="115"/>
        <v>1776</v>
      </c>
      <c r="AG243" s="8">
        <v>2.0565000000000002</v>
      </c>
      <c r="AH243" s="8">
        <v>2.0432000000000001</v>
      </c>
      <c r="AI243" s="8">
        <v>2.0451999999999999</v>
      </c>
      <c r="AJ243" s="8">
        <v>2.0327999999999999</v>
      </c>
      <c r="AK243" s="8">
        <v>2.0387</v>
      </c>
      <c r="AL243" s="8">
        <v>2.0371000000000001</v>
      </c>
      <c r="AM243" s="8">
        <v>1.9616</v>
      </c>
      <c r="AN243" s="8">
        <v>1.9454</v>
      </c>
      <c r="AO243" s="8">
        <v>1.9291</v>
      </c>
      <c r="AP243" s="8">
        <v>1.9499</v>
      </c>
      <c r="AQ243" s="8">
        <v>1.9847999999999999</v>
      </c>
      <c r="AR243" s="8">
        <v>1.9678</v>
      </c>
      <c r="AS243" s="8">
        <v>2.0183</v>
      </c>
      <c r="AT243" s="8">
        <v>2.0171000000000001</v>
      </c>
      <c r="AU243" s="8">
        <v>2.0356000000000001</v>
      </c>
      <c r="AV243" s="8">
        <v>2.0295000000000001</v>
      </c>
      <c r="AW243" s="8">
        <v>2.0341999999999998</v>
      </c>
      <c r="AX243" s="8">
        <v>2.0145</v>
      </c>
      <c r="AY243" s="8">
        <v>2.0095999999999998</v>
      </c>
      <c r="AZ243" s="8">
        <v>2.0021</v>
      </c>
      <c r="BA243" s="8">
        <v>2.0070000000000001</v>
      </c>
      <c r="BB243" s="8">
        <v>2.0095000000000001</v>
      </c>
      <c r="BC243" s="8">
        <v>2.0099</v>
      </c>
      <c r="BD243" s="8">
        <v>1.976</v>
      </c>
    </row>
    <row r="244" spans="2:56" s="13" customFormat="1" x14ac:dyDescent="0.3">
      <c r="B244" s="22">
        <f t="shared" si="90"/>
        <v>1783.9999999999998</v>
      </c>
      <c r="C244" s="40">
        <f t="shared" si="91"/>
        <v>22.566373840897924</v>
      </c>
      <c r="D244" s="40">
        <f t="shared" si="92"/>
        <v>24.011224987799032</v>
      </c>
      <c r="E244" s="40">
        <f t="shared" si="93"/>
        <v>29.41337237676926</v>
      </c>
      <c r="F244" s="40">
        <f t="shared" si="94"/>
        <v>29.596388482186544</v>
      </c>
      <c r="G244" s="40">
        <f t="shared" si="95"/>
        <v>31.998535871156598</v>
      </c>
      <c r="H244" s="40">
        <f t="shared" si="96"/>
        <v>30.057101024890329</v>
      </c>
      <c r="I244" s="40">
        <f t="shared" si="97"/>
        <v>59.248657881893614</v>
      </c>
      <c r="J244" s="40">
        <f t="shared" si="98"/>
        <v>68.626403123474759</v>
      </c>
      <c r="K244" s="40">
        <f t="shared" si="99"/>
        <v>68.852855051244532</v>
      </c>
      <c r="L244" s="40">
        <f t="shared" si="100"/>
        <v>65.207906295754</v>
      </c>
      <c r="M244" s="40">
        <f t="shared" si="101"/>
        <v>48.67618350414827</v>
      </c>
      <c r="N244" s="40">
        <f t="shared" si="102"/>
        <v>38.476085895558754</v>
      </c>
      <c r="O244" s="40"/>
      <c r="P244" s="39">
        <f t="shared" si="103"/>
        <v>43.828452903855357</v>
      </c>
      <c r="Q244" s="39">
        <f t="shared" si="104"/>
        <v>41.518789653489421</v>
      </c>
      <c r="R244" s="39">
        <f t="shared" si="105"/>
        <v>39.510736944851267</v>
      </c>
      <c r="S244" s="39">
        <f t="shared" si="106"/>
        <v>38.987066861883804</v>
      </c>
      <c r="T244" s="39">
        <f t="shared" si="107"/>
        <v>38.89970717423143</v>
      </c>
      <c r="U244" s="39">
        <f t="shared" si="108"/>
        <v>33.591020009760804</v>
      </c>
      <c r="V244" s="39">
        <f t="shared" si="109"/>
        <v>45.912884333821474</v>
      </c>
      <c r="W244" s="39">
        <f t="shared" si="110"/>
        <v>49.824548560273129</v>
      </c>
      <c r="X244" s="39">
        <f t="shared" si="111"/>
        <v>41.20522205954132</v>
      </c>
      <c r="Y244" s="39">
        <f t="shared" si="112"/>
        <v>45.381161542215608</v>
      </c>
      <c r="Z244" s="39">
        <f t="shared" si="113"/>
        <v>46.223767691556844</v>
      </c>
      <c r="AA244" s="39">
        <f t="shared" si="114"/>
        <v>47.535383113714083</v>
      </c>
      <c r="AB244" s="38"/>
      <c r="AE244" s="15">
        <v>2.0648148148148148E-2</v>
      </c>
      <c r="AF244" s="14">
        <f t="shared" si="115"/>
        <v>1783.9999999999998</v>
      </c>
      <c r="AG244" s="8">
        <v>2.0581</v>
      </c>
      <c r="AH244" s="8">
        <v>2.0398999999999998</v>
      </c>
      <c r="AI244" s="8">
        <v>2.0461999999999998</v>
      </c>
      <c r="AJ244" s="8">
        <v>2.0335999999999999</v>
      </c>
      <c r="AK244" s="8">
        <v>2.0388999999999999</v>
      </c>
      <c r="AL244" s="8">
        <v>2.0367999999999999</v>
      </c>
      <c r="AM244" s="8">
        <v>1.9630000000000001</v>
      </c>
      <c r="AN244" s="8">
        <v>1.9439</v>
      </c>
      <c r="AO244" s="8">
        <v>1.9293</v>
      </c>
      <c r="AP244" s="8">
        <v>1.9511000000000001</v>
      </c>
      <c r="AQ244" s="8">
        <v>1.9851000000000001</v>
      </c>
      <c r="AR244" s="8">
        <v>1.9663999999999999</v>
      </c>
      <c r="AS244" s="8">
        <v>2.0190000000000001</v>
      </c>
      <c r="AT244" s="8">
        <v>2.0196000000000001</v>
      </c>
      <c r="AU244" s="8">
        <v>2.0379999999999998</v>
      </c>
      <c r="AV244" s="8">
        <v>2.0308999999999999</v>
      </c>
      <c r="AW244" s="8">
        <v>2.0352000000000001</v>
      </c>
      <c r="AX244" s="8">
        <v>2.0154000000000001</v>
      </c>
      <c r="AY244" s="8">
        <v>2.0106999999999999</v>
      </c>
      <c r="AZ244" s="8">
        <v>2.0028000000000001</v>
      </c>
      <c r="BA244" s="8">
        <v>2.0104000000000002</v>
      </c>
      <c r="BB244" s="8">
        <v>2.0121000000000002</v>
      </c>
      <c r="BC244" s="8">
        <v>2.0105</v>
      </c>
      <c r="BD244" s="8">
        <v>1.9783999999999999</v>
      </c>
    </row>
    <row r="245" spans="2:56" s="13" customFormat="1" x14ac:dyDescent="0.3">
      <c r="B245" s="22">
        <f t="shared" si="90"/>
        <v>1792</v>
      </c>
      <c r="C245" s="40">
        <f t="shared" si="91"/>
        <v>22.761591020009668</v>
      </c>
      <c r="D245" s="40">
        <f t="shared" si="92"/>
        <v>22.498291849682715</v>
      </c>
      <c r="E245" s="40">
        <f t="shared" si="93"/>
        <v>29.071742313323607</v>
      </c>
      <c r="F245" s="40">
        <f t="shared" si="94"/>
        <v>29.498779892630672</v>
      </c>
      <c r="G245" s="40">
        <f t="shared" si="95"/>
        <v>32.388970229380085</v>
      </c>
      <c r="H245" s="40">
        <f t="shared" si="96"/>
        <v>29.569058077110977</v>
      </c>
      <c r="I245" s="40">
        <f t="shared" si="97"/>
        <v>59.102244997559815</v>
      </c>
      <c r="J245" s="40">
        <f t="shared" si="98"/>
        <v>68.431185944363023</v>
      </c>
      <c r="K245" s="40">
        <f t="shared" si="99"/>
        <v>69.780136652025405</v>
      </c>
      <c r="L245" s="40">
        <f t="shared" si="100"/>
        <v>66.232796486090734</v>
      </c>
      <c r="M245" s="40">
        <f t="shared" si="101"/>
        <v>48.724987798926207</v>
      </c>
      <c r="N245" s="40">
        <f t="shared" si="102"/>
        <v>38.232064421668973</v>
      </c>
      <c r="O245" s="40"/>
      <c r="P245" s="39">
        <f t="shared" si="103"/>
        <v>43.486822840409914</v>
      </c>
      <c r="Q245" s="39">
        <f t="shared" si="104"/>
        <v>42.153245485602682</v>
      </c>
      <c r="R245" s="39">
        <f t="shared" si="105"/>
        <v>39.657149829184959</v>
      </c>
      <c r="S245" s="39">
        <f t="shared" si="106"/>
        <v>38.840653977549891</v>
      </c>
      <c r="T245" s="39">
        <f t="shared" si="107"/>
        <v>38.948511469009482</v>
      </c>
      <c r="U245" s="39">
        <f t="shared" si="108"/>
        <v>33.15178135675928</v>
      </c>
      <c r="V245" s="39">
        <f t="shared" si="109"/>
        <v>45.376037091264081</v>
      </c>
      <c r="W245" s="39">
        <f t="shared" si="110"/>
        <v>50.45900439238639</v>
      </c>
      <c r="X245" s="39">
        <f t="shared" si="111"/>
        <v>41.595656417765014</v>
      </c>
      <c r="Y245" s="39">
        <f t="shared" si="112"/>
        <v>45.625183016105396</v>
      </c>
      <c r="Z245" s="39">
        <f t="shared" si="113"/>
        <v>46.028550512445108</v>
      </c>
      <c r="AA245" s="39">
        <f t="shared" si="114"/>
        <v>48.462664714494956</v>
      </c>
      <c r="AB245" s="38"/>
      <c r="AE245" s="15">
        <v>2.074074074074074E-2</v>
      </c>
      <c r="AF245" s="14">
        <f t="shared" si="115"/>
        <v>1792</v>
      </c>
      <c r="AG245" s="8">
        <v>2.0577000000000001</v>
      </c>
      <c r="AH245" s="8">
        <v>2.0430000000000001</v>
      </c>
      <c r="AI245" s="8">
        <v>2.0468999999999999</v>
      </c>
      <c r="AJ245" s="8">
        <v>2.0337999999999998</v>
      </c>
      <c r="AK245" s="8">
        <v>2.0381</v>
      </c>
      <c r="AL245" s="8">
        <v>2.0377999999999998</v>
      </c>
      <c r="AM245" s="8">
        <v>1.9633</v>
      </c>
      <c r="AN245" s="8">
        <v>1.9442999999999999</v>
      </c>
      <c r="AO245" s="8">
        <v>1.9274</v>
      </c>
      <c r="AP245" s="8">
        <v>1.9490000000000001</v>
      </c>
      <c r="AQ245" s="8">
        <v>1.9850000000000001</v>
      </c>
      <c r="AR245" s="8">
        <v>1.9669000000000001</v>
      </c>
      <c r="AS245" s="8">
        <v>2.0196999999999998</v>
      </c>
      <c r="AT245" s="8">
        <v>2.0183</v>
      </c>
      <c r="AU245" s="8">
        <v>2.0377000000000001</v>
      </c>
      <c r="AV245" s="8">
        <v>2.0312000000000001</v>
      </c>
      <c r="AW245" s="8">
        <v>2.0350999999999999</v>
      </c>
      <c r="AX245" s="8">
        <v>2.0163000000000002</v>
      </c>
      <c r="AY245" s="8">
        <v>2.0118</v>
      </c>
      <c r="AZ245" s="8">
        <v>2.0015000000000001</v>
      </c>
      <c r="BA245" s="8">
        <v>2.0095999999999998</v>
      </c>
      <c r="BB245" s="8">
        <v>2.0116000000000001</v>
      </c>
      <c r="BC245" s="8">
        <v>2.0108999999999999</v>
      </c>
      <c r="BD245" s="8">
        <v>1.9764999999999999</v>
      </c>
    </row>
    <row r="246" spans="2:56" s="13" customFormat="1" x14ac:dyDescent="0.3">
      <c r="B246" s="22">
        <f t="shared" si="90"/>
        <v>1800</v>
      </c>
      <c r="C246" s="40">
        <f t="shared" si="91"/>
        <v>22.566373840897924</v>
      </c>
      <c r="D246" s="40">
        <f t="shared" si="92"/>
        <v>23.083943387018156</v>
      </c>
      <c r="E246" s="40">
        <f t="shared" si="93"/>
        <v>29.266959492435344</v>
      </c>
      <c r="F246" s="40">
        <f t="shared" si="94"/>
        <v>29.93801854563198</v>
      </c>
      <c r="G246" s="40">
        <f t="shared" si="95"/>
        <v>32.486578818935953</v>
      </c>
      <c r="H246" s="40">
        <f t="shared" si="96"/>
        <v>29.715470961444673</v>
      </c>
      <c r="I246" s="40">
        <f t="shared" si="97"/>
        <v>60.029526598340688</v>
      </c>
      <c r="J246" s="40">
        <f t="shared" si="98"/>
        <v>68.235968765251158</v>
      </c>
      <c r="K246" s="40">
        <f t="shared" si="99"/>
        <v>70.12176671547094</v>
      </c>
      <c r="L246" s="40">
        <f t="shared" si="100"/>
        <v>66.916056612981933</v>
      </c>
      <c r="M246" s="40">
        <f t="shared" si="101"/>
        <v>48.090531966813053</v>
      </c>
      <c r="N246" s="40">
        <f t="shared" si="102"/>
        <v>38.915324548560179</v>
      </c>
      <c r="O246" s="40"/>
      <c r="P246" s="39">
        <f t="shared" si="103"/>
        <v>44.36530014641275</v>
      </c>
      <c r="Q246" s="39">
        <f t="shared" si="104"/>
        <v>43.95900439238639</v>
      </c>
      <c r="R246" s="39">
        <f t="shared" si="105"/>
        <v>39.803562713518872</v>
      </c>
      <c r="S246" s="39">
        <f t="shared" si="106"/>
        <v>38.645436798438155</v>
      </c>
      <c r="T246" s="39">
        <f t="shared" si="107"/>
        <v>38.704489995119694</v>
      </c>
      <c r="U246" s="39">
        <f t="shared" si="108"/>
        <v>34.323084431429933</v>
      </c>
      <c r="V246" s="39">
        <f t="shared" si="109"/>
        <v>46.449731576378873</v>
      </c>
      <c r="W246" s="39">
        <f t="shared" si="110"/>
        <v>50.654221571498134</v>
      </c>
      <c r="X246" s="39">
        <f t="shared" si="111"/>
        <v>41.937286481210457</v>
      </c>
      <c r="Y246" s="39">
        <f t="shared" si="112"/>
        <v>45.722791605661264</v>
      </c>
      <c r="Z246" s="39">
        <f t="shared" si="113"/>
        <v>47.004636408003812</v>
      </c>
      <c r="AA246" s="39">
        <f t="shared" si="114"/>
        <v>47.925817471937563</v>
      </c>
      <c r="AB246" s="38"/>
      <c r="AE246" s="45">
        <v>2.0833333333333332E-2</v>
      </c>
      <c r="AF246" s="14">
        <f t="shared" si="115"/>
        <v>1800</v>
      </c>
      <c r="AG246" s="46">
        <v>2.0581</v>
      </c>
      <c r="AH246" s="46">
        <v>2.0417999999999998</v>
      </c>
      <c r="AI246" s="46">
        <v>2.0465</v>
      </c>
      <c r="AJ246" s="46">
        <v>2.0329000000000002</v>
      </c>
      <c r="AK246" s="46">
        <v>2.0379</v>
      </c>
      <c r="AL246" s="46">
        <v>2.0375000000000001</v>
      </c>
      <c r="AM246" s="46">
        <v>1.9614</v>
      </c>
      <c r="AN246" s="46">
        <v>1.9447000000000001</v>
      </c>
      <c r="AO246" s="46">
        <v>1.9267000000000001</v>
      </c>
      <c r="AP246" s="46">
        <v>1.9476</v>
      </c>
      <c r="AQ246" s="46">
        <v>1.9863</v>
      </c>
      <c r="AR246" s="46">
        <v>1.9655</v>
      </c>
      <c r="AS246" s="46">
        <v>2.0179</v>
      </c>
      <c r="AT246" s="46">
        <v>2.0146000000000002</v>
      </c>
      <c r="AU246" s="46">
        <v>2.0373999999999999</v>
      </c>
      <c r="AV246" s="46">
        <v>2.0316000000000001</v>
      </c>
      <c r="AW246" s="46">
        <v>2.0356000000000001</v>
      </c>
      <c r="AX246" s="46">
        <v>2.0139</v>
      </c>
      <c r="AY246" s="46">
        <v>2.0095999999999998</v>
      </c>
      <c r="AZ246" s="46">
        <v>2.0011000000000001</v>
      </c>
      <c r="BA246" s="46">
        <v>2.0089000000000001</v>
      </c>
      <c r="BB246" s="46">
        <v>2.0114000000000001</v>
      </c>
      <c r="BC246" s="46">
        <v>2.0089000000000001</v>
      </c>
      <c r="BD246" s="46">
        <v>1.9776</v>
      </c>
    </row>
    <row r="247" spans="2:56" s="13" customFormat="1" x14ac:dyDescent="0.3">
      <c r="B247" s="22">
        <f t="shared" si="90"/>
        <v>1808</v>
      </c>
      <c r="C247" s="40">
        <f t="shared" si="91"/>
        <v>21.785505124450964</v>
      </c>
      <c r="D247" s="40">
        <f t="shared" si="92"/>
        <v>23.91361639824316</v>
      </c>
      <c r="E247" s="40">
        <f t="shared" si="93"/>
        <v>29.266959492435344</v>
      </c>
      <c r="F247" s="40">
        <f t="shared" si="94"/>
        <v>29.108345534406975</v>
      </c>
      <c r="G247" s="40">
        <f t="shared" si="95"/>
        <v>32.193753050268334</v>
      </c>
      <c r="H247" s="40">
        <f t="shared" si="96"/>
        <v>29.032210834553581</v>
      </c>
      <c r="I247" s="40">
        <f t="shared" si="97"/>
        <v>59.004636408003947</v>
      </c>
      <c r="J247" s="40">
        <f t="shared" si="98"/>
        <v>68.138360175695297</v>
      </c>
      <c r="K247" s="40">
        <f t="shared" si="99"/>
        <v>69.194485114690067</v>
      </c>
      <c r="L247" s="40">
        <f t="shared" si="100"/>
        <v>66.623230844314335</v>
      </c>
      <c r="M247" s="40">
        <f t="shared" si="101"/>
        <v>48.188140556368928</v>
      </c>
      <c r="N247" s="40">
        <f t="shared" si="102"/>
        <v>38.817715959004303</v>
      </c>
      <c r="O247" s="40"/>
      <c r="P247" s="39">
        <f t="shared" si="103"/>
        <v>45.341386041971667</v>
      </c>
      <c r="Q247" s="39">
        <f t="shared" si="104"/>
        <v>43.080527086383555</v>
      </c>
      <c r="R247" s="39">
        <f t="shared" si="105"/>
        <v>40.535627135188008</v>
      </c>
      <c r="S247" s="39">
        <f t="shared" si="106"/>
        <v>39.133479746217503</v>
      </c>
      <c r="T247" s="39">
        <f t="shared" si="107"/>
        <v>38.753294289897738</v>
      </c>
      <c r="U247" s="39">
        <f t="shared" si="108"/>
        <v>33.93265007320646</v>
      </c>
      <c r="V247" s="39">
        <f t="shared" si="109"/>
        <v>46.742557345046478</v>
      </c>
      <c r="W247" s="39">
        <f t="shared" si="110"/>
        <v>50.751830161054002</v>
      </c>
      <c r="X247" s="39">
        <f t="shared" si="111"/>
        <v>42.181307955100237</v>
      </c>
      <c r="Y247" s="39">
        <f t="shared" si="112"/>
        <v>46.015617374328876</v>
      </c>
      <c r="Z247" s="39">
        <f t="shared" si="113"/>
        <v>46.467789165446625</v>
      </c>
      <c r="AA247" s="39">
        <f t="shared" si="114"/>
        <v>47.535383113714083</v>
      </c>
      <c r="AB247" s="38"/>
      <c r="AE247" s="15">
        <v>2.0925925925925928E-2</v>
      </c>
      <c r="AF247" s="14">
        <f t="shared" si="115"/>
        <v>1808</v>
      </c>
      <c r="AG247" s="8">
        <v>2.0596999999999999</v>
      </c>
      <c r="AH247" s="8">
        <v>2.0400999999999998</v>
      </c>
      <c r="AI247" s="8">
        <v>2.0465</v>
      </c>
      <c r="AJ247" s="8">
        <v>2.0346000000000002</v>
      </c>
      <c r="AK247" s="8">
        <v>2.0385</v>
      </c>
      <c r="AL247" s="8">
        <v>2.0388999999999999</v>
      </c>
      <c r="AM247" s="8">
        <v>1.9635</v>
      </c>
      <c r="AN247" s="8">
        <v>1.9449000000000001</v>
      </c>
      <c r="AO247" s="8">
        <v>1.9286000000000001</v>
      </c>
      <c r="AP247" s="8">
        <v>1.9481999999999999</v>
      </c>
      <c r="AQ247" s="8">
        <v>1.9861</v>
      </c>
      <c r="AR247" s="8">
        <v>1.9657</v>
      </c>
      <c r="AS247" s="8">
        <v>2.0158999999999998</v>
      </c>
      <c r="AT247" s="8">
        <v>2.0164</v>
      </c>
      <c r="AU247" s="8">
        <v>2.0358999999999998</v>
      </c>
      <c r="AV247" s="8">
        <v>2.0306000000000002</v>
      </c>
      <c r="AW247" s="8">
        <v>2.0354999999999999</v>
      </c>
      <c r="AX247" s="8">
        <v>2.0146999999999999</v>
      </c>
      <c r="AY247" s="8">
        <v>2.0089999999999999</v>
      </c>
      <c r="AZ247" s="8">
        <v>2.0009000000000001</v>
      </c>
      <c r="BA247" s="8">
        <v>2.0084</v>
      </c>
      <c r="BB247" s="8">
        <v>2.0108000000000001</v>
      </c>
      <c r="BC247" s="8">
        <v>2.0099999999999998</v>
      </c>
      <c r="BD247" s="8">
        <v>1.9783999999999999</v>
      </c>
    </row>
    <row r="248" spans="2:56" s="13" customFormat="1" x14ac:dyDescent="0.3">
      <c r="B248" s="22">
        <f t="shared" si="90"/>
        <v>1816.0000000000002</v>
      </c>
      <c r="C248" s="40">
        <f t="shared" si="91"/>
        <v>22.32235236700814</v>
      </c>
      <c r="D248" s="40">
        <f t="shared" si="92"/>
        <v>24.06002928257686</v>
      </c>
      <c r="E248" s="40">
        <f t="shared" si="93"/>
        <v>29.852611029770564</v>
      </c>
      <c r="F248" s="40">
        <f t="shared" si="94"/>
        <v>30.230844314299592</v>
      </c>
      <c r="G248" s="40">
        <f t="shared" si="95"/>
        <v>32.193753050268334</v>
      </c>
      <c r="H248" s="40">
        <f t="shared" si="96"/>
        <v>30.154709614446197</v>
      </c>
      <c r="I248" s="40">
        <f t="shared" si="97"/>
        <v>59.93191800878482</v>
      </c>
      <c r="J248" s="40">
        <f t="shared" si="98"/>
        <v>68.333577354807147</v>
      </c>
      <c r="K248" s="40">
        <f t="shared" si="99"/>
        <v>70.072962420693003</v>
      </c>
      <c r="L248" s="40">
        <f t="shared" si="100"/>
        <v>66.916056612981933</v>
      </c>
      <c r="M248" s="40">
        <f t="shared" si="101"/>
        <v>48.139336261590991</v>
      </c>
      <c r="N248" s="40">
        <f t="shared" si="102"/>
        <v>38.866520253782241</v>
      </c>
      <c r="O248" s="40"/>
      <c r="P248" s="39">
        <f t="shared" si="103"/>
        <v>43.535627135187745</v>
      </c>
      <c r="Q248" s="39">
        <f t="shared" si="104"/>
        <v>42.982918496827686</v>
      </c>
      <c r="R248" s="39">
        <f t="shared" si="105"/>
        <v>40.340409956076044</v>
      </c>
      <c r="S248" s="39">
        <f t="shared" si="106"/>
        <v>39.084675451439672</v>
      </c>
      <c r="T248" s="39">
        <f t="shared" si="107"/>
        <v>39.387750122010999</v>
      </c>
      <c r="U248" s="39">
        <f t="shared" si="108"/>
        <v>33.639824304538848</v>
      </c>
      <c r="V248" s="39">
        <f t="shared" si="109"/>
        <v>46.498535871156697</v>
      </c>
      <c r="W248" s="39">
        <f t="shared" si="110"/>
        <v>50.605417276720303</v>
      </c>
      <c r="X248" s="39">
        <f t="shared" si="111"/>
        <v>42.32772083943393</v>
      </c>
      <c r="Y248" s="39">
        <f t="shared" si="112"/>
        <v>45.478770131771704</v>
      </c>
      <c r="Z248" s="39">
        <f t="shared" si="113"/>
        <v>46.174963396778807</v>
      </c>
      <c r="AA248" s="39">
        <f t="shared" si="114"/>
        <v>47.779404587603757</v>
      </c>
      <c r="AB248" s="38"/>
      <c r="AE248" s="15">
        <v>2.101851851851852E-2</v>
      </c>
      <c r="AF248" s="14">
        <f t="shared" si="115"/>
        <v>1816.0000000000002</v>
      </c>
      <c r="AG248" s="8">
        <v>2.0586000000000002</v>
      </c>
      <c r="AH248" s="8">
        <v>2.0398000000000001</v>
      </c>
      <c r="AI248" s="8">
        <v>2.0453000000000001</v>
      </c>
      <c r="AJ248" s="8">
        <v>2.0323000000000002</v>
      </c>
      <c r="AK248" s="8">
        <v>2.0385</v>
      </c>
      <c r="AL248" s="8">
        <v>2.0366</v>
      </c>
      <c r="AM248" s="8">
        <v>1.9616</v>
      </c>
      <c r="AN248" s="8">
        <v>1.9444999999999999</v>
      </c>
      <c r="AO248" s="8">
        <v>1.9268000000000001</v>
      </c>
      <c r="AP248" s="8">
        <v>1.9476</v>
      </c>
      <c r="AQ248" s="8">
        <v>1.9862</v>
      </c>
      <c r="AR248" s="8">
        <v>1.9656</v>
      </c>
      <c r="AS248" s="8">
        <v>2.0196000000000001</v>
      </c>
      <c r="AT248" s="8">
        <v>2.0165999999999999</v>
      </c>
      <c r="AU248" s="8">
        <v>2.0363000000000002</v>
      </c>
      <c r="AV248" s="8">
        <v>2.0306999999999999</v>
      </c>
      <c r="AW248" s="8">
        <v>2.0341999999999998</v>
      </c>
      <c r="AX248" s="8">
        <v>2.0152999999999999</v>
      </c>
      <c r="AY248" s="8">
        <v>2.0095000000000001</v>
      </c>
      <c r="AZ248" s="8">
        <v>2.0011999999999999</v>
      </c>
      <c r="BA248" s="8">
        <v>2.0081000000000002</v>
      </c>
      <c r="BB248" s="8">
        <v>2.0118999999999998</v>
      </c>
      <c r="BC248" s="8">
        <v>2.0106000000000002</v>
      </c>
      <c r="BD248" s="8">
        <v>1.9779</v>
      </c>
    </row>
    <row r="249" spans="2:56" s="13" customFormat="1" x14ac:dyDescent="0.3">
      <c r="B249" s="22">
        <f t="shared" si="90"/>
        <v>1823.9999999999998</v>
      </c>
      <c r="C249" s="40">
        <f t="shared" si="91"/>
        <v>23.005612493899449</v>
      </c>
      <c r="D249" s="40">
        <f t="shared" si="92"/>
        <v>23.816007808687292</v>
      </c>
      <c r="E249" s="40">
        <f t="shared" si="93"/>
        <v>29.852611029770564</v>
      </c>
      <c r="F249" s="40">
        <f t="shared" si="94"/>
        <v>29.401171303074801</v>
      </c>
      <c r="G249" s="40">
        <f t="shared" si="95"/>
        <v>32.193753050268334</v>
      </c>
      <c r="H249" s="40">
        <f t="shared" si="96"/>
        <v>29.227428013665321</v>
      </c>
      <c r="I249" s="40">
        <f t="shared" si="97"/>
        <v>59.443875061005471</v>
      </c>
      <c r="J249" s="40">
        <f t="shared" si="98"/>
        <v>68.821620302586496</v>
      </c>
      <c r="K249" s="40">
        <f t="shared" si="99"/>
        <v>70.024158125915079</v>
      </c>
      <c r="L249" s="40">
        <f t="shared" si="100"/>
        <v>67.062469497315746</v>
      </c>
      <c r="M249" s="40">
        <f t="shared" si="101"/>
        <v>47.602489019033598</v>
      </c>
      <c r="N249" s="40">
        <f t="shared" si="102"/>
        <v>38.183260126891042</v>
      </c>
      <c r="O249" s="40"/>
      <c r="P249" s="39">
        <f t="shared" si="103"/>
        <v>43.974865788189263</v>
      </c>
      <c r="Q249" s="39">
        <f t="shared" si="104"/>
        <v>43.275744265495298</v>
      </c>
      <c r="R249" s="39">
        <f t="shared" si="105"/>
        <v>40.145192776964308</v>
      </c>
      <c r="S249" s="39">
        <f t="shared" si="106"/>
        <v>38.840653977549891</v>
      </c>
      <c r="T249" s="39">
        <f t="shared" si="107"/>
        <v>38.753294289897738</v>
      </c>
      <c r="U249" s="39">
        <f t="shared" si="108"/>
        <v>35.396778916544726</v>
      </c>
      <c r="V249" s="39">
        <f t="shared" si="109"/>
        <v>47.132991703269958</v>
      </c>
      <c r="W249" s="39">
        <f t="shared" si="110"/>
        <v>50.800634455832046</v>
      </c>
      <c r="X249" s="39">
        <f t="shared" si="111"/>
        <v>42.230112249878061</v>
      </c>
      <c r="Y249" s="39">
        <f t="shared" si="112"/>
        <v>45.966813079551045</v>
      </c>
      <c r="Z249" s="39">
        <f t="shared" si="113"/>
        <v>45.979746217667056</v>
      </c>
      <c r="AA249" s="39">
        <f t="shared" si="114"/>
        <v>47.925817471937563</v>
      </c>
      <c r="AB249" s="38"/>
      <c r="AE249" s="15">
        <v>2.1111111111111108E-2</v>
      </c>
      <c r="AF249" s="14">
        <f t="shared" si="115"/>
        <v>1823.9999999999998</v>
      </c>
      <c r="AG249" s="8">
        <v>2.0571999999999999</v>
      </c>
      <c r="AH249" s="8">
        <v>2.0402999999999998</v>
      </c>
      <c r="AI249" s="8">
        <v>2.0453000000000001</v>
      </c>
      <c r="AJ249" s="8">
        <v>2.0339999999999998</v>
      </c>
      <c r="AK249" s="8">
        <v>2.0385</v>
      </c>
      <c r="AL249" s="8">
        <v>2.0385</v>
      </c>
      <c r="AM249" s="8">
        <v>1.9625999999999999</v>
      </c>
      <c r="AN249" s="8">
        <v>1.9435</v>
      </c>
      <c r="AO249" s="8">
        <v>1.9269000000000001</v>
      </c>
      <c r="AP249" s="8">
        <v>1.9473</v>
      </c>
      <c r="AQ249" s="8">
        <v>1.9873000000000001</v>
      </c>
      <c r="AR249" s="8">
        <v>1.9670000000000001</v>
      </c>
      <c r="AS249" s="8">
        <v>2.0186999999999999</v>
      </c>
      <c r="AT249" s="8">
        <v>2.016</v>
      </c>
      <c r="AU249" s="8">
        <v>2.0367000000000002</v>
      </c>
      <c r="AV249" s="8">
        <v>2.0312000000000001</v>
      </c>
      <c r="AW249" s="8">
        <v>2.0354999999999999</v>
      </c>
      <c r="AX249" s="8">
        <v>2.0116999999999998</v>
      </c>
      <c r="AY249" s="8">
        <v>2.0082</v>
      </c>
      <c r="AZ249" s="8">
        <v>2.0007999999999999</v>
      </c>
      <c r="BA249" s="8">
        <v>2.0083000000000002</v>
      </c>
      <c r="BB249" s="8">
        <v>2.0108999999999999</v>
      </c>
      <c r="BC249" s="8">
        <v>2.0110000000000001</v>
      </c>
      <c r="BD249" s="8">
        <v>1.9776</v>
      </c>
    </row>
    <row r="250" spans="2:56" s="13" customFormat="1" x14ac:dyDescent="0.3">
      <c r="B250" s="22">
        <f t="shared" si="90"/>
        <v>1832.0000000000002</v>
      </c>
      <c r="C250" s="40">
        <f t="shared" si="91"/>
        <v>23.444851146900973</v>
      </c>
      <c r="D250" s="40">
        <f t="shared" si="92"/>
        <v>24.499267935578381</v>
      </c>
      <c r="E250" s="40">
        <f t="shared" si="93"/>
        <v>28.876525134211864</v>
      </c>
      <c r="F250" s="40">
        <f t="shared" si="94"/>
        <v>29.986822840410024</v>
      </c>
      <c r="G250" s="40">
        <f t="shared" si="95"/>
        <v>31.998535871156598</v>
      </c>
      <c r="H250" s="40">
        <f t="shared" si="96"/>
        <v>29.715470961444673</v>
      </c>
      <c r="I250" s="40">
        <f t="shared" si="97"/>
        <v>59.053440702781877</v>
      </c>
      <c r="J250" s="40">
        <f t="shared" si="98"/>
        <v>69.748901903367369</v>
      </c>
      <c r="K250" s="40">
        <f t="shared" si="99"/>
        <v>70.902635431918014</v>
      </c>
      <c r="L250" s="40">
        <f t="shared" si="100"/>
        <v>66.769643728648134</v>
      </c>
      <c r="M250" s="40">
        <f t="shared" si="101"/>
        <v>49.066617862371864</v>
      </c>
      <c r="N250" s="40">
        <f t="shared" si="102"/>
        <v>39.500976085895502</v>
      </c>
      <c r="O250" s="40"/>
      <c r="P250" s="39">
        <f t="shared" si="103"/>
        <v>44.609321620302531</v>
      </c>
      <c r="Q250" s="39">
        <f t="shared" si="104"/>
        <v>42.64128843338203</v>
      </c>
      <c r="R250" s="39">
        <f t="shared" si="105"/>
        <v>40.828452903855613</v>
      </c>
      <c r="S250" s="39">
        <f t="shared" si="106"/>
        <v>38.889458272327936</v>
      </c>
      <c r="T250" s="39">
        <f t="shared" si="107"/>
        <v>39.192532942899042</v>
      </c>
      <c r="U250" s="39">
        <f t="shared" si="108"/>
        <v>34.07906295754016</v>
      </c>
      <c r="V250" s="39">
        <f t="shared" si="109"/>
        <v>47.03538311371409</v>
      </c>
      <c r="W250" s="39">
        <f t="shared" si="110"/>
        <v>51.093460224499658</v>
      </c>
      <c r="X250" s="39">
        <f t="shared" si="111"/>
        <v>41.693265007320889</v>
      </c>
      <c r="Y250" s="39">
        <f t="shared" si="112"/>
        <v>45.869204489995177</v>
      </c>
      <c r="Z250" s="39">
        <f t="shared" si="113"/>
        <v>46.760614934114244</v>
      </c>
      <c r="AA250" s="39">
        <f t="shared" si="114"/>
        <v>47.925817471937563</v>
      </c>
      <c r="AB250" s="38"/>
      <c r="AE250" s="15">
        <v>2.1203703703703707E-2</v>
      </c>
      <c r="AF250" s="14">
        <f t="shared" si="115"/>
        <v>1832.0000000000002</v>
      </c>
      <c r="AG250" s="8">
        <v>2.0562999999999998</v>
      </c>
      <c r="AH250" s="8">
        <v>2.0388999999999999</v>
      </c>
      <c r="AI250" s="8">
        <v>2.0472999999999999</v>
      </c>
      <c r="AJ250" s="8">
        <v>2.0327999999999999</v>
      </c>
      <c r="AK250" s="8">
        <v>2.0388999999999999</v>
      </c>
      <c r="AL250" s="8">
        <v>2.0375000000000001</v>
      </c>
      <c r="AM250" s="8">
        <v>1.9634</v>
      </c>
      <c r="AN250" s="8">
        <v>1.9416</v>
      </c>
      <c r="AO250" s="8">
        <v>1.9251</v>
      </c>
      <c r="AP250" s="8">
        <v>1.9479</v>
      </c>
      <c r="AQ250" s="8">
        <v>1.9843</v>
      </c>
      <c r="AR250" s="8">
        <v>1.9642999999999999</v>
      </c>
      <c r="AS250" s="8">
        <v>2.0173999999999999</v>
      </c>
      <c r="AT250" s="8">
        <v>2.0173000000000001</v>
      </c>
      <c r="AU250" s="8">
        <v>2.0352999999999999</v>
      </c>
      <c r="AV250" s="8">
        <v>2.0310999999999999</v>
      </c>
      <c r="AW250" s="8">
        <v>2.0346000000000002</v>
      </c>
      <c r="AX250" s="8">
        <v>2.0144000000000002</v>
      </c>
      <c r="AY250" s="8">
        <v>2.0084</v>
      </c>
      <c r="AZ250" s="8">
        <v>2.0002</v>
      </c>
      <c r="BA250" s="8">
        <v>2.0093999999999999</v>
      </c>
      <c r="BB250" s="8">
        <v>2.0110999999999999</v>
      </c>
      <c r="BC250" s="8">
        <v>2.0093999999999999</v>
      </c>
      <c r="BD250" s="8">
        <v>1.9776</v>
      </c>
    </row>
    <row r="251" spans="2:56" s="13" customFormat="1" x14ac:dyDescent="0.3">
      <c r="B251" s="22">
        <f t="shared" si="90"/>
        <v>1840.0000000000002</v>
      </c>
      <c r="C251" s="40">
        <f t="shared" si="91"/>
        <v>22.419960956564228</v>
      </c>
      <c r="D251" s="40">
        <f t="shared" si="92"/>
        <v>23.962420693020984</v>
      </c>
      <c r="E251" s="40">
        <f t="shared" si="93"/>
        <v>29.266959492435344</v>
      </c>
      <c r="F251" s="40">
        <f t="shared" si="94"/>
        <v>29.74280136652024</v>
      </c>
      <c r="G251" s="40">
        <f t="shared" si="95"/>
        <v>32.29136163982421</v>
      </c>
      <c r="H251" s="40">
        <f t="shared" si="96"/>
        <v>29.325036603221193</v>
      </c>
      <c r="I251" s="40">
        <f t="shared" si="97"/>
        <v>59.004636408003947</v>
      </c>
      <c r="J251" s="40">
        <f t="shared" si="98"/>
        <v>70.383357735480629</v>
      </c>
      <c r="K251" s="40">
        <f t="shared" si="99"/>
        <v>71.24426549536355</v>
      </c>
      <c r="L251" s="40">
        <f t="shared" si="100"/>
        <v>67.599316739873132</v>
      </c>
      <c r="M251" s="40">
        <f t="shared" si="101"/>
        <v>48.67618350414827</v>
      </c>
      <c r="N251" s="40">
        <f t="shared" si="102"/>
        <v>38.915324548560179</v>
      </c>
      <c r="O251" s="40"/>
      <c r="P251" s="39">
        <f t="shared" si="103"/>
        <v>43.877257198633394</v>
      </c>
      <c r="Q251" s="39">
        <f t="shared" si="104"/>
        <v>43.568570034162903</v>
      </c>
      <c r="R251" s="39">
        <f t="shared" si="105"/>
        <v>41.023670082967364</v>
      </c>
      <c r="S251" s="39">
        <f t="shared" si="106"/>
        <v>39.133479746217503</v>
      </c>
      <c r="T251" s="39">
        <f t="shared" si="107"/>
        <v>39.338945827232955</v>
      </c>
      <c r="U251" s="39">
        <f t="shared" si="108"/>
        <v>33.981454367984284</v>
      </c>
      <c r="V251" s="39">
        <f t="shared" si="109"/>
        <v>47.181795998047782</v>
      </c>
      <c r="W251" s="39">
        <f t="shared" si="110"/>
        <v>51.191068814055527</v>
      </c>
      <c r="X251" s="39">
        <f t="shared" si="111"/>
        <v>42.474133723767842</v>
      </c>
      <c r="Y251" s="39">
        <f t="shared" si="112"/>
        <v>46.06442166910692</v>
      </c>
      <c r="Z251" s="39">
        <f t="shared" si="113"/>
        <v>46.272571986334675</v>
      </c>
      <c r="AA251" s="39">
        <f t="shared" si="114"/>
        <v>48.218643240605175</v>
      </c>
      <c r="AB251" s="38"/>
      <c r="AE251" s="15">
        <v>2.1296296296296299E-2</v>
      </c>
      <c r="AF251" s="14">
        <f t="shared" si="115"/>
        <v>1840.0000000000002</v>
      </c>
      <c r="AG251" s="8">
        <v>2.0583999999999998</v>
      </c>
      <c r="AH251" s="8">
        <v>2.04</v>
      </c>
      <c r="AI251" s="8">
        <v>2.0465</v>
      </c>
      <c r="AJ251" s="8">
        <v>2.0333000000000001</v>
      </c>
      <c r="AK251" s="8">
        <v>2.0383</v>
      </c>
      <c r="AL251" s="8">
        <v>2.0383</v>
      </c>
      <c r="AM251" s="8">
        <v>1.9635</v>
      </c>
      <c r="AN251" s="8">
        <v>1.9402999999999999</v>
      </c>
      <c r="AO251" s="8">
        <v>1.9244000000000001</v>
      </c>
      <c r="AP251" s="8">
        <v>1.9461999999999999</v>
      </c>
      <c r="AQ251" s="8">
        <v>1.9851000000000001</v>
      </c>
      <c r="AR251" s="8">
        <v>1.9655</v>
      </c>
      <c r="AS251" s="8">
        <v>2.0188999999999999</v>
      </c>
      <c r="AT251" s="8">
        <v>2.0154000000000001</v>
      </c>
      <c r="AU251" s="8">
        <v>2.0348999999999999</v>
      </c>
      <c r="AV251" s="8">
        <v>2.0306000000000002</v>
      </c>
      <c r="AW251" s="8">
        <v>2.0343</v>
      </c>
      <c r="AX251" s="8">
        <v>2.0146000000000002</v>
      </c>
      <c r="AY251" s="8">
        <v>2.0081000000000002</v>
      </c>
      <c r="AZ251" s="8">
        <v>2</v>
      </c>
      <c r="BA251" s="8">
        <v>2.0078</v>
      </c>
      <c r="BB251" s="8">
        <v>2.0106999999999999</v>
      </c>
      <c r="BC251" s="8">
        <v>2.0104000000000002</v>
      </c>
      <c r="BD251" s="8">
        <v>1.9770000000000001</v>
      </c>
    </row>
    <row r="252" spans="2:56" s="13" customFormat="1" x14ac:dyDescent="0.3">
      <c r="B252" s="22">
        <f t="shared" si="90"/>
        <v>1847.9999999999998</v>
      </c>
      <c r="C252" s="40">
        <f t="shared" si="91"/>
        <v>22.078330893118572</v>
      </c>
      <c r="D252" s="40">
        <f t="shared" si="92"/>
        <v>24.64568081991208</v>
      </c>
      <c r="E252" s="40">
        <f t="shared" si="93"/>
        <v>28.974133723767732</v>
      </c>
      <c r="F252" s="40">
        <f t="shared" si="94"/>
        <v>29.498779892630672</v>
      </c>
      <c r="G252" s="40">
        <f t="shared" si="95"/>
        <v>32.340165934602254</v>
      </c>
      <c r="H252" s="40">
        <f t="shared" si="96"/>
        <v>29.617862371888801</v>
      </c>
      <c r="I252" s="40">
        <f t="shared" si="97"/>
        <v>59.93191800878482</v>
      </c>
      <c r="J252" s="40">
        <f t="shared" si="98"/>
        <v>69.065641776476184</v>
      </c>
      <c r="K252" s="40">
        <f t="shared" si="99"/>
        <v>71.195461200585626</v>
      </c>
      <c r="L252" s="40">
        <f t="shared" si="100"/>
        <v>67.843338213762806</v>
      </c>
      <c r="M252" s="40">
        <f t="shared" si="101"/>
        <v>50.091508052708605</v>
      </c>
      <c r="N252" s="40">
        <f t="shared" si="102"/>
        <v>39.256954612005721</v>
      </c>
      <c r="O252" s="40"/>
      <c r="P252" s="39">
        <f t="shared" si="103"/>
        <v>44.658125915080355</v>
      </c>
      <c r="Q252" s="39">
        <f t="shared" si="104"/>
        <v>43.226939970717467</v>
      </c>
      <c r="R252" s="39">
        <f t="shared" si="105"/>
        <v>40.633235724743876</v>
      </c>
      <c r="S252" s="39">
        <f t="shared" si="106"/>
        <v>39.377501220107284</v>
      </c>
      <c r="T252" s="39">
        <f t="shared" si="107"/>
        <v>39.387750122010999</v>
      </c>
      <c r="U252" s="39">
        <f t="shared" si="108"/>
        <v>33.835041483650592</v>
      </c>
      <c r="V252" s="39">
        <f t="shared" si="109"/>
        <v>47.132991703269958</v>
      </c>
      <c r="W252" s="39">
        <f t="shared" si="110"/>
        <v>51.581503172279007</v>
      </c>
      <c r="X252" s="39">
        <f t="shared" si="111"/>
        <v>42.376525134211974</v>
      </c>
      <c r="Y252" s="39">
        <f t="shared" si="112"/>
        <v>47.870180575890629</v>
      </c>
      <c r="Z252" s="39">
        <f t="shared" si="113"/>
        <v>46.516593460224456</v>
      </c>
      <c r="AA252" s="39">
        <f t="shared" si="114"/>
        <v>48.413860419717018</v>
      </c>
      <c r="AB252" s="38"/>
      <c r="AE252" s="15">
        <v>2.1388888888888888E-2</v>
      </c>
      <c r="AF252" s="14">
        <f t="shared" si="115"/>
        <v>1847.9999999999998</v>
      </c>
      <c r="AG252" s="8">
        <v>2.0590999999999999</v>
      </c>
      <c r="AH252" s="8">
        <v>2.0386000000000002</v>
      </c>
      <c r="AI252" s="8">
        <v>2.0470999999999999</v>
      </c>
      <c r="AJ252" s="8">
        <v>2.0337999999999998</v>
      </c>
      <c r="AK252" s="8">
        <v>2.0381999999999998</v>
      </c>
      <c r="AL252" s="8">
        <v>2.0377000000000001</v>
      </c>
      <c r="AM252" s="8">
        <v>1.9616</v>
      </c>
      <c r="AN252" s="8">
        <v>1.9430000000000001</v>
      </c>
      <c r="AO252" s="8">
        <v>1.9245000000000001</v>
      </c>
      <c r="AP252" s="8">
        <v>1.9457</v>
      </c>
      <c r="AQ252" s="8">
        <v>1.9822</v>
      </c>
      <c r="AR252" s="8">
        <v>1.9648000000000001</v>
      </c>
      <c r="AS252" s="8">
        <v>2.0173000000000001</v>
      </c>
      <c r="AT252" s="8">
        <v>2.0160999999999998</v>
      </c>
      <c r="AU252" s="8">
        <v>2.0356999999999998</v>
      </c>
      <c r="AV252" s="8">
        <v>2.0301</v>
      </c>
      <c r="AW252" s="8">
        <v>2.0341999999999998</v>
      </c>
      <c r="AX252" s="8">
        <v>2.0148999999999999</v>
      </c>
      <c r="AY252" s="8">
        <v>2.0082</v>
      </c>
      <c r="AZ252" s="8">
        <v>1.9992000000000001</v>
      </c>
      <c r="BA252" s="8">
        <v>2.008</v>
      </c>
      <c r="BB252" s="8">
        <v>2.0070000000000001</v>
      </c>
      <c r="BC252" s="8">
        <v>2.0099</v>
      </c>
      <c r="BD252" s="8">
        <v>1.9765999999999999</v>
      </c>
    </row>
    <row r="253" spans="2:56" s="13" customFormat="1" x14ac:dyDescent="0.3">
      <c r="B253" s="22">
        <f t="shared" si="90"/>
        <v>1856</v>
      </c>
      <c r="C253" s="40">
        <f t="shared" si="91"/>
        <v>22.224743777452272</v>
      </c>
      <c r="D253" s="40">
        <f t="shared" si="92"/>
        <v>24.889702293801864</v>
      </c>
      <c r="E253" s="40">
        <f t="shared" si="93"/>
        <v>29.657393850658828</v>
      </c>
      <c r="F253" s="40">
        <f t="shared" si="94"/>
        <v>29.791605661298281</v>
      </c>
      <c r="G253" s="40">
        <f t="shared" si="95"/>
        <v>33.316251830160958</v>
      </c>
      <c r="H253" s="40">
        <f t="shared" si="96"/>
        <v>30.057101024890329</v>
      </c>
      <c r="I253" s="40">
        <f t="shared" si="97"/>
        <v>59.98072230356275</v>
      </c>
      <c r="J253" s="40">
        <f t="shared" si="98"/>
        <v>68.72401171303062</v>
      </c>
      <c r="K253" s="40">
        <f t="shared" si="99"/>
        <v>70.902635431918014</v>
      </c>
      <c r="L253" s="40">
        <f t="shared" si="100"/>
        <v>68.08735968765248</v>
      </c>
      <c r="M253" s="40">
        <f t="shared" si="101"/>
        <v>49.359443631039476</v>
      </c>
      <c r="N253" s="40">
        <f t="shared" si="102"/>
        <v>38.329673011224955</v>
      </c>
      <c r="O253" s="40"/>
      <c r="P253" s="39">
        <f t="shared" si="103"/>
        <v>44.023670082967094</v>
      </c>
      <c r="Q253" s="39">
        <f t="shared" si="104"/>
        <v>43.568570034162903</v>
      </c>
      <c r="R253" s="39">
        <f t="shared" si="105"/>
        <v>41.804538799414317</v>
      </c>
      <c r="S253" s="39">
        <f t="shared" si="106"/>
        <v>39.377501220107284</v>
      </c>
      <c r="T253" s="39">
        <f t="shared" si="107"/>
        <v>39.485358711566874</v>
      </c>
      <c r="U253" s="39">
        <f t="shared" si="108"/>
        <v>34.420693020985809</v>
      </c>
      <c r="V253" s="39">
        <f t="shared" si="109"/>
        <v>47.328208882381702</v>
      </c>
      <c r="W253" s="39">
        <f t="shared" si="110"/>
        <v>51.776720351390857</v>
      </c>
      <c r="X253" s="39">
        <f t="shared" si="111"/>
        <v>44.231088335773727</v>
      </c>
      <c r="Y253" s="39">
        <f t="shared" si="112"/>
        <v>46.454856027330401</v>
      </c>
      <c r="Z253" s="39">
        <f t="shared" si="113"/>
        <v>46.663006344558376</v>
      </c>
      <c r="AA253" s="39">
        <f t="shared" si="114"/>
        <v>47.73060029282582</v>
      </c>
      <c r="AB253" s="38"/>
      <c r="AE253" s="15">
        <v>2.148148148148148E-2</v>
      </c>
      <c r="AF253" s="14">
        <f t="shared" si="115"/>
        <v>1856</v>
      </c>
      <c r="AG253" s="8">
        <v>2.0588000000000002</v>
      </c>
      <c r="AH253" s="8">
        <v>2.0381</v>
      </c>
      <c r="AI253" s="8">
        <v>2.0457000000000001</v>
      </c>
      <c r="AJ253" s="8">
        <v>2.0331999999999999</v>
      </c>
      <c r="AK253" s="8">
        <v>2.0362</v>
      </c>
      <c r="AL253" s="8">
        <v>2.0367999999999999</v>
      </c>
      <c r="AM253" s="8">
        <v>1.9615</v>
      </c>
      <c r="AN253" s="8">
        <v>1.9437</v>
      </c>
      <c r="AO253" s="8">
        <v>1.9251</v>
      </c>
      <c r="AP253" s="8">
        <v>1.9452</v>
      </c>
      <c r="AQ253" s="8">
        <v>1.9837</v>
      </c>
      <c r="AR253" s="8">
        <v>1.9666999999999999</v>
      </c>
      <c r="AS253" s="8">
        <v>2.0186000000000002</v>
      </c>
      <c r="AT253" s="8">
        <v>2.0154000000000001</v>
      </c>
      <c r="AU253" s="8">
        <v>2.0333000000000001</v>
      </c>
      <c r="AV253" s="8">
        <v>2.0301</v>
      </c>
      <c r="AW253" s="8">
        <v>2.0339999999999998</v>
      </c>
      <c r="AX253" s="8">
        <v>2.0137</v>
      </c>
      <c r="AY253" s="8">
        <v>2.0078</v>
      </c>
      <c r="AZ253" s="8">
        <v>1.9987999999999999</v>
      </c>
      <c r="BA253" s="8">
        <v>2.0042</v>
      </c>
      <c r="BB253" s="8">
        <v>2.0099</v>
      </c>
      <c r="BC253" s="8">
        <v>2.0095999999999998</v>
      </c>
      <c r="BD253" s="8">
        <v>1.978</v>
      </c>
    </row>
    <row r="254" spans="2:56" s="13" customFormat="1" x14ac:dyDescent="0.3">
      <c r="B254" s="22">
        <f t="shared" si="90"/>
        <v>1864</v>
      </c>
      <c r="C254" s="40">
        <f t="shared" si="91"/>
        <v>23.688872620790541</v>
      </c>
      <c r="D254" s="40">
        <f t="shared" si="92"/>
        <v>24.938506588579905</v>
      </c>
      <c r="E254" s="40">
        <f t="shared" si="93"/>
        <v>29.41337237676926</v>
      </c>
      <c r="F254" s="40">
        <f t="shared" si="94"/>
        <v>29.108345534406975</v>
      </c>
      <c r="G254" s="40">
        <f t="shared" si="95"/>
        <v>32.486578818935953</v>
      </c>
      <c r="H254" s="40">
        <f t="shared" si="96"/>
        <v>29.569058077110977</v>
      </c>
      <c r="I254" s="40">
        <f t="shared" si="97"/>
        <v>59.492679355783402</v>
      </c>
      <c r="J254" s="40">
        <f t="shared" si="98"/>
        <v>68.821620302586496</v>
      </c>
      <c r="K254" s="40">
        <f t="shared" si="99"/>
        <v>72.073938506588561</v>
      </c>
      <c r="L254" s="40">
        <f t="shared" si="100"/>
        <v>68.331381161542154</v>
      </c>
      <c r="M254" s="40">
        <f t="shared" si="101"/>
        <v>49.798682284041</v>
      </c>
      <c r="N254" s="40">
        <f t="shared" si="102"/>
        <v>38.817715959004303</v>
      </c>
      <c r="O254" s="40"/>
      <c r="P254" s="39">
        <f t="shared" si="103"/>
        <v>45.390190336749491</v>
      </c>
      <c r="Q254" s="39">
        <f t="shared" si="104"/>
        <v>43.910200097608559</v>
      </c>
      <c r="R254" s="39">
        <f t="shared" si="105"/>
        <v>40.43801854563214</v>
      </c>
      <c r="S254" s="39">
        <f t="shared" si="106"/>
        <v>38.889458272327936</v>
      </c>
      <c r="T254" s="39">
        <f t="shared" si="107"/>
        <v>39.680575890678611</v>
      </c>
      <c r="U254" s="39">
        <f t="shared" si="108"/>
        <v>34.518301610541684</v>
      </c>
      <c r="V254" s="39">
        <f t="shared" si="109"/>
        <v>49.085163494387579</v>
      </c>
      <c r="W254" s="39">
        <f t="shared" si="110"/>
        <v>51.435090287945201</v>
      </c>
      <c r="X254" s="39">
        <f t="shared" si="111"/>
        <v>42.86456808199133</v>
      </c>
      <c r="Y254" s="39">
        <f t="shared" si="112"/>
        <v>46.503660322108445</v>
      </c>
      <c r="Z254" s="39">
        <f t="shared" si="113"/>
        <v>46.516593460224456</v>
      </c>
      <c r="AA254" s="39">
        <f t="shared" si="114"/>
        <v>48.267447535383106</v>
      </c>
      <c r="AB254" s="38"/>
      <c r="AE254" s="15">
        <v>2.1574074074074075E-2</v>
      </c>
      <c r="AF254" s="14">
        <f t="shared" si="115"/>
        <v>1864</v>
      </c>
      <c r="AG254" s="8">
        <v>2.0558000000000001</v>
      </c>
      <c r="AH254" s="8">
        <v>2.0379999999999998</v>
      </c>
      <c r="AI254" s="8">
        <v>2.0461999999999998</v>
      </c>
      <c r="AJ254" s="8">
        <v>2.0346000000000002</v>
      </c>
      <c r="AK254" s="8">
        <v>2.0379</v>
      </c>
      <c r="AL254" s="8">
        <v>2.0377999999999998</v>
      </c>
      <c r="AM254" s="8">
        <v>1.9624999999999999</v>
      </c>
      <c r="AN254" s="8">
        <v>1.9435</v>
      </c>
      <c r="AO254" s="8">
        <v>1.9227000000000001</v>
      </c>
      <c r="AP254" s="8">
        <v>1.9447000000000001</v>
      </c>
      <c r="AQ254" s="8">
        <v>1.9827999999999999</v>
      </c>
      <c r="AR254" s="8">
        <v>1.9657</v>
      </c>
      <c r="AS254" s="8">
        <v>2.0158</v>
      </c>
      <c r="AT254" s="8">
        <v>2.0146999999999999</v>
      </c>
      <c r="AU254" s="8">
        <v>2.0360999999999998</v>
      </c>
      <c r="AV254" s="8">
        <v>2.0310999999999999</v>
      </c>
      <c r="AW254" s="8">
        <v>2.0335999999999999</v>
      </c>
      <c r="AX254" s="8">
        <v>2.0135000000000001</v>
      </c>
      <c r="AY254" s="8">
        <v>2.0042</v>
      </c>
      <c r="AZ254" s="8">
        <v>1.9995000000000001</v>
      </c>
      <c r="BA254" s="8">
        <v>2.0070000000000001</v>
      </c>
      <c r="BB254" s="8">
        <v>2.0097999999999998</v>
      </c>
      <c r="BC254" s="8">
        <v>2.0099</v>
      </c>
      <c r="BD254" s="8">
        <v>1.9769000000000001</v>
      </c>
    </row>
    <row r="255" spans="2:56" s="13" customFormat="1" x14ac:dyDescent="0.3">
      <c r="B255" s="22">
        <f t="shared" si="90"/>
        <v>1872.0000000000002</v>
      </c>
      <c r="C255" s="40">
        <f t="shared" si="91"/>
        <v>22.810395314787709</v>
      </c>
      <c r="D255" s="40">
        <f t="shared" si="92"/>
        <v>24.401659346022512</v>
      </c>
      <c r="E255" s="40">
        <f t="shared" si="93"/>
        <v>28.925329428989691</v>
      </c>
      <c r="F255" s="40">
        <f t="shared" si="94"/>
        <v>29.693997071742412</v>
      </c>
      <c r="G255" s="40">
        <f t="shared" si="95"/>
        <v>32.730600292825734</v>
      </c>
      <c r="H255" s="40">
        <f t="shared" si="96"/>
        <v>30.447535383113806</v>
      </c>
      <c r="I255" s="40">
        <f t="shared" si="97"/>
        <v>59.834309419228944</v>
      </c>
      <c r="J255" s="40">
        <f t="shared" si="98"/>
        <v>69.504880429477694</v>
      </c>
      <c r="K255" s="40">
        <f t="shared" si="99"/>
        <v>71.683504148365074</v>
      </c>
      <c r="L255" s="40">
        <f t="shared" si="100"/>
        <v>68.428989751098143</v>
      </c>
      <c r="M255" s="40">
        <f t="shared" si="101"/>
        <v>50.433138116154147</v>
      </c>
      <c r="N255" s="40">
        <f t="shared" si="102"/>
        <v>38.768911664226366</v>
      </c>
      <c r="O255" s="40"/>
      <c r="P255" s="39">
        <f t="shared" si="103"/>
        <v>45.292581747193623</v>
      </c>
      <c r="Q255" s="39">
        <f t="shared" si="104"/>
        <v>43.812591508052691</v>
      </c>
      <c r="R255" s="39">
        <f t="shared" si="105"/>
        <v>40.730844314299745</v>
      </c>
      <c r="S255" s="39">
        <f t="shared" si="106"/>
        <v>39.963152757442508</v>
      </c>
      <c r="T255" s="39">
        <f t="shared" si="107"/>
        <v>39.582967301122743</v>
      </c>
      <c r="U255" s="39">
        <f t="shared" si="108"/>
        <v>34.176671547096028</v>
      </c>
      <c r="V255" s="39">
        <f t="shared" si="109"/>
        <v>48.499511957052356</v>
      </c>
      <c r="W255" s="39">
        <f t="shared" si="110"/>
        <v>52.655197657393693</v>
      </c>
      <c r="X255" s="39">
        <f t="shared" si="111"/>
        <v>42.278916544656106</v>
      </c>
      <c r="Y255" s="39">
        <f t="shared" si="112"/>
        <v>46.210834553440613</v>
      </c>
      <c r="Z255" s="39">
        <f t="shared" si="113"/>
        <v>47.053440702781849</v>
      </c>
      <c r="AA255" s="39">
        <f t="shared" si="114"/>
        <v>48.609077598828762</v>
      </c>
      <c r="AB255" s="38"/>
      <c r="AE255" s="15">
        <v>2.1666666666666667E-2</v>
      </c>
      <c r="AF255" s="14">
        <f t="shared" si="115"/>
        <v>1872.0000000000002</v>
      </c>
      <c r="AG255" s="8">
        <v>2.0575999999999999</v>
      </c>
      <c r="AH255" s="8">
        <v>2.0390999999999999</v>
      </c>
      <c r="AI255" s="8">
        <v>2.0472000000000001</v>
      </c>
      <c r="AJ255" s="8">
        <v>2.0333999999999999</v>
      </c>
      <c r="AK255" s="8">
        <v>2.0373999999999999</v>
      </c>
      <c r="AL255" s="8">
        <v>2.036</v>
      </c>
      <c r="AM255" s="8">
        <v>1.9618</v>
      </c>
      <c r="AN255" s="8">
        <v>1.9420999999999999</v>
      </c>
      <c r="AO255" s="8">
        <v>1.9235</v>
      </c>
      <c r="AP255" s="8">
        <v>1.9444999999999999</v>
      </c>
      <c r="AQ255" s="8">
        <v>1.9815</v>
      </c>
      <c r="AR255" s="8">
        <v>1.9658</v>
      </c>
      <c r="AS255" s="8">
        <v>2.016</v>
      </c>
      <c r="AT255" s="8">
        <v>2.0148999999999999</v>
      </c>
      <c r="AU255" s="8">
        <v>2.0354999999999999</v>
      </c>
      <c r="AV255" s="8">
        <v>2.0289000000000001</v>
      </c>
      <c r="AW255" s="8">
        <v>2.0337999999999998</v>
      </c>
      <c r="AX255" s="8">
        <v>2.0142000000000002</v>
      </c>
      <c r="AY255" s="8">
        <v>2.0053999999999998</v>
      </c>
      <c r="AZ255" s="8">
        <v>1.9970000000000001</v>
      </c>
      <c r="BA255" s="8">
        <v>2.0082</v>
      </c>
      <c r="BB255" s="8">
        <v>2.0104000000000002</v>
      </c>
      <c r="BC255" s="8">
        <v>2.0087999999999999</v>
      </c>
      <c r="BD255" s="8">
        <v>1.9762</v>
      </c>
    </row>
    <row r="256" spans="2:56" s="13" customFormat="1" x14ac:dyDescent="0.3">
      <c r="B256" s="22">
        <f t="shared" si="90"/>
        <v>1880.0000000000002</v>
      </c>
      <c r="C256" s="40">
        <f t="shared" si="91"/>
        <v>22.175939482674448</v>
      </c>
      <c r="D256" s="40">
        <f t="shared" si="92"/>
        <v>24.987310883357733</v>
      </c>
      <c r="E256" s="40">
        <f t="shared" si="93"/>
        <v>29.657393850658828</v>
      </c>
      <c r="F256" s="40">
        <f t="shared" si="94"/>
        <v>29.108345534406975</v>
      </c>
      <c r="G256" s="40">
        <f t="shared" si="95"/>
        <v>32.535383113713998</v>
      </c>
      <c r="H256" s="40">
        <f t="shared" si="96"/>
        <v>29.910688140556413</v>
      </c>
      <c r="I256" s="40">
        <f t="shared" si="97"/>
        <v>59.687896534895145</v>
      </c>
      <c r="J256" s="40">
        <f t="shared" si="98"/>
        <v>68.675207418252697</v>
      </c>
      <c r="K256" s="40">
        <f t="shared" si="99"/>
        <v>72.561981454368023</v>
      </c>
      <c r="L256" s="40">
        <f t="shared" si="100"/>
        <v>68.428989751098143</v>
      </c>
      <c r="M256" s="40">
        <f t="shared" si="101"/>
        <v>50.237920937042411</v>
      </c>
      <c r="N256" s="40">
        <f t="shared" si="102"/>
        <v>39.500976085895502</v>
      </c>
      <c r="O256" s="40"/>
      <c r="P256" s="39">
        <f t="shared" si="103"/>
        <v>44.560517325524486</v>
      </c>
      <c r="Q256" s="39">
        <f t="shared" si="104"/>
        <v>44.007808687164435</v>
      </c>
      <c r="R256" s="39">
        <f t="shared" si="105"/>
        <v>40.974865788189312</v>
      </c>
      <c r="S256" s="39">
        <f t="shared" si="106"/>
        <v>39.523914104441197</v>
      </c>
      <c r="T256" s="39">
        <f t="shared" si="107"/>
        <v>39.192532942899042</v>
      </c>
      <c r="U256" s="39">
        <f t="shared" si="108"/>
        <v>35.347974621766689</v>
      </c>
      <c r="V256" s="39">
        <f t="shared" si="109"/>
        <v>48.499511957052356</v>
      </c>
      <c r="W256" s="39">
        <f t="shared" si="110"/>
        <v>52.948023426061404</v>
      </c>
      <c r="X256" s="39">
        <f t="shared" si="111"/>
        <v>42.425329428990018</v>
      </c>
      <c r="Y256" s="39">
        <f t="shared" si="112"/>
        <v>46.894094680331925</v>
      </c>
      <c r="Z256" s="39">
        <f t="shared" si="113"/>
        <v>49.005612493899477</v>
      </c>
      <c r="AA256" s="39">
        <f t="shared" si="114"/>
        <v>48.560273304050824</v>
      </c>
      <c r="AB256" s="38"/>
      <c r="AE256" s="15">
        <v>2.1759259259259259E-2</v>
      </c>
      <c r="AF256" s="14">
        <f t="shared" si="115"/>
        <v>1880.0000000000002</v>
      </c>
      <c r="AG256" s="8">
        <v>2.0589</v>
      </c>
      <c r="AH256" s="8">
        <v>2.0379</v>
      </c>
      <c r="AI256" s="8">
        <v>2.0457000000000001</v>
      </c>
      <c r="AJ256" s="8">
        <v>2.0346000000000002</v>
      </c>
      <c r="AK256" s="8">
        <v>2.0377999999999998</v>
      </c>
      <c r="AL256" s="8">
        <v>2.0371000000000001</v>
      </c>
      <c r="AM256" s="8">
        <v>1.9621</v>
      </c>
      <c r="AN256" s="8">
        <v>1.9438</v>
      </c>
      <c r="AO256" s="8">
        <v>1.9217</v>
      </c>
      <c r="AP256" s="8">
        <v>1.9444999999999999</v>
      </c>
      <c r="AQ256" s="8">
        <v>1.9819</v>
      </c>
      <c r="AR256" s="8">
        <v>1.9642999999999999</v>
      </c>
      <c r="AS256" s="8">
        <v>2.0175000000000001</v>
      </c>
      <c r="AT256" s="8">
        <v>2.0145</v>
      </c>
      <c r="AU256" s="8">
        <v>2.0350000000000001</v>
      </c>
      <c r="AV256" s="8">
        <v>2.0297999999999998</v>
      </c>
      <c r="AW256" s="8">
        <v>2.0346000000000002</v>
      </c>
      <c r="AX256" s="8">
        <v>2.0118</v>
      </c>
      <c r="AY256" s="8">
        <v>2.0053999999999998</v>
      </c>
      <c r="AZ256" s="8">
        <v>1.9964</v>
      </c>
      <c r="BA256" s="8">
        <v>2.0078999999999998</v>
      </c>
      <c r="BB256" s="8">
        <v>2.0089999999999999</v>
      </c>
      <c r="BC256" s="8">
        <v>2.0047999999999999</v>
      </c>
      <c r="BD256" s="8">
        <v>1.9762999999999999</v>
      </c>
    </row>
    <row r="257" spans="2:56" s="13" customFormat="1" x14ac:dyDescent="0.3">
      <c r="B257" s="22">
        <f t="shared" si="90"/>
        <v>1887.9999999999998</v>
      </c>
      <c r="C257" s="40">
        <f t="shared" si="91"/>
        <v>21.639092240117051</v>
      </c>
      <c r="D257" s="40">
        <f t="shared" si="92"/>
        <v>24.64568081991208</v>
      </c>
      <c r="E257" s="40">
        <f t="shared" si="93"/>
        <v>30.096632503660349</v>
      </c>
      <c r="F257" s="40">
        <f t="shared" si="94"/>
        <v>29.791605661298281</v>
      </c>
      <c r="G257" s="40">
        <f t="shared" si="95"/>
        <v>33.804294777940306</v>
      </c>
      <c r="H257" s="40">
        <f t="shared" si="96"/>
        <v>30.252318204002069</v>
      </c>
      <c r="I257" s="40">
        <f t="shared" si="97"/>
        <v>59.883113714006882</v>
      </c>
      <c r="J257" s="40">
        <f t="shared" si="98"/>
        <v>68.577598828696821</v>
      </c>
      <c r="K257" s="40">
        <f t="shared" si="99"/>
        <v>73.050024402147372</v>
      </c>
      <c r="L257" s="40">
        <f t="shared" si="100"/>
        <v>69.063445583211291</v>
      </c>
      <c r="M257" s="40">
        <f t="shared" si="101"/>
        <v>50.237920937042411</v>
      </c>
      <c r="N257" s="40">
        <f t="shared" si="102"/>
        <v>38.720107369448428</v>
      </c>
      <c r="O257" s="40"/>
      <c r="P257" s="39">
        <f t="shared" si="103"/>
        <v>44.609321620302531</v>
      </c>
      <c r="Q257" s="39">
        <f t="shared" si="104"/>
        <v>43.519765739385079</v>
      </c>
      <c r="R257" s="39">
        <f t="shared" si="105"/>
        <v>40.828452903855613</v>
      </c>
      <c r="S257" s="39">
        <f t="shared" si="106"/>
        <v>39.279892630551409</v>
      </c>
      <c r="T257" s="39">
        <f t="shared" si="107"/>
        <v>39.631771595900567</v>
      </c>
      <c r="U257" s="39">
        <f t="shared" si="108"/>
        <v>34.176671547096028</v>
      </c>
      <c r="V257" s="39">
        <f t="shared" si="109"/>
        <v>47.865056124939095</v>
      </c>
      <c r="W257" s="39">
        <f t="shared" si="110"/>
        <v>51.679111761834875</v>
      </c>
      <c r="X257" s="39">
        <f t="shared" si="111"/>
        <v>43.059785261103066</v>
      </c>
      <c r="Y257" s="39">
        <f t="shared" si="112"/>
        <v>46.9917032698878</v>
      </c>
      <c r="Z257" s="39">
        <f t="shared" si="113"/>
        <v>47.395070766227285</v>
      </c>
      <c r="AA257" s="39">
        <f t="shared" si="114"/>
        <v>49.829184968277247</v>
      </c>
      <c r="AB257" s="38"/>
      <c r="AE257" s="15">
        <v>2.1851851851851848E-2</v>
      </c>
      <c r="AF257" s="14">
        <f t="shared" si="115"/>
        <v>1887.9999999999998</v>
      </c>
      <c r="AG257" s="8">
        <v>2.06</v>
      </c>
      <c r="AH257" s="8">
        <v>2.0386000000000002</v>
      </c>
      <c r="AI257" s="8">
        <v>2.0448</v>
      </c>
      <c r="AJ257" s="8">
        <v>2.0331999999999999</v>
      </c>
      <c r="AK257" s="8">
        <v>2.0352000000000001</v>
      </c>
      <c r="AL257" s="8">
        <v>2.0364</v>
      </c>
      <c r="AM257" s="8">
        <v>1.9617</v>
      </c>
      <c r="AN257" s="8">
        <v>1.944</v>
      </c>
      <c r="AO257" s="8">
        <v>1.9207000000000001</v>
      </c>
      <c r="AP257" s="8">
        <v>1.9432</v>
      </c>
      <c r="AQ257" s="8">
        <v>1.9819</v>
      </c>
      <c r="AR257" s="8">
        <v>1.9659</v>
      </c>
      <c r="AS257" s="8">
        <v>2.0173999999999999</v>
      </c>
      <c r="AT257" s="8">
        <v>2.0154999999999998</v>
      </c>
      <c r="AU257" s="8">
        <v>2.0352999999999999</v>
      </c>
      <c r="AV257" s="8">
        <v>2.0303</v>
      </c>
      <c r="AW257" s="8">
        <v>2.0337000000000001</v>
      </c>
      <c r="AX257" s="8">
        <v>2.0142000000000002</v>
      </c>
      <c r="AY257" s="8">
        <v>2.0066999999999999</v>
      </c>
      <c r="AZ257" s="8">
        <v>1.9990000000000001</v>
      </c>
      <c r="BA257" s="8">
        <v>2.0066000000000002</v>
      </c>
      <c r="BB257" s="8">
        <v>2.0087999999999999</v>
      </c>
      <c r="BC257" s="8">
        <v>2.0081000000000002</v>
      </c>
      <c r="BD257" s="8">
        <v>1.9737</v>
      </c>
    </row>
    <row r="258" spans="2:56" s="13" customFormat="1" x14ac:dyDescent="0.3">
      <c r="B258" s="22">
        <f t="shared" si="90"/>
        <v>1896.0000000000002</v>
      </c>
      <c r="C258" s="40">
        <f t="shared" si="91"/>
        <v>21.980722303562704</v>
      </c>
      <c r="D258" s="40">
        <f t="shared" si="92"/>
        <v>25.231332357247517</v>
      </c>
      <c r="E258" s="40">
        <f t="shared" si="93"/>
        <v>29.559785261102956</v>
      </c>
      <c r="F258" s="40">
        <f t="shared" si="94"/>
        <v>29.498779892630672</v>
      </c>
      <c r="G258" s="40">
        <f t="shared" si="95"/>
        <v>33.804294777940306</v>
      </c>
      <c r="H258" s="40">
        <f t="shared" si="96"/>
        <v>29.764275256222717</v>
      </c>
      <c r="I258" s="40">
        <f t="shared" si="97"/>
        <v>59.639092240117208</v>
      </c>
      <c r="J258" s="40">
        <f t="shared" si="98"/>
        <v>68.968033186920294</v>
      </c>
      <c r="K258" s="40">
        <f t="shared" si="99"/>
        <v>73.830893118594432</v>
      </c>
      <c r="L258" s="40">
        <f t="shared" si="100"/>
        <v>68.868228404099554</v>
      </c>
      <c r="M258" s="40">
        <f t="shared" si="101"/>
        <v>49.554660810151212</v>
      </c>
      <c r="N258" s="40">
        <f t="shared" si="102"/>
        <v>39.549780380673432</v>
      </c>
      <c r="O258" s="40"/>
      <c r="P258" s="39">
        <f t="shared" si="103"/>
        <v>45.341386041971667</v>
      </c>
      <c r="Q258" s="39">
        <f t="shared" si="104"/>
        <v>44.349438750610091</v>
      </c>
      <c r="R258" s="39">
        <f t="shared" si="105"/>
        <v>41.267691556856931</v>
      </c>
      <c r="S258" s="39">
        <f t="shared" si="106"/>
        <v>39.670326988774896</v>
      </c>
      <c r="T258" s="39">
        <f t="shared" si="107"/>
        <v>39.534163006344698</v>
      </c>
      <c r="U258" s="39">
        <f t="shared" si="108"/>
        <v>35.152757442654945</v>
      </c>
      <c r="V258" s="39">
        <f t="shared" si="109"/>
        <v>48.548316251830187</v>
      </c>
      <c r="W258" s="39">
        <f t="shared" si="110"/>
        <v>52.899219131283473</v>
      </c>
      <c r="X258" s="39">
        <f t="shared" si="111"/>
        <v>42.766959492435461</v>
      </c>
      <c r="Y258" s="39">
        <f t="shared" si="112"/>
        <v>46.650073206442144</v>
      </c>
      <c r="Z258" s="39">
        <f t="shared" si="113"/>
        <v>47.541483650561204</v>
      </c>
      <c r="AA258" s="39">
        <f t="shared" si="114"/>
        <v>48.657881893606699</v>
      </c>
      <c r="AB258" s="38"/>
      <c r="AE258" s="15">
        <v>2.1944444444444447E-2</v>
      </c>
      <c r="AF258" s="14">
        <f t="shared" si="115"/>
        <v>1896.0000000000002</v>
      </c>
      <c r="AG258" s="8">
        <v>2.0592999999999999</v>
      </c>
      <c r="AH258" s="8">
        <v>2.0373999999999999</v>
      </c>
      <c r="AI258" s="8">
        <v>2.0459000000000001</v>
      </c>
      <c r="AJ258" s="8">
        <v>2.0337999999999998</v>
      </c>
      <c r="AK258" s="8">
        <v>2.0352000000000001</v>
      </c>
      <c r="AL258" s="8">
        <v>2.0373999999999999</v>
      </c>
      <c r="AM258" s="8">
        <v>1.9621999999999999</v>
      </c>
      <c r="AN258" s="8">
        <v>1.9432</v>
      </c>
      <c r="AO258" s="8">
        <v>1.9191</v>
      </c>
      <c r="AP258" s="8">
        <v>1.9436</v>
      </c>
      <c r="AQ258" s="8">
        <v>1.9833000000000001</v>
      </c>
      <c r="AR258" s="8">
        <v>1.9641999999999999</v>
      </c>
      <c r="AS258" s="8">
        <v>2.0158999999999998</v>
      </c>
      <c r="AT258" s="8">
        <v>2.0137999999999998</v>
      </c>
      <c r="AU258" s="8">
        <v>2.0344000000000002</v>
      </c>
      <c r="AV258" s="8">
        <v>2.0295000000000001</v>
      </c>
      <c r="AW258" s="8">
        <v>2.0339</v>
      </c>
      <c r="AX258" s="8">
        <v>2.0122</v>
      </c>
      <c r="AY258" s="8">
        <v>2.0053000000000001</v>
      </c>
      <c r="AZ258" s="8">
        <v>1.9964999999999999</v>
      </c>
      <c r="BA258" s="8">
        <v>2.0072000000000001</v>
      </c>
      <c r="BB258" s="8">
        <v>2.0095000000000001</v>
      </c>
      <c r="BC258" s="8">
        <v>2.0078</v>
      </c>
      <c r="BD258" s="8">
        <v>1.9761</v>
      </c>
    </row>
    <row r="259" spans="2:56" s="13" customFormat="1" x14ac:dyDescent="0.3">
      <c r="B259" s="22">
        <f t="shared" si="90"/>
        <v>1903.9999999999998</v>
      </c>
      <c r="C259" s="40">
        <f t="shared" si="91"/>
        <v>22.029526598340532</v>
      </c>
      <c r="D259" s="40">
        <f t="shared" si="92"/>
        <v>25.231332357247517</v>
      </c>
      <c r="E259" s="40">
        <f t="shared" si="93"/>
        <v>29.169350902879476</v>
      </c>
      <c r="F259" s="40">
        <f t="shared" si="94"/>
        <v>28.815519765739364</v>
      </c>
      <c r="G259" s="40">
        <f t="shared" si="95"/>
        <v>33.21864324060509</v>
      </c>
      <c r="H259" s="40">
        <f t="shared" si="96"/>
        <v>29.569058077110977</v>
      </c>
      <c r="I259" s="40">
        <f t="shared" si="97"/>
        <v>58.955832113226009</v>
      </c>
      <c r="J259" s="40">
        <f t="shared" si="98"/>
        <v>68.772816007808558</v>
      </c>
      <c r="K259" s="40">
        <f t="shared" si="99"/>
        <v>74.172523182039996</v>
      </c>
      <c r="L259" s="40">
        <f t="shared" si="100"/>
        <v>69.307467057100965</v>
      </c>
      <c r="M259" s="40">
        <f t="shared" si="101"/>
        <v>50.140312347486542</v>
      </c>
      <c r="N259" s="40">
        <f t="shared" si="102"/>
        <v>38.62249877989256</v>
      </c>
      <c r="O259" s="40"/>
      <c r="P259" s="39">
        <f t="shared" si="103"/>
        <v>45.438994631527535</v>
      </c>
      <c r="Q259" s="39">
        <f t="shared" si="104"/>
        <v>43.95900439238639</v>
      </c>
      <c r="R259" s="39">
        <f t="shared" si="105"/>
        <v>41.023670082967364</v>
      </c>
      <c r="S259" s="39">
        <f t="shared" si="106"/>
        <v>40.011957052220545</v>
      </c>
      <c r="T259" s="39">
        <f t="shared" si="107"/>
        <v>39.875793069790355</v>
      </c>
      <c r="U259" s="39">
        <f t="shared" si="108"/>
        <v>35.05514885309907</v>
      </c>
      <c r="V259" s="39">
        <f t="shared" si="109"/>
        <v>48.792337725719975</v>
      </c>
      <c r="W259" s="39">
        <f t="shared" si="110"/>
        <v>52.996827720839342</v>
      </c>
      <c r="X259" s="39">
        <f t="shared" si="111"/>
        <v>43.450219619326766</v>
      </c>
      <c r="Y259" s="39">
        <f t="shared" si="112"/>
        <v>47.333333333333236</v>
      </c>
      <c r="Z259" s="39">
        <f t="shared" si="113"/>
        <v>47.199853587115548</v>
      </c>
      <c r="AA259" s="39">
        <f t="shared" si="114"/>
        <v>49.04831625183018</v>
      </c>
      <c r="AB259" s="38"/>
      <c r="AE259" s="15">
        <v>2.2037037037037036E-2</v>
      </c>
      <c r="AF259" s="14">
        <f t="shared" si="115"/>
        <v>1903.9999999999998</v>
      </c>
      <c r="AG259" s="8">
        <v>2.0592000000000001</v>
      </c>
      <c r="AH259" s="8">
        <v>2.0373999999999999</v>
      </c>
      <c r="AI259" s="8">
        <v>2.0467</v>
      </c>
      <c r="AJ259" s="8">
        <v>2.0352000000000001</v>
      </c>
      <c r="AK259" s="8">
        <v>2.0364</v>
      </c>
      <c r="AL259" s="8">
        <v>2.0377999999999998</v>
      </c>
      <c r="AM259" s="8">
        <v>1.9636</v>
      </c>
      <c r="AN259" s="8">
        <v>1.9436</v>
      </c>
      <c r="AO259" s="8">
        <v>1.9184000000000001</v>
      </c>
      <c r="AP259" s="8">
        <v>1.9427000000000001</v>
      </c>
      <c r="AQ259" s="8">
        <v>1.9821</v>
      </c>
      <c r="AR259" s="8">
        <v>1.9661</v>
      </c>
      <c r="AS259" s="8">
        <v>2.0156999999999998</v>
      </c>
      <c r="AT259" s="8">
        <v>2.0146000000000002</v>
      </c>
      <c r="AU259" s="8">
        <v>2.0348999999999999</v>
      </c>
      <c r="AV259" s="8">
        <v>2.0287999999999999</v>
      </c>
      <c r="AW259" s="8">
        <v>2.0331999999999999</v>
      </c>
      <c r="AX259" s="8">
        <v>2.0124</v>
      </c>
      <c r="AY259" s="8">
        <v>2.0047999999999999</v>
      </c>
      <c r="AZ259" s="8">
        <v>1.9963</v>
      </c>
      <c r="BA259" s="8">
        <v>2.0057999999999998</v>
      </c>
      <c r="BB259" s="8">
        <v>2.0081000000000002</v>
      </c>
      <c r="BC259" s="8">
        <v>2.0085000000000002</v>
      </c>
      <c r="BD259" s="8">
        <v>1.9753000000000001</v>
      </c>
    </row>
    <row r="260" spans="2:56" s="13" customFormat="1" x14ac:dyDescent="0.3">
      <c r="B260" s="22">
        <f t="shared" si="90"/>
        <v>1912</v>
      </c>
      <c r="C260" s="40">
        <f t="shared" si="91"/>
        <v>23.005612493899449</v>
      </c>
      <c r="D260" s="40">
        <f t="shared" si="92"/>
        <v>25.036115178135777</v>
      </c>
      <c r="E260" s="40">
        <f t="shared" si="93"/>
        <v>29.657393850658828</v>
      </c>
      <c r="F260" s="40">
        <f t="shared" si="94"/>
        <v>28.717911176183495</v>
      </c>
      <c r="G260" s="40">
        <f t="shared" si="95"/>
        <v>34.487554904831612</v>
      </c>
      <c r="H260" s="40">
        <f t="shared" si="96"/>
        <v>29.813079551000541</v>
      </c>
      <c r="I260" s="40">
        <f t="shared" si="97"/>
        <v>59.93191800878482</v>
      </c>
      <c r="J260" s="40">
        <f t="shared" si="98"/>
        <v>69.358467545143895</v>
      </c>
      <c r="K260" s="40">
        <f t="shared" si="99"/>
        <v>74.709370424597381</v>
      </c>
      <c r="L260" s="40">
        <f t="shared" si="100"/>
        <v>69.746705710102489</v>
      </c>
      <c r="M260" s="40">
        <f t="shared" si="101"/>
        <v>50.091508052708605</v>
      </c>
      <c r="N260" s="40">
        <f t="shared" si="102"/>
        <v>39.598584675451377</v>
      </c>
      <c r="O260" s="40"/>
      <c r="P260" s="39">
        <f t="shared" si="103"/>
        <v>45.292581747193623</v>
      </c>
      <c r="Q260" s="39">
        <f t="shared" si="104"/>
        <v>44.154221571498127</v>
      </c>
      <c r="R260" s="39">
        <f t="shared" si="105"/>
        <v>42.243777452415841</v>
      </c>
      <c r="S260" s="39">
        <f t="shared" si="106"/>
        <v>40.255978526110113</v>
      </c>
      <c r="T260" s="39">
        <f t="shared" si="107"/>
        <v>40.022205954124047</v>
      </c>
      <c r="U260" s="39">
        <f t="shared" si="108"/>
        <v>34.420693020985809</v>
      </c>
      <c r="V260" s="39">
        <f t="shared" si="109"/>
        <v>48.792337725719975</v>
      </c>
      <c r="W260" s="39">
        <f t="shared" si="110"/>
        <v>54.216935090287826</v>
      </c>
      <c r="X260" s="39">
        <f t="shared" si="111"/>
        <v>43.206198145436979</v>
      </c>
      <c r="Y260" s="39">
        <f t="shared" si="112"/>
        <v>46.650073206442144</v>
      </c>
      <c r="Z260" s="39">
        <f t="shared" si="113"/>
        <v>47.785505124450985</v>
      </c>
      <c r="AA260" s="39">
        <f t="shared" si="114"/>
        <v>49.292337725719854</v>
      </c>
      <c r="AB260" s="38"/>
      <c r="AE260" s="15">
        <v>2.2129629629629628E-2</v>
      </c>
      <c r="AF260" s="14">
        <f t="shared" si="115"/>
        <v>1912</v>
      </c>
      <c r="AG260" s="8">
        <v>2.0571999999999999</v>
      </c>
      <c r="AH260" s="8">
        <v>2.0377999999999998</v>
      </c>
      <c r="AI260" s="8">
        <v>2.0457000000000001</v>
      </c>
      <c r="AJ260" s="8">
        <v>2.0354000000000001</v>
      </c>
      <c r="AK260" s="8">
        <v>2.0337999999999998</v>
      </c>
      <c r="AL260" s="8">
        <v>2.0373000000000001</v>
      </c>
      <c r="AM260" s="8">
        <v>1.9616</v>
      </c>
      <c r="AN260" s="8">
        <v>1.9423999999999999</v>
      </c>
      <c r="AO260" s="8">
        <v>1.9173</v>
      </c>
      <c r="AP260" s="8">
        <v>1.9418</v>
      </c>
      <c r="AQ260" s="8">
        <v>1.9822</v>
      </c>
      <c r="AR260" s="8">
        <v>1.9641</v>
      </c>
      <c r="AS260" s="8">
        <v>2.016</v>
      </c>
      <c r="AT260" s="8">
        <v>2.0142000000000002</v>
      </c>
      <c r="AU260" s="8">
        <v>2.0324</v>
      </c>
      <c r="AV260" s="8">
        <v>2.0283000000000002</v>
      </c>
      <c r="AW260" s="8">
        <v>2.0329000000000002</v>
      </c>
      <c r="AX260" s="8">
        <v>2.0137</v>
      </c>
      <c r="AY260" s="8">
        <v>2.0047999999999999</v>
      </c>
      <c r="AZ260" s="8">
        <v>1.9938</v>
      </c>
      <c r="BA260" s="8">
        <v>2.0063</v>
      </c>
      <c r="BB260" s="8">
        <v>2.0095000000000001</v>
      </c>
      <c r="BC260" s="8">
        <v>2.0072999999999999</v>
      </c>
      <c r="BD260" s="8">
        <v>1.9748000000000001</v>
      </c>
    </row>
    <row r="261" spans="2:56" s="13" customFormat="1" x14ac:dyDescent="0.3">
      <c r="B261" s="22">
        <f t="shared" si="90"/>
        <v>1920</v>
      </c>
      <c r="C261" s="40">
        <f t="shared" si="91"/>
        <v>23.005612493899449</v>
      </c>
      <c r="D261" s="40">
        <f t="shared" si="92"/>
        <v>25.377745241581213</v>
      </c>
      <c r="E261" s="40">
        <f t="shared" si="93"/>
        <v>28.974133723767732</v>
      </c>
      <c r="F261" s="40">
        <f t="shared" si="94"/>
        <v>29.254758418740888</v>
      </c>
      <c r="G261" s="40">
        <f t="shared" si="95"/>
        <v>33.755490483162475</v>
      </c>
      <c r="H261" s="40">
        <f t="shared" si="96"/>
        <v>30.203513909224021</v>
      </c>
      <c r="I261" s="40">
        <f t="shared" si="97"/>
        <v>59.93191800878482</v>
      </c>
      <c r="J261" s="40">
        <f t="shared" si="98"/>
        <v>69.212054660809983</v>
      </c>
      <c r="K261" s="40">
        <f t="shared" si="99"/>
        <v>73.733284529038571</v>
      </c>
      <c r="L261" s="40">
        <f t="shared" si="100"/>
        <v>68.62420693020988</v>
      </c>
      <c r="M261" s="40">
        <f t="shared" si="101"/>
        <v>50.481942410932085</v>
      </c>
      <c r="N261" s="40">
        <f t="shared" si="102"/>
        <v>38.817715959004303</v>
      </c>
      <c r="O261" s="40"/>
      <c r="P261" s="39">
        <f t="shared" si="103"/>
        <v>45.829428989751015</v>
      </c>
      <c r="Q261" s="39">
        <f t="shared" si="104"/>
        <v>44.495851634943776</v>
      </c>
      <c r="R261" s="39">
        <f t="shared" si="105"/>
        <v>41.267691556856931</v>
      </c>
      <c r="S261" s="39">
        <f t="shared" si="106"/>
        <v>39.71913128355294</v>
      </c>
      <c r="T261" s="39">
        <f t="shared" si="107"/>
        <v>40.315031722791659</v>
      </c>
      <c r="U261" s="39">
        <f t="shared" si="108"/>
        <v>35.494387506100601</v>
      </c>
      <c r="V261" s="39">
        <f t="shared" si="109"/>
        <v>48.694729136164099</v>
      </c>
      <c r="W261" s="39">
        <f t="shared" si="110"/>
        <v>52.606393362615755</v>
      </c>
      <c r="X261" s="39">
        <f t="shared" si="111"/>
        <v>42.913372376769367</v>
      </c>
      <c r="Y261" s="39">
        <f t="shared" si="112"/>
        <v>47.040507564665624</v>
      </c>
      <c r="Z261" s="39">
        <f t="shared" si="113"/>
        <v>47.443875061005329</v>
      </c>
      <c r="AA261" s="39">
        <f t="shared" si="114"/>
        <v>49.145924841386048</v>
      </c>
      <c r="AB261" s="38"/>
      <c r="AE261" s="15">
        <v>2.2222222222222223E-2</v>
      </c>
      <c r="AF261" s="14">
        <f t="shared" si="115"/>
        <v>1920</v>
      </c>
      <c r="AG261" s="8">
        <v>2.0571999999999999</v>
      </c>
      <c r="AH261" s="8">
        <v>2.0371000000000001</v>
      </c>
      <c r="AI261" s="8">
        <v>2.0470999999999999</v>
      </c>
      <c r="AJ261" s="8">
        <v>2.0343</v>
      </c>
      <c r="AK261" s="8">
        <v>2.0352999999999999</v>
      </c>
      <c r="AL261" s="8">
        <v>2.0365000000000002</v>
      </c>
      <c r="AM261" s="8">
        <v>1.9616</v>
      </c>
      <c r="AN261" s="8">
        <v>1.9427000000000001</v>
      </c>
      <c r="AO261" s="8">
        <v>1.9193</v>
      </c>
      <c r="AP261" s="8">
        <v>1.9440999999999999</v>
      </c>
      <c r="AQ261" s="8">
        <v>1.9814000000000001</v>
      </c>
      <c r="AR261" s="8">
        <v>1.9657</v>
      </c>
      <c r="AS261" s="8">
        <v>2.0148999999999999</v>
      </c>
      <c r="AT261" s="8">
        <v>2.0135000000000001</v>
      </c>
      <c r="AU261" s="8">
        <v>2.0344000000000002</v>
      </c>
      <c r="AV261" s="8">
        <v>2.0293999999999999</v>
      </c>
      <c r="AW261" s="8">
        <v>2.0323000000000002</v>
      </c>
      <c r="AX261" s="8">
        <v>2.0114999999999998</v>
      </c>
      <c r="AY261" s="8">
        <v>2.0049999999999999</v>
      </c>
      <c r="AZ261" s="8">
        <v>1.9971000000000001</v>
      </c>
      <c r="BA261" s="8">
        <v>2.0068999999999999</v>
      </c>
      <c r="BB261" s="8">
        <v>2.0087000000000002</v>
      </c>
      <c r="BC261" s="8">
        <v>2.008</v>
      </c>
      <c r="BD261" s="8">
        <v>1.9751000000000001</v>
      </c>
    </row>
    <row r="262" spans="2:56" s="13" customFormat="1" x14ac:dyDescent="0.3">
      <c r="B262" s="22">
        <f t="shared" si="90"/>
        <v>1928</v>
      </c>
      <c r="C262" s="40">
        <f t="shared" si="91"/>
        <v>22.029526598340532</v>
      </c>
      <c r="D262" s="40">
        <f t="shared" si="92"/>
        <v>24.64568081991208</v>
      </c>
      <c r="E262" s="40">
        <f t="shared" si="93"/>
        <v>29.852611029770564</v>
      </c>
      <c r="F262" s="40">
        <f t="shared" si="94"/>
        <v>28.864324060517408</v>
      </c>
      <c r="G262" s="40">
        <f t="shared" si="95"/>
        <v>34.145924841385963</v>
      </c>
      <c r="H262" s="40">
        <f t="shared" si="96"/>
        <v>29.373840897999237</v>
      </c>
      <c r="I262" s="40">
        <f t="shared" si="97"/>
        <v>59.98072230356275</v>
      </c>
      <c r="J262" s="40">
        <f t="shared" si="98"/>
        <v>68.72401171303062</v>
      </c>
      <c r="K262" s="40">
        <f t="shared" si="99"/>
        <v>74.07491459248412</v>
      </c>
      <c r="L262" s="40">
        <f t="shared" si="100"/>
        <v>69.551488530990753</v>
      </c>
      <c r="M262" s="40">
        <f t="shared" si="101"/>
        <v>49.847486578818931</v>
      </c>
      <c r="N262" s="40">
        <f t="shared" si="102"/>
        <v>39.061737432893977</v>
      </c>
      <c r="O262" s="40"/>
      <c r="P262" s="39">
        <f t="shared" si="103"/>
        <v>45.438994631527535</v>
      </c>
      <c r="Q262" s="39">
        <f t="shared" si="104"/>
        <v>44.495851634943776</v>
      </c>
      <c r="R262" s="39">
        <f t="shared" si="105"/>
        <v>41.902147388970192</v>
      </c>
      <c r="S262" s="39">
        <f t="shared" si="106"/>
        <v>39.816739873108808</v>
      </c>
      <c r="T262" s="39">
        <f t="shared" si="107"/>
        <v>39.924597364568179</v>
      </c>
      <c r="U262" s="39">
        <f t="shared" si="108"/>
        <v>34.859931673987333</v>
      </c>
      <c r="V262" s="39">
        <f t="shared" si="109"/>
        <v>48.548316251830187</v>
      </c>
      <c r="W262" s="39">
        <f t="shared" si="110"/>
        <v>52.899219131283473</v>
      </c>
      <c r="X262" s="39">
        <f t="shared" si="111"/>
        <v>42.669350902879586</v>
      </c>
      <c r="Y262" s="39">
        <f t="shared" si="112"/>
        <v>47.382137628111273</v>
      </c>
      <c r="Z262" s="39">
        <f t="shared" si="113"/>
        <v>47.834309419228816</v>
      </c>
      <c r="AA262" s="39">
        <f t="shared" si="114"/>
        <v>49.341142020497898</v>
      </c>
      <c r="AB262" s="38"/>
      <c r="AE262" s="15">
        <v>2.2314814814814815E-2</v>
      </c>
      <c r="AF262" s="14">
        <f t="shared" si="115"/>
        <v>1928</v>
      </c>
      <c r="AG262" s="8">
        <v>2.0592000000000001</v>
      </c>
      <c r="AH262" s="8">
        <v>2.0386000000000002</v>
      </c>
      <c r="AI262" s="8">
        <v>2.0453000000000001</v>
      </c>
      <c r="AJ262" s="8">
        <v>2.0350999999999999</v>
      </c>
      <c r="AK262" s="8">
        <v>2.0345</v>
      </c>
      <c r="AL262" s="8">
        <v>2.0381999999999998</v>
      </c>
      <c r="AM262" s="8">
        <v>1.9615</v>
      </c>
      <c r="AN262" s="8">
        <v>1.9437</v>
      </c>
      <c r="AO262" s="8">
        <v>1.9186000000000001</v>
      </c>
      <c r="AP262" s="8">
        <v>1.9421999999999999</v>
      </c>
      <c r="AQ262" s="8">
        <v>1.9826999999999999</v>
      </c>
      <c r="AR262" s="8">
        <v>1.9652000000000001</v>
      </c>
      <c r="AS262" s="8">
        <v>2.0156999999999998</v>
      </c>
      <c r="AT262" s="8">
        <v>2.0135000000000001</v>
      </c>
      <c r="AU262" s="8">
        <v>2.0331000000000001</v>
      </c>
      <c r="AV262" s="8">
        <v>2.0291999999999999</v>
      </c>
      <c r="AW262" s="8">
        <v>2.0331000000000001</v>
      </c>
      <c r="AX262" s="8">
        <v>2.0127999999999999</v>
      </c>
      <c r="AY262" s="8">
        <v>2.0053000000000001</v>
      </c>
      <c r="AZ262" s="8">
        <v>1.9964999999999999</v>
      </c>
      <c r="BA262" s="8">
        <v>2.0074000000000001</v>
      </c>
      <c r="BB262" s="8">
        <v>2.008</v>
      </c>
      <c r="BC262" s="8">
        <v>2.0072000000000001</v>
      </c>
      <c r="BD262" s="8">
        <v>1.9746999999999999</v>
      </c>
    </row>
    <row r="263" spans="2:56" s="13" customFormat="1" x14ac:dyDescent="0.3">
      <c r="B263" s="22">
        <f t="shared" si="90"/>
        <v>1936</v>
      </c>
      <c r="C263" s="40">
        <f t="shared" si="91"/>
        <v>22.32235236700814</v>
      </c>
      <c r="D263" s="40">
        <f t="shared" si="92"/>
        <v>24.889702293801864</v>
      </c>
      <c r="E263" s="40">
        <f t="shared" si="93"/>
        <v>29.706198145436868</v>
      </c>
      <c r="F263" s="40">
        <f t="shared" si="94"/>
        <v>29.303562713518932</v>
      </c>
      <c r="G263" s="40">
        <f t="shared" si="95"/>
        <v>34.585163494387487</v>
      </c>
      <c r="H263" s="40">
        <f t="shared" si="96"/>
        <v>30.105905319668153</v>
      </c>
      <c r="I263" s="40">
        <f t="shared" si="97"/>
        <v>59.785505124451014</v>
      </c>
      <c r="J263" s="40">
        <f t="shared" si="98"/>
        <v>70.139336261590856</v>
      </c>
      <c r="K263" s="40">
        <f t="shared" si="99"/>
        <v>73.879697413372369</v>
      </c>
      <c r="L263" s="40">
        <f t="shared" si="100"/>
        <v>70.088335773548039</v>
      </c>
      <c r="M263" s="40">
        <f t="shared" si="101"/>
        <v>50.433138116154147</v>
      </c>
      <c r="N263" s="40">
        <f t="shared" si="102"/>
        <v>39.305758906783758</v>
      </c>
      <c r="O263" s="40"/>
      <c r="P263" s="39">
        <f t="shared" si="103"/>
        <v>45.438994631527535</v>
      </c>
      <c r="Q263" s="39">
        <f t="shared" si="104"/>
        <v>45.227916056612912</v>
      </c>
      <c r="R263" s="39">
        <f t="shared" si="105"/>
        <v>42.048560273304105</v>
      </c>
      <c r="S263" s="39">
        <f t="shared" si="106"/>
        <v>39.865544167886632</v>
      </c>
      <c r="T263" s="39">
        <f t="shared" si="107"/>
        <v>40.412640312347747</v>
      </c>
      <c r="U263" s="39">
        <f t="shared" si="108"/>
        <v>35.933626159101905</v>
      </c>
      <c r="V263" s="39">
        <f t="shared" si="109"/>
        <v>49.133967789165411</v>
      </c>
      <c r="W263" s="39">
        <f t="shared" si="110"/>
        <v>52.996827720839342</v>
      </c>
      <c r="X263" s="39">
        <f t="shared" si="111"/>
        <v>43.303806734992847</v>
      </c>
      <c r="Y263" s="39">
        <f t="shared" si="112"/>
        <v>48.358223523670198</v>
      </c>
      <c r="Z263" s="39">
        <f t="shared" si="113"/>
        <v>48.908003904343595</v>
      </c>
      <c r="AA263" s="39">
        <f t="shared" si="114"/>
        <v>49.243533430941916</v>
      </c>
      <c r="AB263" s="38"/>
      <c r="AE263" s="15">
        <v>2.2407407407407407E-2</v>
      </c>
      <c r="AF263" s="14">
        <f t="shared" si="115"/>
        <v>1936</v>
      </c>
      <c r="AG263" s="8">
        <v>2.0586000000000002</v>
      </c>
      <c r="AH263" s="8">
        <v>2.0381</v>
      </c>
      <c r="AI263" s="8">
        <v>2.0455999999999999</v>
      </c>
      <c r="AJ263" s="8">
        <v>2.0341999999999998</v>
      </c>
      <c r="AK263" s="8">
        <v>2.0335999999999999</v>
      </c>
      <c r="AL263" s="8">
        <v>2.0367000000000002</v>
      </c>
      <c r="AM263" s="8">
        <v>1.9619</v>
      </c>
      <c r="AN263" s="8">
        <v>1.9408000000000001</v>
      </c>
      <c r="AO263" s="8">
        <v>1.919</v>
      </c>
      <c r="AP263" s="8">
        <v>1.9411</v>
      </c>
      <c r="AQ263" s="8">
        <v>1.9815</v>
      </c>
      <c r="AR263" s="8">
        <v>1.9646999999999999</v>
      </c>
      <c r="AS263" s="8">
        <v>2.0156999999999998</v>
      </c>
      <c r="AT263" s="8">
        <v>2.012</v>
      </c>
      <c r="AU263" s="8">
        <v>2.0327999999999999</v>
      </c>
      <c r="AV263" s="8">
        <v>2.0291000000000001</v>
      </c>
      <c r="AW263" s="8">
        <v>2.0320999999999998</v>
      </c>
      <c r="AX263" s="8">
        <v>2.0106000000000002</v>
      </c>
      <c r="AY263" s="8">
        <v>2.0041000000000002</v>
      </c>
      <c r="AZ263" s="8">
        <v>1.9963</v>
      </c>
      <c r="BA263" s="8">
        <v>2.0061</v>
      </c>
      <c r="BB263" s="8">
        <v>2.0059999999999998</v>
      </c>
      <c r="BC263" s="8">
        <v>2.0049999999999999</v>
      </c>
      <c r="BD263" s="8">
        <v>1.9749000000000001</v>
      </c>
    </row>
    <row r="264" spans="2:56" s="13" customFormat="1" x14ac:dyDescent="0.3">
      <c r="B264" s="22">
        <f t="shared" si="90"/>
        <v>1944</v>
      </c>
      <c r="C264" s="40">
        <f t="shared" si="91"/>
        <v>22.761591020009668</v>
      </c>
      <c r="D264" s="40">
        <f t="shared" si="92"/>
        <v>24.743289409467948</v>
      </c>
      <c r="E264" s="40">
        <f t="shared" si="93"/>
        <v>30.243045387994048</v>
      </c>
      <c r="F264" s="40">
        <f t="shared" si="94"/>
        <v>28.913128355295232</v>
      </c>
      <c r="G264" s="40">
        <f t="shared" si="95"/>
        <v>34.097120546607918</v>
      </c>
      <c r="H264" s="40">
        <f t="shared" si="96"/>
        <v>29.569058077110977</v>
      </c>
      <c r="I264" s="40">
        <f t="shared" si="97"/>
        <v>59.590287945339277</v>
      </c>
      <c r="J264" s="40">
        <f t="shared" si="98"/>
        <v>69.114446071254122</v>
      </c>
      <c r="K264" s="40">
        <f t="shared" si="99"/>
        <v>74.172523182039996</v>
      </c>
      <c r="L264" s="40">
        <f t="shared" si="100"/>
        <v>70.332357247437713</v>
      </c>
      <c r="M264" s="40">
        <f t="shared" si="101"/>
        <v>50.872376769155679</v>
      </c>
      <c r="N264" s="40">
        <f t="shared" si="102"/>
        <v>39.354563201561696</v>
      </c>
      <c r="O264" s="40"/>
      <c r="P264" s="39">
        <f t="shared" si="103"/>
        <v>44.999755978526018</v>
      </c>
      <c r="Q264" s="39">
        <f t="shared" si="104"/>
        <v>45.081503172279</v>
      </c>
      <c r="R264" s="39">
        <f t="shared" si="105"/>
        <v>41.560517325524749</v>
      </c>
      <c r="S264" s="39">
        <f t="shared" si="106"/>
        <v>40.304782820888164</v>
      </c>
      <c r="T264" s="39">
        <f t="shared" si="107"/>
        <v>40.900683260127096</v>
      </c>
      <c r="U264" s="39">
        <f t="shared" si="108"/>
        <v>35.103953147876901</v>
      </c>
      <c r="V264" s="39">
        <f t="shared" si="109"/>
        <v>50.79331381161542</v>
      </c>
      <c r="W264" s="39">
        <f t="shared" si="110"/>
        <v>54.704978038067289</v>
      </c>
      <c r="X264" s="39">
        <f t="shared" si="111"/>
        <v>43.255002440214803</v>
      </c>
      <c r="Y264" s="39">
        <f t="shared" si="112"/>
        <v>46.845290385553881</v>
      </c>
      <c r="Z264" s="39">
        <f t="shared" si="113"/>
        <v>48.07833089311859</v>
      </c>
      <c r="AA264" s="39">
        <f t="shared" si="114"/>
        <v>49.877989263055184</v>
      </c>
      <c r="AB264" s="38"/>
      <c r="AE264" s="15">
        <v>2.2499999999999996E-2</v>
      </c>
      <c r="AF264" s="14">
        <f t="shared" si="115"/>
        <v>1944</v>
      </c>
      <c r="AG264" s="8">
        <v>2.0577000000000001</v>
      </c>
      <c r="AH264" s="8">
        <v>2.0384000000000002</v>
      </c>
      <c r="AI264" s="8">
        <v>2.0445000000000002</v>
      </c>
      <c r="AJ264" s="8">
        <v>2.0350000000000001</v>
      </c>
      <c r="AK264" s="8">
        <v>2.0346000000000002</v>
      </c>
      <c r="AL264" s="8">
        <v>2.0377999999999998</v>
      </c>
      <c r="AM264" s="8">
        <v>1.9622999999999999</v>
      </c>
      <c r="AN264" s="8">
        <v>1.9429000000000001</v>
      </c>
      <c r="AO264" s="8">
        <v>1.9184000000000001</v>
      </c>
      <c r="AP264" s="8">
        <v>1.9406000000000001</v>
      </c>
      <c r="AQ264" s="8">
        <v>1.9805999999999999</v>
      </c>
      <c r="AR264" s="8">
        <v>1.9645999999999999</v>
      </c>
      <c r="AS264" s="8">
        <v>2.0165999999999999</v>
      </c>
      <c r="AT264" s="8">
        <v>2.0123000000000002</v>
      </c>
      <c r="AU264" s="8">
        <v>2.0337999999999998</v>
      </c>
      <c r="AV264" s="8">
        <v>2.0282</v>
      </c>
      <c r="AW264" s="8">
        <v>2.0310999999999999</v>
      </c>
      <c r="AX264" s="8">
        <v>2.0123000000000002</v>
      </c>
      <c r="AY264" s="8">
        <v>2.0007000000000001</v>
      </c>
      <c r="AZ264" s="8">
        <v>1.9927999999999999</v>
      </c>
      <c r="BA264" s="8">
        <v>2.0062000000000002</v>
      </c>
      <c r="BB264" s="8">
        <v>2.0091000000000001</v>
      </c>
      <c r="BC264" s="8">
        <v>2.0066999999999999</v>
      </c>
      <c r="BD264" s="8">
        <v>1.9736</v>
      </c>
    </row>
    <row r="265" spans="2:56" s="13" customFormat="1" x14ac:dyDescent="0.3">
      <c r="B265" s="22">
        <f t="shared" si="90"/>
        <v>1952</v>
      </c>
      <c r="C265" s="40">
        <f t="shared" si="91"/>
        <v>22.175939482674448</v>
      </c>
      <c r="D265" s="40">
        <f t="shared" si="92"/>
        <v>25.524158125915129</v>
      </c>
      <c r="E265" s="40">
        <f t="shared" si="93"/>
        <v>29.462176671547084</v>
      </c>
      <c r="F265" s="40">
        <f t="shared" si="94"/>
        <v>28.961932650073276</v>
      </c>
      <c r="G265" s="40">
        <f t="shared" si="95"/>
        <v>34.243533430941831</v>
      </c>
      <c r="H265" s="40">
        <f t="shared" si="96"/>
        <v>29.764275256222717</v>
      </c>
      <c r="I265" s="40">
        <f t="shared" si="97"/>
        <v>59.785505124451014</v>
      </c>
      <c r="J265" s="40">
        <f t="shared" si="98"/>
        <v>68.870424597364433</v>
      </c>
      <c r="K265" s="40">
        <f t="shared" si="99"/>
        <v>75.197413372376843</v>
      </c>
      <c r="L265" s="40">
        <f t="shared" si="100"/>
        <v>69.795510004880427</v>
      </c>
      <c r="M265" s="40">
        <f t="shared" si="101"/>
        <v>50.286725231820348</v>
      </c>
      <c r="N265" s="40">
        <f t="shared" si="102"/>
        <v>39.94021473889692</v>
      </c>
      <c r="O265" s="40"/>
      <c r="P265" s="39">
        <f t="shared" si="103"/>
        <v>45.975841874084715</v>
      </c>
      <c r="Q265" s="39">
        <f t="shared" si="104"/>
        <v>44.886285993167263</v>
      </c>
      <c r="R265" s="39">
        <f t="shared" si="105"/>
        <v>41.560517325524749</v>
      </c>
      <c r="S265" s="39">
        <f t="shared" si="106"/>
        <v>39.767935578330764</v>
      </c>
      <c r="T265" s="39">
        <f t="shared" si="107"/>
        <v>40.022205954124047</v>
      </c>
      <c r="U265" s="39">
        <f t="shared" si="108"/>
        <v>37.300146412884303</v>
      </c>
      <c r="V265" s="39">
        <f t="shared" si="109"/>
        <v>49.426793557833236</v>
      </c>
      <c r="W265" s="39">
        <f t="shared" si="110"/>
        <v>54.216935090287826</v>
      </c>
      <c r="X265" s="39">
        <f t="shared" si="111"/>
        <v>43.547828208882635</v>
      </c>
      <c r="Y265" s="39">
        <f t="shared" si="112"/>
        <v>47.479746217667142</v>
      </c>
      <c r="Z265" s="39">
        <f t="shared" si="113"/>
        <v>48.322352367008158</v>
      </c>
      <c r="AA265" s="39">
        <f t="shared" si="114"/>
        <v>49.194729136163978</v>
      </c>
      <c r="AB265" s="38"/>
      <c r="AE265" s="15">
        <v>2.2592592592592591E-2</v>
      </c>
      <c r="AF265" s="14">
        <f t="shared" si="115"/>
        <v>1952</v>
      </c>
      <c r="AG265" s="8">
        <v>2.0589</v>
      </c>
      <c r="AH265" s="8">
        <v>2.0367999999999999</v>
      </c>
      <c r="AI265" s="8">
        <v>2.0461</v>
      </c>
      <c r="AJ265" s="8">
        <v>2.0348999999999999</v>
      </c>
      <c r="AK265" s="8">
        <v>2.0343</v>
      </c>
      <c r="AL265" s="8">
        <v>2.0373999999999999</v>
      </c>
      <c r="AM265" s="8">
        <v>1.9619</v>
      </c>
      <c r="AN265" s="8">
        <v>1.9434</v>
      </c>
      <c r="AO265" s="8">
        <v>1.9162999999999999</v>
      </c>
      <c r="AP265" s="8">
        <v>1.9417</v>
      </c>
      <c r="AQ265" s="8">
        <v>1.9818</v>
      </c>
      <c r="AR265" s="8">
        <v>1.9634</v>
      </c>
      <c r="AS265" s="8">
        <v>2.0146000000000002</v>
      </c>
      <c r="AT265" s="8">
        <v>2.0127000000000002</v>
      </c>
      <c r="AU265" s="8">
        <v>2.0337999999999998</v>
      </c>
      <c r="AV265" s="8">
        <v>2.0293000000000001</v>
      </c>
      <c r="AW265" s="8">
        <v>2.0329000000000002</v>
      </c>
      <c r="AX265" s="8">
        <v>2.0078</v>
      </c>
      <c r="AY265" s="8">
        <v>2.0034999999999998</v>
      </c>
      <c r="AZ265" s="8">
        <v>1.9938</v>
      </c>
      <c r="BA265" s="8">
        <v>2.0055999999999998</v>
      </c>
      <c r="BB265" s="8">
        <v>2.0078</v>
      </c>
      <c r="BC265" s="8">
        <v>2.0062000000000002</v>
      </c>
      <c r="BD265" s="8">
        <v>1.9750000000000001</v>
      </c>
    </row>
    <row r="266" spans="2:56" s="13" customFormat="1" x14ac:dyDescent="0.3">
      <c r="B266" s="22">
        <f t="shared" si="90"/>
        <v>1959.9999999999998</v>
      </c>
      <c r="C266" s="40">
        <f t="shared" si="91"/>
        <v>23.10322108345532</v>
      </c>
      <c r="D266" s="40">
        <f t="shared" si="92"/>
        <v>24.499267935578381</v>
      </c>
      <c r="E266" s="40">
        <f t="shared" si="93"/>
        <v>29.120546608101431</v>
      </c>
      <c r="F266" s="40">
        <f t="shared" si="94"/>
        <v>29.059541239629148</v>
      </c>
      <c r="G266" s="40">
        <f t="shared" si="95"/>
        <v>34.048316251830094</v>
      </c>
      <c r="H266" s="40">
        <f t="shared" si="96"/>
        <v>29.17862371888728</v>
      </c>
      <c r="I266" s="40">
        <f t="shared" si="97"/>
        <v>60.127135187896556</v>
      </c>
      <c r="J266" s="40">
        <f t="shared" si="98"/>
        <v>69.944119082479119</v>
      </c>
      <c r="K266" s="40">
        <f t="shared" si="99"/>
        <v>75.148609077598806</v>
      </c>
      <c r="L266" s="40">
        <f t="shared" si="100"/>
        <v>70.918008784773036</v>
      </c>
      <c r="M266" s="40">
        <f t="shared" si="101"/>
        <v>51.165202537823284</v>
      </c>
      <c r="N266" s="40">
        <f t="shared" si="102"/>
        <v>39.598584675451377</v>
      </c>
      <c r="O266" s="40"/>
      <c r="P266" s="39">
        <f t="shared" si="103"/>
        <v>47.147144948755368</v>
      </c>
      <c r="Q266" s="39">
        <f t="shared" si="104"/>
        <v>45.4719375305027</v>
      </c>
      <c r="R266" s="39">
        <f t="shared" si="105"/>
        <v>41.706930209858449</v>
      </c>
      <c r="S266" s="39">
        <f t="shared" si="106"/>
        <v>40.10956564177642</v>
      </c>
      <c r="T266" s="39">
        <f t="shared" si="107"/>
        <v>40.119814543679922</v>
      </c>
      <c r="U266" s="39">
        <f t="shared" si="108"/>
        <v>35.006344558321032</v>
      </c>
      <c r="V266" s="39">
        <f t="shared" si="109"/>
        <v>49.231576378721492</v>
      </c>
      <c r="W266" s="39">
        <f t="shared" si="110"/>
        <v>53.924109321620222</v>
      </c>
      <c r="X266" s="39">
        <f t="shared" si="111"/>
        <v>43.303806734992847</v>
      </c>
      <c r="Y266" s="39">
        <f t="shared" si="112"/>
        <v>47.382137628111273</v>
      </c>
      <c r="Z266" s="39">
        <f t="shared" si="113"/>
        <v>48.956808199121426</v>
      </c>
      <c r="AA266" s="39">
        <f t="shared" si="114"/>
        <v>50.463640800390515</v>
      </c>
      <c r="AB266" s="38"/>
      <c r="AE266" s="15">
        <v>2.2685185185185183E-2</v>
      </c>
      <c r="AF266" s="14">
        <f t="shared" si="115"/>
        <v>1959.9999999999998</v>
      </c>
      <c r="AG266" s="8">
        <v>2.0569999999999999</v>
      </c>
      <c r="AH266" s="8">
        <v>2.0388999999999999</v>
      </c>
      <c r="AI266" s="8">
        <v>2.0468000000000002</v>
      </c>
      <c r="AJ266" s="8">
        <v>2.0347</v>
      </c>
      <c r="AK266" s="8">
        <v>2.0347</v>
      </c>
      <c r="AL266" s="8">
        <v>2.0386000000000002</v>
      </c>
      <c r="AM266" s="8">
        <v>1.9612000000000001</v>
      </c>
      <c r="AN266" s="8">
        <v>1.9412</v>
      </c>
      <c r="AO266" s="8">
        <v>1.9164000000000001</v>
      </c>
      <c r="AP266" s="8">
        <v>1.9394</v>
      </c>
      <c r="AQ266" s="8">
        <v>1.98</v>
      </c>
      <c r="AR266" s="8">
        <v>1.9641</v>
      </c>
      <c r="AS266" s="8">
        <v>2.0122</v>
      </c>
      <c r="AT266" s="8">
        <v>2.0114999999999998</v>
      </c>
      <c r="AU266" s="8">
        <v>2.0335000000000001</v>
      </c>
      <c r="AV266" s="8">
        <v>2.0286</v>
      </c>
      <c r="AW266" s="8">
        <v>2.0327000000000002</v>
      </c>
      <c r="AX266" s="8">
        <v>2.0125000000000002</v>
      </c>
      <c r="AY266" s="8">
        <v>2.0038999999999998</v>
      </c>
      <c r="AZ266" s="8">
        <v>1.9944</v>
      </c>
      <c r="BA266" s="8">
        <v>2.0061</v>
      </c>
      <c r="BB266" s="8">
        <v>2.008</v>
      </c>
      <c r="BC266" s="8">
        <v>2.0049000000000001</v>
      </c>
      <c r="BD266" s="8">
        <v>1.9723999999999999</v>
      </c>
    </row>
    <row r="267" spans="2:56" s="13" customFormat="1" x14ac:dyDescent="0.3">
      <c r="B267" s="22">
        <f t="shared" si="90"/>
        <v>1967.9999999999998</v>
      </c>
      <c r="C267" s="40">
        <f t="shared" si="91"/>
        <v>22.224743777452272</v>
      </c>
      <c r="D267" s="40">
        <f t="shared" si="92"/>
        <v>24.64568081991208</v>
      </c>
      <c r="E267" s="40">
        <f t="shared" si="93"/>
        <v>29.852611029770564</v>
      </c>
      <c r="F267" s="40">
        <f t="shared" si="94"/>
        <v>29.645192776964368</v>
      </c>
      <c r="G267" s="40">
        <f t="shared" si="95"/>
        <v>34.097120546607918</v>
      </c>
      <c r="H267" s="40">
        <f t="shared" si="96"/>
        <v>29.715470961444673</v>
      </c>
      <c r="I267" s="40">
        <f t="shared" si="97"/>
        <v>59.297462176671552</v>
      </c>
      <c r="J267" s="40">
        <f t="shared" si="98"/>
        <v>69.748901903367369</v>
      </c>
      <c r="K267" s="40">
        <f t="shared" si="99"/>
        <v>75.197413372376843</v>
      </c>
      <c r="L267" s="40">
        <f t="shared" si="100"/>
        <v>69.990727183992163</v>
      </c>
      <c r="M267" s="40">
        <f t="shared" si="101"/>
        <v>50.823572474377741</v>
      </c>
      <c r="N267" s="40">
        <f t="shared" si="102"/>
        <v>39.159346022449853</v>
      </c>
      <c r="O267" s="40"/>
      <c r="P267" s="39">
        <f t="shared" si="103"/>
        <v>46.463884821864283</v>
      </c>
      <c r="Q267" s="39">
        <f t="shared" si="104"/>
        <v>45.520741825280531</v>
      </c>
      <c r="R267" s="39">
        <f t="shared" si="105"/>
        <v>42.048560273304105</v>
      </c>
      <c r="S267" s="39">
        <f t="shared" si="106"/>
        <v>40.841630063445557</v>
      </c>
      <c r="T267" s="39">
        <f t="shared" si="107"/>
        <v>40.266227428013828</v>
      </c>
      <c r="U267" s="39">
        <f t="shared" si="108"/>
        <v>35.591996095656469</v>
      </c>
      <c r="V267" s="39">
        <f t="shared" si="109"/>
        <v>49.524402147389104</v>
      </c>
      <c r="W267" s="39">
        <f t="shared" si="110"/>
        <v>54.119326500731958</v>
      </c>
      <c r="X267" s="39">
        <f t="shared" si="111"/>
        <v>43.49902391410459</v>
      </c>
      <c r="Y267" s="39">
        <f t="shared" si="112"/>
        <v>48.309419228892146</v>
      </c>
      <c r="Z267" s="39">
        <f t="shared" si="113"/>
        <v>48.371156661786209</v>
      </c>
      <c r="AA267" s="39">
        <f t="shared" si="114"/>
        <v>49.682772083943441</v>
      </c>
      <c r="AB267" s="38"/>
      <c r="AE267" s="15">
        <v>2.2777777777777775E-2</v>
      </c>
      <c r="AF267" s="14">
        <f t="shared" si="115"/>
        <v>1967.9999999999998</v>
      </c>
      <c r="AG267" s="8">
        <v>2.0588000000000002</v>
      </c>
      <c r="AH267" s="8">
        <v>2.0386000000000002</v>
      </c>
      <c r="AI267" s="8">
        <v>2.0453000000000001</v>
      </c>
      <c r="AJ267" s="8">
        <v>2.0335000000000001</v>
      </c>
      <c r="AK267" s="8">
        <v>2.0346000000000002</v>
      </c>
      <c r="AL267" s="8">
        <v>2.0375000000000001</v>
      </c>
      <c r="AM267" s="8">
        <v>1.9629000000000001</v>
      </c>
      <c r="AN267" s="8">
        <v>1.9416</v>
      </c>
      <c r="AO267" s="8">
        <v>1.9162999999999999</v>
      </c>
      <c r="AP267" s="8">
        <v>1.9413</v>
      </c>
      <c r="AQ267" s="8">
        <v>1.9806999999999999</v>
      </c>
      <c r="AR267" s="8">
        <v>1.9650000000000001</v>
      </c>
      <c r="AS267" s="8">
        <v>2.0135999999999998</v>
      </c>
      <c r="AT267" s="8">
        <v>2.0114000000000001</v>
      </c>
      <c r="AU267" s="8">
        <v>2.0327999999999999</v>
      </c>
      <c r="AV267" s="8">
        <v>2.0270999999999999</v>
      </c>
      <c r="AW267" s="8">
        <v>2.0324</v>
      </c>
      <c r="AX267" s="8">
        <v>2.0112999999999999</v>
      </c>
      <c r="AY267" s="8">
        <v>2.0032999999999999</v>
      </c>
      <c r="AZ267" s="8">
        <v>1.994</v>
      </c>
      <c r="BA267" s="8">
        <v>2.0057</v>
      </c>
      <c r="BB267" s="8">
        <v>2.0061</v>
      </c>
      <c r="BC267" s="8">
        <v>2.0061</v>
      </c>
      <c r="BD267" s="8">
        <v>1.974</v>
      </c>
    </row>
    <row r="268" spans="2:56" s="13" customFormat="1" x14ac:dyDescent="0.3">
      <c r="B268" s="22">
        <f t="shared" si="90"/>
        <v>1975.9999999999998</v>
      </c>
      <c r="C268" s="40">
        <f t="shared" si="91"/>
        <v>22.078330893118572</v>
      </c>
      <c r="D268" s="40">
        <f t="shared" si="92"/>
        <v>24.694485114690121</v>
      </c>
      <c r="E268" s="40">
        <f t="shared" si="93"/>
        <v>29.462176671547084</v>
      </c>
      <c r="F268" s="40">
        <f t="shared" si="94"/>
        <v>28.864324060517408</v>
      </c>
      <c r="G268" s="40">
        <f t="shared" si="95"/>
        <v>34.536359199609436</v>
      </c>
      <c r="H268" s="40">
        <f t="shared" si="96"/>
        <v>28.20253782332858</v>
      </c>
      <c r="I268" s="40">
        <f t="shared" si="97"/>
        <v>59.004636408003947</v>
      </c>
      <c r="J268" s="40">
        <f t="shared" si="98"/>
        <v>70.090531966812918</v>
      </c>
      <c r="K268" s="40">
        <f t="shared" si="99"/>
        <v>75.734260614934129</v>
      </c>
      <c r="L268" s="40">
        <f t="shared" si="100"/>
        <v>70.429965836993688</v>
      </c>
      <c r="M268" s="40">
        <f t="shared" si="101"/>
        <v>51.750854075158614</v>
      </c>
      <c r="N268" s="40">
        <f t="shared" si="102"/>
        <v>40.184236212786594</v>
      </c>
      <c r="O268" s="40"/>
      <c r="P268" s="39">
        <f t="shared" si="103"/>
        <v>45.878233284528847</v>
      </c>
      <c r="Q268" s="39">
        <f t="shared" si="104"/>
        <v>45.569546120058568</v>
      </c>
      <c r="R268" s="39">
        <f t="shared" si="105"/>
        <v>41.462908735968881</v>
      </c>
      <c r="S268" s="39">
        <f t="shared" si="106"/>
        <v>40.255978526110113</v>
      </c>
      <c r="T268" s="39">
        <f t="shared" si="107"/>
        <v>40.461444607125578</v>
      </c>
      <c r="U268" s="39">
        <f t="shared" si="108"/>
        <v>35.933626159101905</v>
      </c>
      <c r="V268" s="39">
        <f t="shared" si="109"/>
        <v>49.914836505612584</v>
      </c>
      <c r="W268" s="39">
        <f t="shared" si="110"/>
        <v>54.802586627623157</v>
      </c>
      <c r="X268" s="39">
        <f t="shared" si="111"/>
        <v>44.523914104441339</v>
      </c>
      <c r="Y268" s="39">
        <f t="shared" si="112"/>
        <v>47.918984870668673</v>
      </c>
      <c r="Z268" s="39">
        <f t="shared" si="113"/>
        <v>48.224743777452289</v>
      </c>
      <c r="AA268" s="39">
        <f t="shared" si="114"/>
        <v>49.585163494387572</v>
      </c>
      <c r="AB268" s="38"/>
      <c r="AE268" s="15">
        <v>2.2870370370370371E-2</v>
      </c>
      <c r="AF268" s="14">
        <f t="shared" si="115"/>
        <v>1975.9999999999998</v>
      </c>
      <c r="AG268" s="8">
        <v>2.0590999999999999</v>
      </c>
      <c r="AH268" s="8">
        <v>2.0385</v>
      </c>
      <c r="AI268" s="8">
        <v>2.0461</v>
      </c>
      <c r="AJ268" s="8">
        <v>2.0350999999999999</v>
      </c>
      <c r="AK268" s="8">
        <v>2.0337000000000001</v>
      </c>
      <c r="AL268" s="8">
        <v>2.0406</v>
      </c>
      <c r="AM268" s="8">
        <v>1.9635</v>
      </c>
      <c r="AN268" s="8">
        <v>1.9409000000000001</v>
      </c>
      <c r="AO268" s="8">
        <v>1.9152</v>
      </c>
      <c r="AP268" s="8">
        <v>1.9403999999999999</v>
      </c>
      <c r="AQ268" s="8">
        <v>1.9787999999999999</v>
      </c>
      <c r="AR268" s="8">
        <v>1.9629000000000001</v>
      </c>
      <c r="AS268" s="8">
        <v>2.0148000000000001</v>
      </c>
      <c r="AT268" s="8">
        <v>2.0112999999999999</v>
      </c>
      <c r="AU268" s="8">
        <v>2.0339999999999998</v>
      </c>
      <c r="AV268" s="8">
        <v>2.0283000000000002</v>
      </c>
      <c r="AW268" s="8">
        <v>2.032</v>
      </c>
      <c r="AX268" s="8">
        <v>2.0106000000000002</v>
      </c>
      <c r="AY268" s="8">
        <v>2.0024999999999999</v>
      </c>
      <c r="AZ268" s="8">
        <v>1.9925999999999999</v>
      </c>
      <c r="BA268" s="8">
        <v>2.0036</v>
      </c>
      <c r="BB268" s="8">
        <v>2.0068999999999999</v>
      </c>
      <c r="BC268" s="8">
        <v>2.0064000000000002</v>
      </c>
      <c r="BD268" s="8">
        <v>1.9742</v>
      </c>
    </row>
    <row r="269" spans="2:56" s="13" customFormat="1" x14ac:dyDescent="0.3">
      <c r="B269" s="22">
        <f t="shared" si="90"/>
        <v>1984.0000000000002</v>
      </c>
      <c r="C269" s="40">
        <f t="shared" si="91"/>
        <v>22.175939482674448</v>
      </c>
      <c r="D269" s="40">
        <f t="shared" si="92"/>
        <v>24.548072230356212</v>
      </c>
      <c r="E269" s="40">
        <f t="shared" si="93"/>
        <v>29.120546608101431</v>
      </c>
      <c r="F269" s="40">
        <f t="shared" si="94"/>
        <v>29.205954123962844</v>
      </c>
      <c r="G269" s="40">
        <f t="shared" si="95"/>
        <v>34.097120546607918</v>
      </c>
      <c r="H269" s="40">
        <f t="shared" si="96"/>
        <v>29.17862371888728</v>
      </c>
      <c r="I269" s="40">
        <f t="shared" si="97"/>
        <v>59.785505124451014</v>
      </c>
      <c r="J269" s="40">
        <f t="shared" si="98"/>
        <v>69.407271839921819</v>
      </c>
      <c r="K269" s="40">
        <f t="shared" si="99"/>
        <v>75.295021961932704</v>
      </c>
      <c r="L269" s="40">
        <f t="shared" si="100"/>
        <v>70.966813079550974</v>
      </c>
      <c r="M269" s="40">
        <f t="shared" si="101"/>
        <v>51.311615422157097</v>
      </c>
      <c r="N269" s="40">
        <f t="shared" si="102"/>
        <v>39.208150317227783</v>
      </c>
      <c r="O269" s="40"/>
      <c r="P269" s="39">
        <f t="shared" si="103"/>
        <v>46.219863347974496</v>
      </c>
      <c r="Q269" s="39">
        <f t="shared" si="104"/>
        <v>45.715959004392268</v>
      </c>
      <c r="R269" s="39">
        <f t="shared" si="105"/>
        <v>42.146168862859973</v>
      </c>
      <c r="S269" s="39">
        <f t="shared" si="106"/>
        <v>39.914348462664677</v>
      </c>
      <c r="T269" s="39">
        <f t="shared" si="107"/>
        <v>40.656661786237315</v>
      </c>
      <c r="U269" s="39">
        <f t="shared" si="108"/>
        <v>35.884821864324081</v>
      </c>
      <c r="V269" s="39">
        <f t="shared" si="109"/>
        <v>49.768423621278671</v>
      </c>
      <c r="W269" s="39">
        <f t="shared" si="110"/>
        <v>53.631283552952496</v>
      </c>
      <c r="X269" s="39">
        <f t="shared" si="111"/>
        <v>43.84065397755024</v>
      </c>
      <c r="Y269" s="39">
        <f t="shared" si="112"/>
        <v>48.309419228892146</v>
      </c>
      <c r="Z269" s="39">
        <f t="shared" si="113"/>
        <v>48.419960956564253</v>
      </c>
      <c r="AA269" s="39">
        <f t="shared" si="114"/>
        <v>50.658857979502251</v>
      </c>
      <c r="AB269" s="38"/>
      <c r="AE269" s="15">
        <v>2.2962962962962966E-2</v>
      </c>
      <c r="AF269" s="14">
        <f t="shared" si="115"/>
        <v>1984.0000000000002</v>
      </c>
      <c r="AG269" s="8">
        <v>2.0589</v>
      </c>
      <c r="AH269" s="8">
        <v>2.0388000000000002</v>
      </c>
      <c r="AI269" s="8">
        <v>2.0468000000000002</v>
      </c>
      <c r="AJ269" s="8">
        <v>2.0344000000000002</v>
      </c>
      <c r="AK269" s="8">
        <v>2.0346000000000002</v>
      </c>
      <c r="AL269" s="8">
        <v>2.0386000000000002</v>
      </c>
      <c r="AM269" s="8">
        <v>1.9619</v>
      </c>
      <c r="AN269" s="8">
        <v>1.9422999999999999</v>
      </c>
      <c r="AO269" s="8">
        <v>1.9160999999999999</v>
      </c>
      <c r="AP269" s="8">
        <v>1.9393</v>
      </c>
      <c r="AQ269" s="8">
        <v>1.9797</v>
      </c>
      <c r="AR269" s="8">
        <v>1.9649000000000001</v>
      </c>
      <c r="AS269" s="8">
        <v>2.0141</v>
      </c>
      <c r="AT269" s="8">
        <v>2.0110000000000001</v>
      </c>
      <c r="AU269" s="8">
        <v>2.0326</v>
      </c>
      <c r="AV269" s="8">
        <v>2.0289999999999999</v>
      </c>
      <c r="AW269" s="8">
        <v>2.0316000000000001</v>
      </c>
      <c r="AX269" s="8">
        <v>2.0106999999999999</v>
      </c>
      <c r="AY269" s="8">
        <v>2.0028000000000001</v>
      </c>
      <c r="AZ269" s="8">
        <v>1.9950000000000001</v>
      </c>
      <c r="BA269" s="8">
        <v>2.0049999999999999</v>
      </c>
      <c r="BB269" s="8">
        <v>2.0061</v>
      </c>
      <c r="BC269" s="8">
        <v>2.0059999999999998</v>
      </c>
      <c r="BD269" s="8">
        <v>1.972</v>
      </c>
    </row>
    <row r="270" spans="2:56" s="13" customFormat="1" x14ac:dyDescent="0.3">
      <c r="B270" s="22">
        <f t="shared" si="90"/>
        <v>1992.0000000000002</v>
      </c>
      <c r="C270" s="40">
        <f t="shared" si="91"/>
        <v>22.371156661786184</v>
      </c>
      <c r="D270" s="40">
        <f t="shared" si="92"/>
        <v>24.596876525134252</v>
      </c>
      <c r="E270" s="40">
        <f t="shared" si="93"/>
        <v>29.559785261102956</v>
      </c>
      <c r="F270" s="40">
        <f t="shared" si="94"/>
        <v>28.864324060517408</v>
      </c>
      <c r="G270" s="40">
        <f t="shared" si="95"/>
        <v>34.682772083943355</v>
      </c>
      <c r="H270" s="40">
        <f t="shared" si="96"/>
        <v>28.641776476330101</v>
      </c>
      <c r="I270" s="40">
        <f t="shared" si="97"/>
        <v>60.224743777452424</v>
      </c>
      <c r="J270" s="40">
        <f t="shared" si="98"/>
        <v>69.504880429477694</v>
      </c>
      <c r="K270" s="40">
        <f t="shared" si="99"/>
        <v>75.099804782820868</v>
      </c>
      <c r="L270" s="40">
        <f t="shared" si="100"/>
        <v>71.406051732552498</v>
      </c>
      <c r="M270" s="40">
        <f t="shared" si="101"/>
        <v>51.848462664714482</v>
      </c>
      <c r="N270" s="40">
        <f t="shared" si="102"/>
        <v>39.891410444118982</v>
      </c>
      <c r="O270" s="40"/>
      <c r="P270" s="39">
        <f t="shared" si="103"/>
        <v>47.0495363591995</v>
      </c>
      <c r="Q270" s="39">
        <f t="shared" si="104"/>
        <v>46.399219131283573</v>
      </c>
      <c r="R270" s="39">
        <f t="shared" si="105"/>
        <v>42.634211810639329</v>
      </c>
      <c r="S270" s="39">
        <f t="shared" si="106"/>
        <v>40.304782820888164</v>
      </c>
      <c r="T270" s="39">
        <f t="shared" si="107"/>
        <v>40.315031722791659</v>
      </c>
      <c r="U270" s="39">
        <f t="shared" si="108"/>
        <v>35.640800390434293</v>
      </c>
      <c r="V270" s="39">
        <f t="shared" si="109"/>
        <v>49.963640800390415</v>
      </c>
      <c r="W270" s="39">
        <f t="shared" si="110"/>
        <v>54.168130795509896</v>
      </c>
      <c r="X270" s="39">
        <f t="shared" si="111"/>
        <v>43.694241093216334</v>
      </c>
      <c r="Y270" s="39">
        <f t="shared" si="112"/>
        <v>47.870180575890629</v>
      </c>
      <c r="Z270" s="39">
        <f t="shared" si="113"/>
        <v>48.663982430453821</v>
      </c>
      <c r="AA270" s="39">
        <f t="shared" si="114"/>
        <v>49.780380673499309</v>
      </c>
      <c r="AB270" s="38"/>
      <c r="AE270" s="15">
        <v>2.3055555555555555E-2</v>
      </c>
      <c r="AF270" s="14">
        <f t="shared" si="115"/>
        <v>1992.0000000000002</v>
      </c>
      <c r="AG270" s="8">
        <v>2.0585</v>
      </c>
      <c r="AH270" s="8">
        <v>2.0387</v>
      </c>
      <c r="AI270" s="8">
        <v>2.0459000000000001</v>
      </c>
      <c r="AJ270" s="8">
        <v>2.0350999999999999</v>
      </c>
      <c r="AK270" s="8">
        <v>2.0333999999999999</v>
      </c>
      <c r="AL270" s="8">
        <v>2.0396999999999998</v>
      </c>
      <c r="AM270" s="8">
        <v>1.9610000000000001</v>
      </c>
      <c r="AN270" s="8">
        <v>1.9420999999999999</v>
      </c>
      <c r="AO270" s="8">
        <v>1.9165000000000001</v>
      </c>
      <c r="AP270" s="8">
        <v>1.9383999999999999</v>
      </c>
      <c r="AQ270" s="8">
        <v>1.9785999999999999</v>
      </c>
      <c r="AR270" s="8">
        <v>1.9635</v>
      </c>
      <c r="AS270" s="8">
        <v>2.0124</v>
      </c>
      <c r="AT270" s="8">
        <v>2.0095999999999998</v>
      </c>
      <c r="AU270" s="8">
        <v>2.0316000000000001</v>
      </c>
      <c r="AV270" s="8">
        <v>2.0282</v>
      </c>
      <c r="AW270" s="8">
        <v>2.0323000000000002</v>
      </c>
      <c r="AX270" s="8">
        <v>2.0112000000000001</v>
      </c>
      <c r="AY270" s="8">
        <v>2.0024000000000002</v>
      </c>
      <c r="AZ270" s="8">
        <v>1.9939</v>
      </c>
      <c r="BA270" s="8">
        <v>2.0053000000000001</v>
      </c>
      <c r="BB270" s="8">
        <v>2.0070000000000001</v>
      </c>
      <c r="BC270" s="8">
        <v>2.0055000000000001</v>
      </c>
      <c r="BD270" s="8">
        <v>1.9738</v>
      </c>
    </row>
    <row r="271" spans="2:56" s="13" customFormat="1" x14ac:dyDescent="0.3">
      <c r="B271" s="35">
        <f t="shared" si="90"/>
        <v>2000.0000000000002</v>
      </c>
      <c r="C271" s="39">
        <f t="shared" si="91"/>
        <v>22.5175695461201</v>
      </c>
      <c r="D271" s="39">
        <f t="shared" si="92"/>
        <v>24.889702293801864</v>
      </c>
      <c r="E271" s="39">
        <f t="shared" si="93"/>
        <v>29.510980966325128</v>
      </c>
      <c r="F271" s="39">
        <f t="shared" si="94"/>
        <v>29.401171303074801</v>
      </c>
      <c r="G271" s="39">
        <f t="shared" si="95"/>
        <v>33.657881893606607</v>
      </c>
      <c r="H271" s="39">
        <f t="shared" si="96"/>
        <v>29.17862371888728</v>
      </c>
      <c r="I271" s="39">
        <f t="shared" si="97"/>
        <v>59.297462176671552</v>
      </c>
      <c r="J271" s="40">
        <f t="shared" si="98"/>
        <v>69.065641776476184</v>
      </c>
      <c r="K271" s="39">
        <f t="shared" si="99"/>
        <v>75.734260614934129</v>
      </c>
      <c r="L271" s="39">
        <f t="shared" si="100"/>
        <v>72.186920448999473</v>
      </c>
      <c r="M271" s="39">
        <f t="shared" si="101"/>
        <v>52.238897022937969</v>
      </c>
      <c r="N271" s="39">
        <f t="shared" si="102"/>
        <v>40.233040507564525</v>
      </c>
      <c r="O271" s="39"/>
      <c r="P271" s="39">
        <f t="shared" si="103"/>
        <v>46.268667642752547</v>
      </c>
      <c r="Q271" s="39">
        <f t="shared" si="104"/>
        <v>45.4719375305027</v>
      </c>
      <c r="R271" s="39">
        <f t="shared" si="105"/>
        <v>42.146168862859973</v>
      </c>
      <c r="S271" s="39">
        <f t="shared" si="106"/>
        <v>41.524890190336642</v>
      </c>
      <c r="T271" s="39">
        <f t="shared" si="107"/>
        <v>41.144704734016663</v>
      </c>
      <c r="U271" s="39">
        <f t="shared" si="108"/>
        <v>35.836017569546037</v>
      </c>
      <c r="V271" s="39">
        <f t="shared" si="109"/>
        <v>50.451683748169977</v>
      </c>
      <c r="W271" s="39">
        <f t="shared" si="110"/>
        <v>54.265739385065764</v>
      </c>
      <c r="X271" s="39">
        <f t="shared" si="111"/>
        <v>43.743045387994371</v>
      </c>
      <c r="Y271" s="39">
        <f t="shared" si="112"/>
        <v>48.065397755002373</v>
      </c>
      <c r="Z271" s="39">
        <f t="shared" si="113"/>
        <v>48.224743777452289</v>
      </c>
      <c r="AA271" s="39">
        <f t="shared" si="114"/>
        <v>49.975597852611052</v>
      </c>
      <c r="AB271" s="38"/>
      <c r="AE271" s="15">
        <v>2.314814814814815E-2</v>
      </c>
      <c r="AF271" s="14">
        <f t="shared" si="115"/>
        <v>2000.0000000000002</v>
      </c>
      <c r="AG271" s="8">
        <v>2.0581999999999998</v>
      </c>
      <c r="AH271" s="8">
        <v>2.0381</v>
      </c>
      <c r="AI271" s="8">
        <v>2.0459999999999998</v>
      </c>
      <c r="AJ271" s="8">
        <v>2.0339999999999998</v>
      </c>
      <c r="AK271" s="8">
        <v>2.0354999999999999</v>
      </c>
      <c r="AL271" s="8">
        <v>2.0386000000000002</v>
      </c>
      <c r="AM271" s="8">
        <v>1.9629000000000001</v>
      </c>
      <c r="AN271" s="8">
        <v>1.9430000000000001</v>
      </c>
      <c r="AO271" s="8">
        <v>1.9152</v>
      </c>
      <c r="AP271" s="8">
        <v>1.9368000000000001</v>
      </c>
      <c r="AQ271" s="8">
        <v>1.9778</v>
      </c>
      <c r="AR271" s="8">
        <v>1.9628000000000001</v>
      </c>
      <c r="AS271" s="8">
        <v>2.0139999999999998</v>
      </c>
      <c r="AT271" s="8">
        <v>2.0114999999999998</v>
      </c>
      <c r="AU271" s="8">
        <v>2.0326</v>
      </c>
      <c r="AV271" s="8">
        <v>2.0257000000000001</v>
      </c>
      <c r="AW271" s="8">
        <v>2.0306000000000002</v>
      </c>
      <c r="AX271" s="8">
        <v>2.0108000000000001</v>
      </c>
      <c r="AY271" s="8">
        <v>2.0013999999999998</v>
      </c>
      <c r="AZ271" s="8">
        <v>1.9937</v>
      </c>
      <c r="BA271" s="8">
        <v>2.0051999999999999</v>
      </c>
      <c r="BB271" s="8">
        <v>2.0066000000000002</v>
      </c>
      <c r="BC271" s="8">
        <v>2.0064000000000002</v>
      </c>
      <c r="BD271" s="8">
        <v>1.9734</v>
      </c>
    </row>
    <row r="272" spans="2:56" s="13" customFormat="1" x14ac:dyDescent="0.3">
      <c r="B272" s="35">
        <f t="shared" si="90"/>
        <v>2008</v>
      </c>
      <c r="C272" s="39">
        <f t="shared" si="91"/>
        <v>22.468765251342056</v>
      </c>
      <c r="D272" s="39">
        <f t="shared" si="92"/>
        <v>25.036115178135777</v>
      </c>
      <c r="E272" s="39">
        <f t="shared" si="93"/>
        <v>29.510980966325128</v>
      </c>
      <c r="F272" s="39">
        <f t="shared" si="94"/>
        <v>27.693020985846747</v>
      </c>
      <c r="G272" s="39">
        <f t="shared" si="95"/>
        <v>33.511469009272695</v>
      </c>
      <c r="H272" s="39">
        <f t="shared" si="96"/>
        <v>29.032210834553581</v>
      </c>
      <c r="I272" s="39">
        <f t="shared" si="97"/>
        <v>59.004636408003947</v>
      </c>
      <c r="J272" s="40">
        <f t="shared" si="98"/>
        <v>69.700097608589431</v>
      </c>
      <c r="K272" s="39">
        <f t="shared" si="99"/>
        <v>75.539043435822393</v>
      </c>
      <c r="L272" s="39">
        <f t="shared" si="100"/>
        <v>71.796486090775986</v>
      </c>
      <c r="M272" s="39">
        <f t="shared" si="101"/>
        <v>52.434114202049706</v>
      </c>
      <c r="N272" s="39">
        <f t="shared" si="102"/>
        <v>38.964128843338109</v>
      </c>
      <c r="O272" s="39"/>
      <c r="P272" s="39">
        <f t="shared" si="103"/>
        <v>45.975841874084715</v>
      </c>
      <c r="Q272" s="39">
        <f t="shared" si="104"/>
        <v>46.057589067837924</v>
      </c>
      <c r="R272" s="39">
        <f t="shared" si="105"/>
        <v>42.048560273304105</v>
      </c>
      <c r="S272" s="39">
        <f t="shared" si="106"/>
        <v>40.499999999999901</v>
      </c>
      <c r="T272" s="39">
        <f t="shared" si="107"/>
        <v>41.583943387018188</v>
      </c>
      <c r="U272" s="39">
        <f t="shared" si="108"/>
        <v>35.884821864324081</v>
      </c>
      <c r="V272" s="39">
        <f t="shared" si="109"/>
        <v>50.110053684724321</v>
      </c>
      <c r="W272" s="39">
        <f t="shared" si="110"/>
        <v>54.460956564177501</v>
      </c>
      <c r="X272" s="39">
        <f t="shared" si="111"/>
        <v>44.377501220107639</v>
      </c>
      <c r="Y272" s="39">
        <f t="shared" si="112"/>
        <v>48.309419228892146</v>
      </c>
      <c r="Z272" s="39">
        <f t="shared" si="113"/>
        <v>49.152025378233162</v>
      </c>
      <c r="AA272" s="39">
        <f t="shared" si="114"/>
        <v>50.024402147388983</v>
      </c>
      <c r="AB272" s="38"/>
      <c r="AE272" s="15">
        <v>2.3240740740740742E-2</v>
      </c>
      <c r="AF272" s="14">
        <f t="shared" si="115"/>
        <v>2008</v>
      </c>
      <c r="AG272" s="8">
        <v>2.0583</v>
      </c>
      <c r="AH272" s="8">
        <v>2.0377999999999998</v>
      </c>
      <c r="AI272" s="8">
        <v>2.0459999999999998</v>
      </c>
      <c r="AJ272" s="8">
        <v>2.0375000000000001</v>
      </c>
      <c r="AK272" s="8">
        <v>2.0358000000000001</v>
      </c>
      <c r="AL272" s="8">
        <v>2.0388999999999999</v>
      </c>
      <c r="AM272" s="8">
        <v>1.9635</v>
      </c>
      <c r="AN272" s="8">
        <v>1.9417</v>
      </c>
      <c r="AO272" s="8">
        <v>1.9156</v>
      </c>
      <c r="AP272" s="8">
        <v>1.9376</v>
      </c>
      <c r="AQ272" s="8">
        <v>1.9774</v>
      </c>
      <c r="AR272" s="8">
        <v>1.9654</v>
      </c>
      <c r="AS272" s="8">
        <v>2.0146000000000002</v>
      </c>
      <c r="AT272" s="8">
        <v>2.0103</v>
      </c>
      <c r="AU272" s="8">
        <v>2.0327999999999999</v>
      </c>
      <c r="AV272" s="8">
        <v>2.0278</v>
      </c>
      <c r="AW272" s="8">
        <v>2.0297000000000001</v>
      </c>
      <c r="AX272" s="8">
        <v>2.0106999999999999</v>
      </c>
      <c r="AY272" s="8">
        <v>2.0021</v>
      </c>
      <c r="AZ272" s="8">
        <v>1.9933000000000001</v>
      </c>
      <c r="BA272" s="8">
        <v>2.0038999999999998</v>
      </c>
      <c r="BB272" s="8">
        <v>2.0061</v>
      </c>
      <c r="BC272" s="8">
        <v>2.0045000000000002</v>
      </c>
      <c r="BD272" s="8">
        <v>1.9733000000000001</v>
      </c>
    </row>
    <row r="273" spans="2:56" s="13" customFormat="1" x14ac:dyDescent="0.3">
      <c r="B273" s="35">
        <f t="shared" si="90"/>
        <v>2016</v>
      </c>
      <c r="C273" s="39">
        <f t="shared" si="91"/>
        <v>22.32235236700814</v>
      </c>
      <c r="D273" s="39">
        <f t="shared" si="92"/>
        <v>24.596876525134252</v>
      </c>
      <c r="E273" s="39">
        <f t="shared" si="93"/>
        <v>29.462176671547084</v>
      </c>
      <c r="F273" s="39">
        <f t="shared" si="94"/>
        <v>29.449975597852628</v>
      </c>
      <c r="G273" s="39">
        <f t="shared" si="95"/>
        <v>33.365056124938995</v>
      </c>
      <c r="H273" s="39">
        <f t="shared" si="96"/>
        <v>29.764275256222717</v>
      </c>
      <c r="I273" s="39">
        <f t="shared" si="97"/>
        <v>59.492679355783402</v>
      </c>
      <c r="J273" s="40">
        <f t="shared" si="98"/>
        <v>69.309663250365958</v>
      </c>
      <c r="K273" s="39">
        <f t="shared" si="99"/>
        <v>75.831869204490005</v>
      </c>
      <c r="L273" s="39">
        <f t="shared" si="100"/>
        <v>72.186920448999473</v>
      </c>
      <c r="M273" s="39">
        <f t="shared" si="101"/>
        <v>52.190092728160032</v>
      </c>
      <c r="N273" s="39">
        <f t="shared" si="102"/>
        <v>39.549780380673432</v>
      </c>
      <c r="O273" s="39"/>
      <c r="P273" s="39">
        <f t="shared" si="103"/>
        <v>46.951927769643632</v>
      </c>
      <c r="Q273" s="39">
        <f t="shared" si="104"/>
        <v>46.057589067837924</v>
      </c>
      <c r="R273" s="39">
        <f t="shared" si="105"/>
        <v>41.658125915080625</v>
      </c>
      <c r="S273" s="39">
        <f t="shared" si="106"/>
        <v>40.158369936554244</v>
      </c>
      <c r="T273" s="39">
        <f t="shared" si="107"/>
        <v>40.607857491459484</v>
      </c>
      <c r="U273" s="39">
        <f t="shared" si="108"/>
        <v>36.128843338213642</v>
      </c>
      <c r="V273" s="39">
        <f t="shared" si="109"/>
        <v>50.744509516837589</v>
      </c>
      <c r="W273" s="39">
        <f t="shared" si="110"/>
        <v>55.193020985846637</v>
      </c>
      <c r="X273" s="39">
        <f t="shared" si="111"/>
        <v>43.645436798438503</v>
      </c>
      <c r="Y273" s="39">
        <f t="shared" si="112"/>
        <v>49.578330893118682</v>
      </c>
      <c r="Z273" s="39">
        <f t="shared" si="113"/>
        <v>49.152025378233162</v>
      </c>
      <c r="AA273" s="39">
        <f t="shared" si="114"/>
        <v>50.268423621278664</v>
      </c>
      <c r="AB273" s="38"/>
      <c r="AE273" s="15">
        <v>2.3333333333333334E-2</v>
      </c>
      <c r="AF273" s="14">
        <f t="shared" si="115"/>
        <v>2016</v>
      </c>
      <c r="AG273" s="8">
        <v>2.0586000000000002</v>
      </c>
      <c r="AH273" s="8">
        <v>2.0387</v>
      </c>
      <c r="AI273" s="8">
        <v>2.0461</v>
      </c>
      <c r="AJ273" s="8">
        <v>2.0339</v>
      </c>
      <c r="AK273" s="8">
        <v>2.0360999999999998</v>
      </c>
      <c r="AL273" s="8">
        <v>2.0373999999999999</v>
      </c>
      <c r="AM273" s="8">
        <v>1.9624999999999999</v>
      </c>
      <c r="AN273" s="8">
        <v>1.9424999999999999</v>
      </c>
      <c r="AO273" s="8">
        <v>1.915</v>
      </c>
      <c r="AP273" s="8">
        <v>1.9368000000000001</v>
      </c>
      <c r="AQ273" s="8">
        <v>1.9779</v>
      </c>
      <c r="AR273" s="8">
        <v>1.9641999999999999</v>
      </c>
      <c r="AS273" s="8">
        <v>2.0125999999999999</v>
      </c>
      <c r="AT273" s="8">
        <v>2.0103</v>
      </c>
      <c r="AU273" s="8">
        <v>2.0335999999999999</v>
      </c>
      <c r="AV273" s="8">
        <v>2.0285000000000002</v>
      </c>
      <c r="AW273" s="8">
        <v>2.0316999999999998</v>
      </c>
      <c r="AX273" s="8">
        <v>2.0102000000000002</v>
      </c>
      <c r="AY273" s="8">
        <v>2.0007999999999999</v>
      </c>
      <c r="AZ273" s="8">
        <v>1.9918</v>
      </c>
      <c r="BA273" s="8">
        <v>2.0053999999999998</v>
      </c>
      <c r="BB273" s="8">
        <v>2.0034999999999998</v>
      </c>
      <c r="BC273" s="8">
        <v>2.0045000000000002</v>
      </c>
      <c r="BD273" s="8">
        <v>1.9728000000000001</v>
      </c>
    </row>
    <row r="274" spans="2:56" s="13" customFormat="1" x14ac:dyDescent="0.3">
      <c r="B274" s="35">
        <f t="shared" si="90"/>
        <v>2024</v>
      </c>
      <c r="C274" s="39">
        <f t="shared" si="91"/>
        <v>22.761591020009668</v>
      </c>
      <c r="D274" s="39">
        <f t="shared" si="92"/>
        <v>25.475353831137085</v>
      </c>
      <c r="E274" s="39">
        <f t="shared" si="93"/>
        <v>29.706198145436868</v>
      </c>
      <c r="F274" s="39">
        <f t="shared" si="94"/>
        <v>28.571498291849796</v>
      </c>
      <c r="G274" s="39">
        <f t="shared" si="95"/>
        <v>33.706686188384438</v>
      </c>
      <c r="H274" s="39">
        <f t="shared" si="96"/>
        <v>29.422645192777065</v>
      </c>
      <c r="I274" s="39">
        <f t="shared" si="97"/>
        <v>59.93191800878482</v>
      </c>
      <c r="J274" s="40">
        <f t="shared" si="98"/>
        <v>69.895314787701182</v>
      </c>
      <c r="K274" s="39">
        <f t="shared" si="99"/>
        <v>76.515129331381203</v>
      </c>
      <c r="L274" s="39">
        <f t="shared" si="100"/>
        <v>71.650073206442173</v>
      </c>
      <c r="M274" s="39">
        <f t="shared" si="101"/>
        <v>52.190092728160032</v>
      </c>
      <c r="N274" s="39">
        <f t="shared" si="102"/>
        <v>40.135431918008656</v>
      </c>
      <c r="O274" s="39"/>
      <c r="P274" s="39">
        <f t="shared" si="103"/>
        <v>46.463884821864283</v>
      </c>
      <c r="Q274" s="39">
        <f t="shared" si="104"/>
        <v>46.25280624694966</v>
      </c>
      <c r="R274" s="39">
        <f t="shared" si="105"/>
        <v>41.853343094192368</v>
      </c>
      <c r="S274" s="39">
        <f t="shared" si="106"/>
        <v>40.548804294777945</v>
      </c>
      <c r="T274" s="39">
        <f t="shared" si="107"/>
        <v>41.33992191312862</v>
      </c>
      <c r="U274" s="39">
        <f t="shared" si="108"/>
        <v>36.470473401659298</v>
      </c>
      <c r="V274" s="39">
        <f t="shared" si="109"/>
        <v>51.037335285505193</v>
      </c>
      <c r="W274" s="39">
        <f t="shared" si="110"/>
        <v>56.022693997071642</v>
      </c>
      <c r="X274" s="39">
        <f t="shared" si="111"/>
        <v>44.035871156661983</v>
      </c>
      <c r="Y274" s="39">
        <f t="shared" si="112"/>
        <v>48.11420204978041</v>
      </c>
      <c r="Z274" s="39">
        <f t="shared" si="113"/>
        <v>48.468765251342077</v>
      </c>
      <c r="AA274" s="39">
        <f t="shared" si="114"/>
        <v>51.146900927281607</v>
      </c>
      <c r="AB274" s="38"/>
      <c r="AE274" s="15">
        <v>2.342592592592593E-2</v>
      </c>
      <c r="AF274" s="14">
        <f t="shared" si="115"/>
        <v>2024</v>
      </c>
      <c r="AG274" s="8">
        <v>2.0577000000000001</v>
      </c>
      <c r="AH274" s="8">
        <v>2.0369000000000002</v>
      </c>
      <c r="AI274" s="8">
        <v>2.0455999999999999</v>
      </c>
      <c r="AJ274" s="8">
        <v>2.0356999999999998</v>
      </c>
      <c r="AK274" s="8">
        <v>2.0354000000000001</v>
      </c>
      <c r="AL274" s="8">
        <v>2.0381</v>
      </c>
      <c r="AM274" s="8">
        <v>1.9616</v>
      </c>
      <c r="AN274" s="8">
        <v>1.9413</v>
      </c>
      <c r="AO274" s="8">
        <v>1.9136</v>
      </c>
      <c r="AP274" s="8">
        <v>1.9379</v>
      </c>
      <c r="AQ274" s="8">
        <v>1.9779</v>
      </c>
      <c r="AR274" s="8">
        <v>1.9630000000000001</v>
      </c>
      <c r="AS274" s="8">
        <v>2.0135999999999998</v>
      </c>
      <c r="AT274" s="8">
        <v>2.0099</v>
      </c>
      <c r="AU274" s="8">
        <v>2.0331999999999999</v>
      </c>
      <c r="AV274" s="8">
        <v>2.0276999999999998</v>
      </c>
      <c r="AW274" s="8">
        <v>2.0301999999999998</v>
      </c>
      <c r="AX274" s="8">
        <v>2.0095000000000001</v>
      </c>
      <c r="AY274" s="8">
        <v>2.0002</v>
      </c>
      <c r="AZ274" s="8">
        <v>1.9901</v>
      </c>
      <c r="BA274" s="8">
        <v>2.0045999999999999</v>
      </c>
      <c r="BB274" s="8">
        <v>2.0065</v>
      </c>
      <c r="BC274" s="8">
        <v>2.0059</v>
      </c>
      <c r="BD274" s="8">
        <v>1.9710000000000001</v>
      </c>
    </row>
    <row r="275" spans="2:56" s="13" customFormat="1" x14ac:dyDescent="0.3">
      <c r="B275" s="35">
        <f t="shared" si="90"/>
        <v>2032</v>
      </c>
      <c r="C275" s="39">
        <f t="shared" si="91"/>
        <v>23.054416788677276</v>
      </c>
      <c r="D275" s="39">
        <f t="shared" si="92"/>
        <v>24.596876525134252</v>
      </c>
      <c r="E275" s="39">
        <f t="shared" si="93"/>
        <v>29.755002440214696</v>
      </c>
      <c r="F275" s="39">
        <f t="shared" si="94"/>
        <v>29.35236700829676</v>
      </c>
      <c r="G275" s="39">
        <f t="shared" si="95"/>
        <v>33.950707662274219</v>
      </c>
      <c r="H275" s="39">
        <f t="shared" si="96"/>
        <v>30.105905319668153</v>
      </c>
      <c r="I275" s="39">
        <f t="shared" si="97"/>
        <v>59.834309419228944</v>
      </c>
      <c r="J275" s="40">
        <f t="shared" si="98"/>
        <v>69.504880429477694</v>
      </c>
      <c r="K275" s="39">
        <f t="shared" si="99"/>
        <v>76.466325036603266</v>
      </c>
      <c r="L275" s="39">
        <f t="shared" si="100"/>
        <v>72.479746217667184</v>
      </c>
      <c r="M275" s="39">
        <f t="shared" si="101"/>
        <v>53.019765739385036</v>
      </c>
      <c r="N275" s="39">
        <f t="shared" si="102"/>
        <v>40.135431918008656</v>
      </c>
      <c r="O275" s="39"/>
      <c r="P275" s="39">
        <f t="shared" si="103"/>
        <v>46.512689116642115</v>
      </c>
      <c r="Q275" s="39">
        <f t="shared" si="104"/>
        <v>46.448023426061404</v>
      </c>
      <c r="R275" s="39">
        <f t="shared" si="105"/>
        <v>42.536603221083453</v>
      </c>
      <c r="S275" s="39">
        <f t="shared" si="106"/>
        <v>40.548804294777945</v>
      </c>
      <c r="T275" s="39">
        <f t="shared" si="107"/>
        <v>41.388726207906451</v>
      </c>
      <c r="U275" s="39">
        <f t="shared" si="108"/>
        <v>37.251342118106479</v>
      </c>
      <c r="V275" s="39">
        <f t="shared" si="109"/>
        <v>51.574182528062487</v>
      </c>
      <c r="W275" s="39">
        <f t="shared" si="110"/>
        <v>55.72986822840403</v>
      </c>
      <c r="X275" s="39">
        <f t="shared" si="111"/>
        <v>44.328696925329595</v>
      </c>
      <c r="Y275" s="39">
        <f t="shared" si="112"/>
        <v>48.602244997559765</v>
      </c>
      <c r="Z275" s="39">
        <f t="shared" si="113"/>
        <v>50.176915568569918</v>
      </c>
      <c r="AA275" s="39">
        <f t="shared" si="114"/>
        <v>50.854075158613988</v>
      </c>
      <c r="AB275" s="38"/>
      <c r="AE275" s="15">
        <v>2.3518518518518518E-2</v>
      </c>
      <c r="AF275" s="14">
        <f t="shared" si="115"/>
        <v>2032</v>
      </c>
      <c r="AG275" s="8">
        <v>2.0571000000000002</v>
      </c>
      <c r="AH275" s="8">
        <v>2.0387</v>
      </c>
      <c r="AI275" s="8">
        <v>2.0455000000000001</v>
      </c>
      <c r="AJ275" s="8">
        <v>2.0341</v>
      </c>
      <c r="AK275" s="8">
        <v>2.0348999999999999</v>
      </c>
      <c r="AL275" s="8">
        <v>2.0367000000000002</v>
      </c>
      <c r="AM275" s="8">
        <v>1.9618</v>
      </c>
      <c r="AN275" s="8">
        <v>1.9420999999999999</v>
      </c>
      <c r="AO275" s="8">
        <v>1.9137</v>
      </c>
      <c r="AP275" s="8">
        <v>1.9361999999999999</v>
      </c>
      <c r="AQ275" s="8">
        <v>1.9762</v>
      </c>
      <c r="AR275" s="8">
        <v>1.9630000000000001</v>
      </c>
      <c r="AS275" s="8">
        <v>2.0135000000000001</v>
      </c>
      <c r="AT275" s="8">
        <v>2.0095000000000001</v>
      </c>
      <c r="AU275" s="8">
        <v>2.0318000000000001</v>
      </c>
      <c r="AV275" s="8">
        <v>2.0276999999999998</v>
      </c>
      <c r="AW275" s="8">
        <v>2.0301</v>
      </c>
      <c r="AX275" s="8">
        <v>2.0078999999999998</v>
      </c>
      <c r="AY275" s="8">
        <v>1.9991000000000001</v>
      </c>
      <c r="AZ275" s="8">
        <v>1.9906999999999999</v>
      </c>
      <c r="BA275" s="8">
        <v>2.004</v>
      </c>
      <c r="BB275" s="8">
        <v>2.0055000000000001</v>
      </c>
      <c r="BC275" s="8">
        <v>2.0024000000000002</v>
      </c>
      <c r="BD275" s="8">
        <v>1.9716</v>
      </c>
    </row>
    <row r="276" spans="2:56" s="13" customFormat="1" x14ac:dyDescent="0.3">
      <c r="B276" s="35">
        <f t="shared" ref="B276:B339" si="116">AF276</f>
        <v>2040</v>
      </c>
      <c r="C276" s="39">
        <f t="shared" si="91"/>
        <v>22.761591020009668</v>
      </c>
      <c r="D276" s="39">
        <f t="shared" si="92"/>
        <v>24.938506588579905</v>
      </c>
      <c r="E276" s="39">
        <f t="shared" si="93"/>
        <v>29.755002440214696</v>
      </c>
      <c r="F276" s="39">
        <f t="shared" si="94"/>
        <v>29.596388482186544</v>
      </c>
      <c r="G276" s="39">
        <f t="shared" si="95"/>
        <v>34.536359199609436</v>
      </c>
      <c r="H276" s="39">
        <f t="shared" si="96"/>
        <v>29.276232308443149</v>
      </c>
      <c r="I276" s="39">
        <f t="shared" si="97"/>
        <v>60.127135187896556</v>
      </c>
      <c r="J276" s="40">
        <f t="shared" si="98"/>
        <v>69.846510492923258</v>
      </c>
      <c r="K276" s="39">
        <f t="shared" si="99"/>
        <v>76.612737920937064</v>
      </c>
      <c r="L276" s="39">
        <f t="shared" si="100"/>
        <v>72.870180575890672</v>
      </c>
      <c r="M276" s="39">
        <f t="shared" si="101"/>
        <v>52.922157149829168</v>
      </c>
      <c r="N276" s="39">
        <f t="shared" si="102"/>
        <v>39.256954612005721</v>
      </c>
      <c r="O276" s="39"/>
      <c r="P276" s="39">
        <f t="shared" si="103"/>
        <v>46.561493411420152</v>
      </c>
      <c r="Q276" s="39">
        <f t="shared" si="104"/>
        <v>46.78965348950706</v>
      </c>
      <c r="R276" s="39">
        <f t="shared" si="105"/>
        <v>41.853343094192368</v>
      </c>
      <c r="S276" s="39">
        <f t="shared" si="106"/>
        <v>40.499999999999901</v>
      </c>
      <c r="T276" s="39">
        <f t="shared" si="107"/>
        <v>40.559053196681447</v>
      </c>
      <c r="U276" s="39">
        <f t="shared" si="108"/>
        <v>36.22645192776973</v>
      </c>
      <c r="V276" s="39">
        <f t="shared" si="109"/>
        <v>50.79331381161542</v>
      </c>
      <c r="W276" s="39">
        <f t="shared" si="110"/>
        <v>55.144216691068699</v>
      </c>
      <c r="X276" s="39">
        <f t="shared" si="111"/>
        <v>44.523914104441339</v>
      </c>
      <c r="Y276" s="39">
        <f t="shared" si="112"/>
        <v>48.504636408003897</v>
      </c>
      <c r="Z276" s="39">
        <f t="shared" si="113"/>
        <v>49.640068326012731</v>
      </c>
      <c r="AA276" s="39">
        <f t="shared" si="114"/>
        <v>50.561249389946383</v>
      </c>
      <c r="AB276" s="38"/>
      <c r="AE276" s="15">
        <v>2.361111111111111E-2</v>
      </c>
      <c r="AF276" s="14">
        <f t="shared" si="115"/>
        <v>2040</v>
      </c>
      <c r="AG276" s="8">
        <v>2.0577000000000001</v>
      </c>
      <c r="AH276" s="8">
        <v>2.0379999999999998</v>
      </c>
      <c r="AI276" s="8">
        <v>2.0455000000000001</v>
      </c>
      <c r="AJ276" s="8">
        <v>2.0335999999999999</v>
      </c>
      <c r="AK276" s="8">
        <v>2.0337000000000001</v>
      </c>
      <c r="AL276" s="8">
        <v>2.0384000000000002</v>
      </c>
      <c r="AM276" s="8">
        <v>1.9612000000000001</v>
      </c>
      <c r="AN276" s="8">
        <v>1.9414</v>
      </c>
      <c r="AO276" s="8">
        <v>1.9134</v>
      </c>
      <c r="AP276" s="8">
        <v>1.9354</v>
      </c>
      <c r="AQ276" s="8">
        <v>1.9763999999999999</v>
      </c>
      <c r="AR276" s="8">
        <v>1.9648000000000001</v>
      </c>
      <c r="AS276" s="8">
        <v>2.0133999999999999</v>
      </c>
      <c r="AT276" s="8">
        <v>2.0087999999999999</v>
      </c>
      <c r="AU276" s="8">
        <v>2.0331999999999999</v>
      </c>
      <c r="AV276" s="8">
        <v>2.0278</v>
      </c>
      <c r="AW276" s="8">
        <v>2.0318000000000001</v>
      </c>
      <c r="AX276" s="8">
        <v>2.0099999999999998</v>
      </c>
      <c r="AY276" s="8">
        <v>2.0007000000000001</v>
      </c>
      <c r="AZ276" s="8">
        <v>1.9919</v>
      </c>
      <c r="BA276" s="8">
        <v>2.0036</v>
      </c>
      <c r="BB276" s="8">
        <v>2.0057</v>
      </c>
      <c r="BC276" s="8">
        <v>2.0034999999999998</v>
      </c>
      <c r="BD276" s="8">
        <v>1.9722</v>
      </c>
    </row>
    <row r="277" spans="2:56" s="13" customFormat="1" x14ac:dyDescent="0.3">
      <c r="B277" s="35">
        <f t="shared" si="116"/>
        <v>2048</v>
      </c>
      <c r="C277" s="39">
        <f t="shared" ref="C277:C340" si="117">((C$9-AG277-($A$5*$A$9*((C$3/10^6)-((C$3/10^6)*EXP(-1*$A$11*$B277)))))/(($A$5+$A$7)*$A$9))*10^6</f>
        <v>22.419960956564228</v>
      </c>
      <c r="D277" s="39">
        <f t="shared" ref="D277:D340" si="118">((D$9-AH277-($A$5*$A$9*((D$3/10^6)-((D$3/10^6)*EXP(-1*$A$11*$B277)))))/(($A$5+$A$7)*$A$9))*10^6</f>
        <v>24.157637872132728</v>
      </c>
      <c r="E277" s="39">
        <f t="shared" ref="E277:E340" si="119">((E$9-AI277-($A$5*$A$9*((E$3/10^6)-((E$3/10^6)*EXP(-1*$A$11*$B277)))))/(($A$5+$A$7)*$A$9))*10^6</f>
        <v>29.706198145436868</v>
      </c>
      <c r="F277" s="39">
        <f t="shared" ref="F277:F340" si="120">((F$9-AJ277-($A$5*$A$9*((F$3/10^6)-((F$3/10^6)*EXP(-1*$A$11*$B277)))))/(($A$5+$A$7)*$A$9))*10^6</f>
        <v>28.913128355295232</v>
      </c>
      <c r="G277" s="39">
        <f t="shared" ref="G277:G340" si="121">((G$9-AK277-($A$5*$A$9*((G$3/10^6)-((G$3/10^6)*EXP(-1*$A$11*$B277)))))/(($A$5+$A$7)*$A$9))*10^6</f>
        <v>34.633967789165311</v>
      </c>
      <c r="H277" s="39">
        <f t="shared" ref="H277:H340" si="122">((H$9-AL277-($A$5*$A$9*((H$3/10^6)-((H$3/10^6)*EXP(-1*$A$11*$B277)))))/(($A$5+$A$7)*$A$9))*10^6</f>
        <v>30.105905319668153</v>
      </c>
      <c r="I277" s="39">
        <f t="shared" ref="I277:I340" si="123">((I$9-AM277-($A$5*$A$9*((I$3/10^6)-((I$3/10^6)*EXP(-1*$A$11*$B277)))))/(($A$5+$A$7)*$A$9))*10^6</f>
        <v>59.687896534895145</v>
      </c>
      <c r="J277" s="40">
        <f t="shared" ref="J277:J340" si="124">((J$9-AN277-($A$5*$A$9*((J$3/10^6)-((J$3/10^6)*EXP(-1*$A$11*$B277)))))/(($A$5+$A$7)*$A$9))*10^6</f>
        <v>70.432162030258567</v>
      </c>
      <c r="K277" s="39">
        <f t="shared" ref="K277:K340" si="125">((K$9-AO277-($A$5*$A$9*((K$3/10^6)-((K$3/10^6)*EXP(-1*$A$11*$B277)))))/(($A$5+$A$7)*$A$9))*10^6</f>
        <v>76.563933626159141</v>
      </c>
      <c r="L277" s="39">
        <f t="shared" ref="L277:L340" si="126">((L$9-AP277-($A$5*$A$9*((L$3/10^6)-((L$3/10^6)*EXP(-1*$A$11*$B277)))))/(($A$5+$A$7)*$A$9))*10^6</f>
        <v>72.577354807223045</v>
      </c>
      <c r="M277" s="39">
        <f t="shared" ref="M277:M340" si="127">((M$9-AQ277-($A$5*$A$9*((M$3/10^6)-((M$3/10^6)*EXP(-1*$A$11*$B277)))))/(($A$5+$A$7)*$A$9))*10^6</f>
        <v>52.922157149829168</v>
      </c>
      <c r="N277" s="39">
        <f t="shared" ref="N277:N340" si="128">((N$9-AR277-($A$5*$A$9*((N$3/10^6)-((N$3/10^6)*EXP(-1*$A$11*$B277)))))/(($A$5+$A$7)*$A$9))*10^6</f>
        <v>40.184236212786594</v>
      </c>
      <c r="O277" s="39"/>
      <c r="P277" s="39">
        <f t="shared" ref="P277:P340" si="129">((P$9-AS277-($A$5*$A$9*((P$3/10^6)-((P$3/10^6)*EXP(-1*$A$13*$B277)))))/(($A$5+$A$7)*$A$9))*10^6</f>
        <v>47.391166422645156</v>
      </c>
      <c r="Q277" s="39">
        <f t="shared" ref="Q277:Q340" si="130">((Q$9-AT277-($A$5*$A$9*((Q$3/10^6)-((Q$3/10^6)*EXP(-1*$A$13*$B277)))))/(($A$5+$A$7)*$A$9))*10^6</f>
        <v>46.643240605173141</v>
      </c>
      <c r="R277" s="39">
        <f t="shared" ref="R277:R340" si="131">((R$9-AU277-($A$5*$A$9*((R$3/10^6)-((R$3/10^6)*EXP(-1*$A$13*$B277)))))/(($A$5+$A$7)*$A$9))*10^6</f>
        <v>41.999755978526061</v>
      </c>
      <c r="S277" s="39">
        <f t="shared" ref="S277:S340" si="132">((S$9-AV277-($A$5*$A$9*((S$3/10^6)-((S$3/10^6)*EXP(-1*$A$13*$B277)))))/(($A$5+$A$7)*$A$9))*10^6</f>
        <v>40.939238653001425</v>
      </c>
      <c r="T277" s="39">
        <f t="shared" ref="T277:T340" si="133">((T$9-AW277-($A$5*$A$9*((T$3/10^6)-((T$3/10^6)*EXP(-1*$A$13*$B277)))))/(($A$5+$A$7)*$A$9))*10^6</f>
        <v>41.632747681796232</v>
      </c>
      <c r="U277" s="39">
        <f t="shared" ref="U277:U340" si="134">((U$9-AX277-($A$5*$A$9*((U$3/10^6)-((U$3/10^6)*EXP(-1*$A$13*$B277)))))/(($A$5+$A$7)*$A$9))*10^6</f>
        <v>36.714494875549086</v>
      </c>
      <c r="V277" s="39">
        <f t="shared" ref="V277:V340" si="135">((V$9-AY277-($A$5*$A$9*((V$3/10^6)-((V$3/10^6)*EXP(-1*$A$13*$B277)))))/(($A$5+$A$7)*$A$9))*10^6</f>
        <v>51.525378233284549</v>
      </c>
      <c r="W277" s="39">
        <f t="shared" ref="W277:W340" si="136">((W$9-AZ277-($A$5*$A$9*((W$3/10^6)-((W$3/10^6)*EXP(-1*$A$13*$B277)))))/(($A$5+$A$7)*$A$9))*10^6</f>
        <v>55.437042459736311</v>
      </c>
      <c r="X277" s="39">
        <f t="shared" ref="X277:X340" si="137">((X$9-BA277-($A$5*$A$9*((X$3/10^6)-((X$3/10^6)*EXP(-1*$A$13*$B277)))))/(($A$5+$A$7)*$A$9))*10^6</f>
        <v>44.426305514885463</v>
      </c>
      <c r="Y277" s="39">
        <f t="shared" ref="Y277:Y340" si="138">((Y$9-BB277-($A$5*$A$9*((Y$3/10^6)-((Y$3/10^6)*EXP(-1*$A$13*$B277)))))/(($A$5+$A$7)*$A$9))*10^6</f>
        <v>48.260614934114109</v>
      </c>
      <c r="Z277" s="39">
        <f t="shared" ref="Z277:Z340" si="139">((Z$9-BC277-($A$5*$A$9*((Z$3/10^6)-((Z$3/10^6)*EXP(-1*$A$13*$B277)))))/(($A$5+$A$7)*$A$9))*10^6</f>
        <v>50.518545632015567</v>
      </c>
      <c r="AA277" s="39">
        <f t="shared" ref="AA277:AA340" si="140">((AA$9-BD277-($A$5*$A$9*((AA$3/10^6)-((AA$3/10^6)*EXP(-1*$A$13*$B277)))))/(($A$5+$A$7)*$A$9))*10^6</f>
        <v>50.366032210834639</v>
      </c>
      <c r="AB277" s="38"/>
      <c r="AE277" s="15">
        <v>2.3703703703703703E-2</v>
      </c>
      <c r="AF277" s="14">
        <f t="shared" si="115"/>
        <v>2048</v>
      </c>
      <c r="AG277" s="8">
        <v>2.0583999999999998</v>
      </c>
      <c r="AH277" s="8">
        <v>2.0396000000000001</v>
      </c>
      <c r="AI277" s="8">
        <v>2.0455999999999999</v>
      </c>
      <c r="AJ277" s="8">
        <v>2.0350000000000001</v>
      </c>
      <c r="AK277" s="8">
        <v>2.0335000000000001</v>
      </c>
      <c r="AL277" s="8">
        <v>2.0367000000000002</v>
      </c>
      <c r="AM277" s="8">
        <v>1.9621</v>
      </c>
      <c r="AN277" s="8">
        <v>1.9401999999999999</v>
      </c>
      <c r="AO277" s="8">
        <v>1.9135</v>
      </c>
      <c r="AP277" s="8">
        <v>1.9359999999999999</v>
      </c>
      <c r="AQ277" s="8">
        <v>1.9763999999999999</v>
      </c>
      <c r="AR277" s="8">
        <v>1.9629000000000001</v>
      </c>
      <c r="AS277" s="8">
        <v>2.0116999999999998</v>
      </c>
      <c r="AT277" s="8">
        <v>2.0091000000000001</v>
      </c>
      <c r="AU277" s="8">
        <v>2.0329000000000002</v>
      </c>
      <c r="AV277" s="8">
        <v>2.0268999999999999</v>
      </c>
      <c r="AW277" s="8">
        <v>2.0295999999999998</v>
      </c>
      <c r="AX277" s="8">
        <v>2.0089999999999999</v>
      </c>
      <c r="AY277" s="8">
        <v>1.9992000000000001</v>
      </c>
      <c r="AZ277" s="8">
        <v>1.9913000000000001</v>
      </c>
      <c r="BA277" s="8">
        <v>2.0038</v>
      </c>
      <c r="BB277" s="8">
        <v>2.0062000000000002</v>
      </c>
      <c r="BC277" s="8">
        <v>2.0017</v>
      </c>
      <c r="BD277" s="8">
        <v>1.9725999999999999</v>
      </c>
    </row>
    <row r="278" spans="2:56" s="13" customFormat="1" x14ac:dyDescent="0.3">
      <c r="B278" s="35">
        <f t="shared" si="116"/>
        <v>2056</v>
      </c>
      <c r="C278" s="39">
        <f t="shared" si="117"/>
        <v>23.347242557344888</v>
      </c>
      <c r="D278" s="39">
        <f t="shared" si="118"/>
        <v>24.987310883357733</v>
      </c>
      <c r="E278" s="39">
        <f t="shared" si="119"/>
        <v>29.41337237676926</v>
      </c>
      <c r="F278" s="39">
        <f t="shared" si="120"/>
        <v>29.498779892630672</v>
      </c>
      <c r="G278" s="39">
        <f t="shared" si="121"/>
        <v>34.731576378721179</v>
      </c>
      <c r="H278" s="39">
        <f t="shared" si="122"/>
        <v>30.789165446559462</v>
      </c>
      <c r="I278" s="39">
        <f t="shared" si="123"/>
        <v>59.785505124451014</v>
      </c>
      <c r="J278" s="40">
        <f t="shared" si="124"/>
        <v>69.651293313811493</v>
      </c>
      <c r="K278" s="39">
        <f t="shared" si="125"/>
        <v>77.588823816495875</v>
      </c>
      <c r="L278" s="39">
        <f t="shared" si="126"/>
        <v>72.284529038555334</v>
      </c>
      <c r="M278" s="39">
        <f t="shared" si="127"/>
        <v>52.141288433382101</v>
      </c>
      <c r="N278" s="39">
        <f t="shared" si="128"/>
        <v>39.842606149341051</v>
      </c>
      <c r="O278" s="39"/>
      <c r="P278" s="39">
        <f t="shared" si="129"/>
        <v>46.463884821864283</v>
      </c>
      <c r="Q278" s="39">
        <f t="shared" si="130"/>
        <v>46.984870668618797</v>
      </c>
      <c r="R278" s="39">
        <f t="shared" si="131"/>
        <v>42.048560273304105</v>
      </c>
      <c r="S278" s="39">
        <f t="shared" si="132"/>
        <v>40.939238653001425</v>
      </c>
      <c r="T278" s="39">
        <f t="shared" si="133"/>
        <v>41.632747681796232</v>
      </c>
      <c r="U278" s="39">
        <f t="shared" si="134"/>
        <v>35.787213274768206</v>
      </c>
      <c r="V278" s="39">
        <f t="shared" si="135"/>
        <v>51.671791117618461</v>
      </c>
      <c r="W278" s="39">
        <f t="shared" si="136"/>
        <v>55.144216691068699</v>
      </c>
      <c r="X278" s="39">
        <f t="shared" si="137"/>
        <v>44.084675451439807</v>
      </c>
      <c r="Y278" s="39">
        <f t="shared" si="138"/>
        <v>48.602244997559765</v>
      </c>
      <c r="Z278" s="39">
        <f t="shared" si="139"/>
        <v>49.444851146900994</v>
      </c>
      <c r="AA278" s="39">
        <f t="shared" si="140"/>
        <v>50.658857979502251</v>
      </c>
      <c r="AB278" s="38"/>
      <c r="AE278" s="15">
        <v>2.3796296296296298E-2</v>
      </c>
      <c r="AF278" s="14">
        <f t="shared" ref="AF278:AF341" si="141">AE278*24*60*60</f>
        <v>2056</v>
      </c>
      <c r="AG278" s="8">
        <v>2.0565000000000002</v>
      </c>
      <c r="AH278" s="8">
        <v>2.0379</v>
      </c>
      <c r="AI278" s="8">
        <v>2.0461999999999998</v>
      </c>
      <c r="AJ278" s="8">
        <v>2.0337999999999998</v>
      </c>
      <c r="AK278" s="8">
        <v>2.0333000000000001</v>
      </c>
      <c r="AL278" s="8">
        <v>2.0352999999999999</v>
      </c>
      <c r="AM278" s="8">
        <v>1.9619</v>
      </c>
      <c r="AN278" s="8">
        <v>1.9418</v>
      </c>
      <c r="AO278" s="8">
        <v>1.9114</v>
      </c>
      <c r="AP278" s="8">
        <v>1.9366000000000001</v>
      </c>
      <c r="AQ278" s="8">
        <v>1.978</v>
      </c>
      <c r="AR278" s="8">
        <v>1.9636</v>
      </c>
      <c r="AS278" s="8">
        <v>2.0135999999999998</v>
      </c>
      <c r="AT278" s="8">
        <v>2.0084</v>
      </c>
      <c r="AU278" s="8">
        <v>2.0327999999999999</v>
      </c>
      <c r="AV278" s="8">
        <v>2.0268999999999999</v>
      </c>
      <c r="AW278" s="8">
        <v>2.0295999999999998</v>
      </c>
      <c r="AX278" s="8">
        <v>2.0108999999999999</v>
      </c>
      <c r="AY278" s="8">
        <v>1.9988999999999999</v>
      </c>
      <c r="AZ278" s="8">
        <v>1.9919</v>
      </c>
      <c r="BA278" s="8">
        <v>2.0045000000000002</v>
      </c>
      <c r="BB278" s="8">
        <v>2.0055000000000001</v>
      </c>
      <c r="BC278" s="8">
        <v>2.0038999999999998</v>
      </c>
      <c r="BD278" s="8">
        <v>1.972</v>
      </c>
    </row>
    <row r="279" spans="2:56" s="13" customFormat="1" x14ac:dyDescent="0.3">
      <c r="B279" s="35">
        <f t="shared" si="116"/>
        <v>2064</v>
      </c>
      <c r="C279" s="39">
        <f t="shared" si="117"/>
        <v>22.615178135675968</v>
      </c>
      <c r="D279" s="39">
        <f t="shared" si="118"/>
        <v>24.304050756466644</v>
      </c>
      <c r="E279" s="39">
        <f t="shared" si="119"/>
        <v>29.852611029770564</v>
      </c>
      <c r="F279" s="39">
        <f t="shared" si="120"/>
        <v>28.669106881405664</v>
      </c>
      <c r="G279" s="39">
        <f t="shared" si="121"/>
        <v>34.341142020497699</v>
      </c>
      <c r="H279" s="39">
        <f t="shared" si="122"/>
        <v>30.154709614446197</v>
      </c>
      <c r="I279" s="39">
        <f t="shared" si="123"/>
        <v>58.809419228892203</v>
      </c>
      <c r="J279" s="40">
        <f t="shared" si="124"/>
        <v>70.041727672034995</v>
      </c>
      <c r="K279" s="39">
        <f t="shared" si="125"/>
        <v>76.954367984382614</v>
      </c>
      <c r="L279" s="39">
        <f t="shared" si="126"/>
        <v>73.407027818448057</v>
      </c>
      <c r="M279" s="39">
        <f t="shared" si="127"/>
        <v>53.361395802830579</v>
      </c>
      <c r="N279" s="39">
        <f t="shared" si="128"/>
        <v>39.647388970229308</v>
      </c>
      <c r="O279" s="39"/>
      <c r="P279" s="39">
        <f t="shared" si="129"/>
        <v>46.65910200097602</v>
      </c>
      <c r="Q279" s="39">
        <f t="shared" si="130"/>
        <v>46.838457784284877</v>
      </c>
      <c r="R279" s="39">
        <f t="shared" si="131"/>
        <v>41.60932162030258</v>
      </c>
      <c r="S279" s="39">
        <f t="shared" si="132"/>
        <v>40.744021473889681</v>
      </c>
      <c r="T279" s="39">
        <f t="shared" si="133"/>
        <v>40.998291849682964</v>
      </c>
      <c r="U279" s="39">
        <f t="shared" si="134"/>
        <v>36.080039043435825</v>
      </c>
      <c r="V279" s="39">
        <f t="shared" si="135"/>
        <v>51.96461688628608</v>
      </c>
      <c r="W279" s="39">
        <f t="shared" si="136"/>
        <v>55.339433870180443</v>
      </c>
      <c r="X279" s="39">
        <f t="shared" si="137"/>
        <v>45.54880429477808</v>
      </c>
      <c r="Y279" s="39">
        <f t="shared" si="138"/>
        <v>48.89507076622737</v>
      </c>
      <c r="Z279" s="39">
        <f t="shared" si="139"/>
        <v>49.493655441678818</v>
      </c>
      <c r="AA279" s="39">
        <f t="shared" si="140"/>
        <v>51.878965348950743</v>
      </c>
      <c r="AB279" s="38"/>
      <c r="AE279" s="15">
        <v>2.388888888888889E-2</v>
      </c>
      <c r="AF279" s="14">
        <f t="shared" si="141"/>
        <v>2064</v>
      </c>
      <c r="AG279" s="8">
        <v>2.0579999999999998</v>
      </c>
      <c r="AH279" s="8">
        <v>2.0392999999999999</v>
      </c>
      <c r="AI279" s="8">
        <v>2.0453000000000001</v>
      </c>
      <c r="AJ279" s="8">
        <v>2.0354999999999999</v>
      </c>
      <c r="AK279" s="8">
        <v>2.0341</v>
      </c>
      <c r="AL279" s="8">
        <v>2.0366</v>
      </c>
      <c r="AM279" s="8">
        <v>1.9639</v>
      </c>
      <c r="AN279" s="8">
        <v>1.9410000000000001</v>
      </c>
      <c r="AO279" s="8">
        <v>1.9127000000000001</v>
      </c>
      <c r="AP279" s="8">
        <v>1.9342999999999999</v>
      </c>
      <c r="AQ279" s="8">
        <v>1.9755</v>
      </c>
      <c r="AR279" s="8">
        <v>1.964</v>
      </c>
      <c r="AS279" s="8">
        <v>2.0131999999999999</v>
      </c>
      <c r="AT279" s="8">
        <v>2.0087000000000002</v>
      </c>
      <c r="AU279" s="8">
        <v>2.0337000000000001</v>
      </c>
      <c r="AV279" s="8">
        <v>2.0272999999999999</v>
      </c>
      <c r="AW279" s="8">
        <v>2.0308999999999999</v>
      </c>
      <c r="AX279" s="8">
        <v>2.0103</v>
      </c>
      <c r="AY279" s="8">
        <v>1.9983</v>
      </c>
      <c r="AZ279" s="8">
        <v>1.9915</v>
      </c>
      <c r="BA279" s="8">
        <v>2.0015000000000001</v>
      </c>
      <c r="BB279" s="8">
        <v>2.0049000000000001</v>
      </c>
      <c r="BC279" s="8">
        <v>2.0038</v>
      </c>
      <c r="BD279" s="8">
        <v>1.9695</v>
      </c>
    </row>
    <row r="280" spans="2:56" s="13" customFormat="1" x14ac:dyDescent="0.3">
      <c r="B280" s="35">
        <f t="shared" si="116"/>
        <v>2072</v>
      </c>
      <c r="C280" s="39">
        <f t="shared" si="117"/>
        <v>22.371156661786184</v>
      </c>
      <c r="D280" s="39">
        <f t="shared" si="118"/>
        <v>25.280136652025345</v>
      </c>
      <c r="E280" s="39">
        <f t="shared" si="119"/>
        <v>30.145436798438176</v>
      </c>
      <c r="F280" s="39">
        <f t="shared" si="120"/>
        <v>29.108345534406975</v>
      </c>
      <c r="G280" s="39">
        <f t="shared" si="121"/>
        <v>34.780380673499224</v>
      </c>
      <c r="H280" s="39">
        <f t="shared" si="122"/>
        <v>28.983406539775537</v>
      </c>
      <c r="I280" s="39">
        <f t="shared" si="123"/>
        <v>59.053440702781877</v>
      </c>
      <c r="J280" s="40">
        <f t="shared" si="124"/>
        <v>70.480966325036505</v>
      </c>
      <c r="K280" s="39">
        <f t="shared" si="125"/>
        <v>76.515129331381203</v>
      </c>
      <c r="L280" s="39">
        <f t="shared" si="126"/>
        <v>73.504636408003918</v>
      </c>
      <c r="M280" s="39">
        <f t="shared" si="127"/>
        <v>53.410200097608517</v>
      </c>
      <c r="N280" s="39">
        <f t="shared" si="128"/>
        <v>40.769887750121924</v>
      </c>
      <c r="O280" s="39"/>
      <c r="P280" s="39">
        <f t="shared" si="129"/>
        <v>46.65910200097602</v>
      </c>
      <c r="Q280" s="39">
        <f t="shared" si="130"/>
        <v>47.375305026842277</v>
      </c>
      <c r="R280" s="39">
        <f t="shared" si="131"/>
        <v>42.146168862859973</v>
      </c>
      <c r="S280" s="39">
        <f t="shared" si="132"/>
        <v>40.646412884333813</v>
      </c>
      <c r="T280" s="39">
        <f t="shared" si="133"/>
        <v>40.754270375793183</v>
      </c>
      <c r="U280" s="39">
        <f t="shared" si="134"/>
        <v>36.177647632991693</v>
      </c>
      <c r="V280" s="39">
        <f t="shared" si="135"/>
        <v>51.086139580283024</v>
      </c>
      <c r="W280" s="39">
        <f t="shared" si="136"/>
        <v>55.437042459736311</v>
      </c>
      <c r="X280" s="39">
        <f t="shared" si="137"/>
        <v>45.1583699365546</v>
      </c>
      <c r="Y280" s="39">
        <f t="shared" si="138"/>
        <v>49.139092240117151</v>
      </c>
      <c r="Z280" s="39">
        <f t="shared" si="139"/>
        <v>50.225719863347955</v>
      </c>
      <c r="AA280" s="39">
        <f t="shared" si="140"/>
        <v>51.390922401171387</v>
      </c>
      <c r="AB280" s="38"/>
      <c r="AE280" s="15">
        <v>2.3981481481481479E-2</v>
      </c>
      <c r="AF280" s="14">
        <f t="shared" si="141"/>
        <v>2072</v>
      </c>
      <c r="AG280" s="8">
        <v>2.0585</v>
      </c>
      <c r="AH280" s="8">
        <v>2.0373000000000001</v>
      </c>
      <c r="AI280" s="8">
        <v>2.0447000000000002</v>
      </c>
      <c r="AJ280" s="8">
        <v>2.0346000000000002</v>
      </c>
      <c r="AK280" s="8">
        <v>2.0331999999999999</v>
      </c>
      <c r="AL280" s="8">
        <v>2.0390000000000001</v>
      </c>
      <c r="AM280" s="8">
        <v>1.9634</v>
      </c>
      <c r="AN280" s="8">
        <v>1.9400999999999999</v>
      </c>
      <c r="AO280" s="8">
        <v>1.9136</v>
      </c>
      <c r="AP280" s="8">
        <v>1.9340999999999999</v>
      </c>
      <c r="AQ280" s="8">
        <v>1.9754</v>
      </c>
      <c r="AR280" s="8">
        <v>1.9617</v>
      </c>
      <c r="AS280" s="8">
        <v>2.0131999999999999</v>
      </c>
      <c r="AT280" s="8">
        <v>2.0076000000000001</v>
      </c>
      <c r="AU280" s="8">
        <v>2.0326</v>
      </c>
      <c r="AV280" s="8">
        <v>2.0274999999999999</v>
      </c>
      <c r="AW280" s="8">
        <v>2.0314000000000001</v>
      </c>
      <c r="AX280" s="8">
        <v>2.0101</v>
      </c>
      <c r="AY280" s="8">
        <v>2.0001000000000002</v>
      </c>
      <c r="AZ280" s="8">
        <v>1.9913000000000001</v>
      </c>
      <c r="BA280" s="8">
        <v>2.0023</v>
      </c>
      <c r="BB280" s="8">
        <v>2.0044</v>
      </c>
      <c r="BC280" s="8">
        <v>2.0023</v>
      </c>
      <c r="BD280" s="8">
        <v>1.9704999999999999</v>
      </c>
    </row>
    <row r="281" spans="2:56" s="13" customFormat="1" x14ac:dyDescent="0.3">
      <c r="B281" s="35">
        <f t="shared" si="116"/>
        <v>2080</v>
      </c>
      <c r="C281" s="39">
        <f t="shared" si="117"/>
        <v>21.785505124450964</v>
      </c>
      <c r="D281" s="39">
        <f t="shared" si="118"/>
        <v>24.450463640800336</v>
      </c>
      <c r="E281" s="39">
        <f t="shared" si="119"/>
        <v>29.80380673499274</v>
      </c>
      <c r="F281" s="39">
        <f t="shared" si="120"/>
        <v>28.815519765739364</v>
      </c>
      <c r="G281" s="39">
        <f t="shared" si="121"/>
        <v>33.755490483162475</v>
      </c>
      <c r="H281" s="39">
        <f t="shared" si="122"/>
        <v>29.227428013665321</v>
      </c>
      <c r="I281" s="39">
        <f t="shared" si="123"/>
        <v>60.322352367008293</v>
      </c>
      <c r="J281" s="40">
        <f t="shared" si="124"/>
        <v>70.236944851146731</v>
      </c>
      <c r="K281" s="39">
        <f t="shared" si="125"/>
        <v>77.051976573938489</v>
      </c>
      <c r="L281" s="39">
        <f t="shared" si="126"/>
        <v>73.699853587115669</v>
      </c>
      <c r="M281" s="39">
        <f t="shared" si="127"/>
        <v>53.507808687164385</v>
      </c>
      <c r="N281" s="39">
        <f t="shared" si="128"/>
        <v>40.867496339677793</v>
      </c>
      <c r="O281" s="39"/>
      <c r="P281" s="39">
        <f t="shared" si="129"/>
        <v>46.268667642752547</v>
      </c>
      <c r="Q281" s="39">
        <f t="shared" si="130"/>
        <v>47.180087847730533</v>
      </c>
      <c r="R281" s="39">
        <f t="shared" si="131"/>
        <v>41.60932162030258</v>
      </c>
      <c r="S281" s="39">
        <f t="shared" si="132"/>
        <v>41.036847242557293</v>
      </c>
      <c r="T281" s="39">
        <f t="shared" si="133"/>
        <v>41.681551976574056</v>
      </c>
      <c r="U281" s="39">
        <f t="shared" si="134"/>
        <v>37.495363591996039</v>
      </c>
      <c r="V281" s="39">
        <f t="shared" si="135"/>
        <v>53.184724255734558</v>
      </c>
      <c r="W281" s="39">
        <f t="shared" si="136"/>
        <v>55.681063933626099</v>
      </c>
      <c r="X281" s="39">
        <f t="shared" si="137"/>
        <v>44.426305514885463</v>
      </c>
      <c r="Y281" s="39">
        <f t="shared" si="138"/>
        <v>48.602244997559765</v>
      </c>
      <c r="Z281" s="39">
        <f t="shared" si="139"/>
        <v>50.128111273792086</v>
      </c>
      <c r="AA281" s="39">
        <f t="shared" si="140"/>
        <v>50.902879453391925</v>
      </c>
      <c r="AB281" s="38"/>
      <c r="AE281" s="15">
        <v>2.4074074074074071E-2</v>
      </c>
      <c r="AF281" s="14">
        <f t="shared" si="141"/>
        <v>2080</v>
      </c>
      <c r="AG281" s="8">
        <v>2.0596999999999999</v>
      </c>
      <c r="AH281" s="8">
        <v>2.0390000000000001</v>
      </c>
      <c r="AI281" s="8">
        <v>2.0453999999999999</v>
      </c>
      <c r="AJ281" s="8">
        <v>2.0352000000000001</v>
      </c>
      <c r="AK281" s="8">
        <v>2.0352999999999999</v>
      </c>
      <c r="AL281" s="8">
        <v>2.0385</v>
      </c>
      <c r="AM281" s="8">
        <v>1.9608000000000001</v>
      </c>
      <c r="AN281" s="8">
        <v>1.9406000000000001</v>
      </c>
      <c r="AO281" s="8">
        <v>1.9125000000000001</v>
      </c>
      <c r="AP281" s="8">
        <v>1.9337</v>
      </c>
      <c r="AQ281" s="8">
        <v>1.9752000000000001</v>
      </c>
      <c r="AR281" s="8">
        <v>1.9615</v>
      </c>
      <c r="AS281" s="8">
        <v>2.0139999999999998</v>
      </c>
      <c r="AT281" s="8">
        <v>2.008</v>
      </c>
      <c r="AU281" s="8">
        <v>2.0337000000000001</v>
      </c>
      <c r="AV281" s="8">
        <v>2.0266999999999999</v>
      </c>
      <c r="AW281" s="8">
        <v>2.0295000000000001</v>
      </c>
      <c r="AX281" s="8">
        <v>2.0074000000000001</v>
      </c>
      <c r="AY281" s="8">
        <v>1.9958</v>
      </c>
      <c r="AZ281" s="8">
        <v>1.9907999999999999</v>
      </c>
      <c r="BA281" s="8">
        <v>2.0038</v>
      </c>
      <c r="BB281" s="8">
        <v>2.0055000000000001</v>
      </c>
      <c r="BC281" s="8">
        <v>2.0024999999999999</v>
      </c>
      <c r="BD281" s="8">
        <v>1.9715</v>
      </c>
    </row>
    <row r="282" spans="2:56" s="13" customFormat="1" x14ac:dyDescent="0.3">
      <c r="B282" s="35">
        <f t="shared" si="116"/>
        <v>2088</v>
      </c>
      <c r="C282" s="39">
        <f t="shared" si="117"/>
        <v>22.956808199121404</v>
      </c>
      <c r="D282" s="39">
        <f t="shared" si="118"/>
        <v>24.2552464616886</v>
      </c>
      <c r="E282" s="39">
        <f t="shared" si="119"/>
        <v>30.145436798438176</v>
      </c>
      <c r="F282" s="39">
        <f t="shared" si="120"/>
        <v>29.449975597852628</v>
      </c>
      <c r="G282" s="39">
        <f t="shared" si="121"/>
        <v>34.829184968277055</v>
      </c>
      <c r="H282" s="39">
        <f t="shared" si="122"/>
        <v>30.252318204002069</v>
      </c>
      <c r="I282" s="39">
        <f t="shared" si="123"/>
        <v>59.639092240117208</v>
      </c>
      <c r="J282" s="40">
        <f t="shared" si="124"/>
        <v>70.871400683259992</v>
      </c>
      <c r="K282" s="39">
        <f t="shared" si="125"/>
        <v>78.467301122498824</v>
      </c>
      <c r="L282" s="39">
        <f t="shared" si="126"/>
        <v>73.602244997559808</v>
      </c>
      <c r="M282" s="39">
        <f t="shared" si="127"/>
        <v>53.263787213274711</v>
      </c>
      <c r="N282" s="39">
        <f t="shared" si="128"/>
        <v>40.233040507564525</v>
      </c>
      <c r="O282" s="39"/>
      <c r="P282" s="39">
        <f t="shared" si="129"/>
        <v>45.341386041971667</v>
      </c>
      <c r="Q282" s="39">
        <f t="shared" si="130"/>
        <v>47.277696437286409</v>
      </c>
      <c r="R282" s="39">
        <f t="shared" si="131"/>
        <v>42.097364568081936</v>
      </c>
      <c r="S282" s="39">
        <f t="shared" si="132"/>
        <v>40.646412884333813</v>
      </c>
      <c r="T282" s="39">
        <f t="shared" si="133"/>
        <v>40.998291849682964</v>
      </c>
      <c r="U282" s="39">
        <f t="shared" si="134"/>
        <v>36.568081991215166</v>
      </c>
      <c r="V282" s="39">
        <f t="shared" si="135"/>
        <v>51.867008296730205</v>
      </c>
      <c r="W282" s="39">
        <f t="shared" si="136"/>
        <v>55.437042459736311</v>
      </c>
      <c r="X282" s="39">
        <f t="shared" si="137"/>
        <v>44.572718399219376</v>
      </c>
      <c r="Y282" s="39">
        <f t="shared" si="138"/>
        <v>49.529526598340638</v>
      </c>
      <c r="Z282" s="39">
        <f t="shared" si="139"/>
        <v>49.688872620790562</v>
      </c>
      <c r="AA282" s="39">
        <f t="shared" si="140"/>
        <v>51.488530990727256</v>
      </c>
      <c r="AB282" s="38"/>
      <c r="AE282" s="15">
        <v>2.4166666666666666E-2</v>
      </c>
      <c r="AF282" s="14">
        <f t="shared" si="141"/>
        <v>2088</v>
      </c>
      <c r="AG282" s="8">
        <v>2.0573000000000001</v>
      </c>
      <c r="AH282" s="8">
        <v>2.0394000000000001</v>
      </c>
      <c r="AI282" s="8">
        <v>2.0447000000000002</v>
      </c>
      <c r="AJ282" s="8">
        <v>2.0339</v>
      </c>
      <c r="AK282" s="8">
        <v>2.0331000000000001</v>
      </c>
      <c r="AL282" s="8">
        <v>2.0364</v>
      </c>
      <c r="AM282" s="8">
        <v>1.9621999999999999</v>
      </c>
      <c r="AN282" s="8">
        <v>1.9393</v>
      </c>
      <c r="AO282" s="8">
        <v>1.9096</v>
      </c>
      <c r="AP282" s="8">
        <v>1.9339</v>
      </c>
      <c r="AQ282" s="8">
        <v>1.9757</v>
      </c>
      <c r="AR282" s="8">
        <v>1.9628000000000001</v>
      </c>
      <c r="AS282" s="8">
        <v>2.0158999999999998</v>
      </c>
      <c r="AT282" s="8">
        <v>2.0078</v>
      </c>
      <c r="AU282" s="8">
        <v>2.0327000000000002</v>
      </c>
      <c r="AV282" s="8">
        <v>2.0274999999999999</v>
      </c>
      <c r="AW282" s="8">
        <v>2.0308999999999999</v>
      </c>
      <c r="AX282" s="8">
        <v>2.0093000000000001</v>
      </c>
      <c r="AY282" s="8">
        <v>1.9984999999999999</v>
      </c>
      <c r="AZ282" s="8">
        <v>1.9913000000000001</v>
      </c>
      <c r="BA282" s="8">
        <v>2.0034999999999998</v>
      </c>
      <c r="BB282" s="8">
        <v>2.0036</v>
      </c>
      <c r="BC282" s="8">
        <v>2.0034000000000001</v>
      </c>
      <c r="BD282" s="8">
        <v>1.9702999999999999</v>
      </c>
    </row>
    <row r="283" spans="2:56" s="13" customFormat="1" x14ac:dyDescent="0.3">
      <c r="B283" s="35">
        <f t="shared" si="116"/>
        <v>2096</v>
      </c>
      <c r="C283" s="39">
        <f t="shared" si="117"/>
        <v>21.980722303562704</v>
      </c>
      <c r="D283" s="39">
        <f t="shared" si="118"/>
        <v>24.352855051244468</v>
      </c>
      <c r="E283" s="39">
        <f t="shared" si="119"/>
        <v>30.096632503660349</v>
      </c>
      <c r="F283" s="39">
        <f t="shared" si="120"/>
        <v>28.327476817960012</v>
      </c>
      <c r="G283" s="39">
        <f t="shared" si="121"/>
        <v>34.097120546607918</v>
      </c>
      <c r="H283" s="39">
        <f t="shared" si="122"/>
        <v>30.105905319668153</v>
      </c>
      <c r="I283" s="39">
        <f t="shared" si="123"/>
        <v>59.346266471449489</v>
      </c>
      <c r="J283" s="40">
        <f t="shared" si="124"/>
        <v>70.334553440702692</v>
      </c>
      <c r="K283" s="39">
        <f t="shared" si="125"/>
        <v>77.832845290385549</v>
      </c>
      <c r="L283" s="39">
        <f t="shared" si="126"/>
        <v>74.236700829672955</v>
      </c>
      <c r="M283" s="39">
        <f t="shared" si="127"/>
        <v>53.507808687164385</v>
      </c>
      <c r="N283" s="39">
        <f t="shared" si="128"/>
        <v>40.184236212786594</v>
      </c>
      <c r="O283" s="39"/>
      <c r="P283" s="39">
        <f t="shared" si="129"/>
        <v>45.780624694972978</v>
      </c>
      <c r="Q283" s="39">
        <f t="shared" si="130"/>
        <v>47.472913616398145</v>
      </c>
      <c r="R283" s="39">
        <f t="shared" si="131"/>
        <v>42.146168862859973</v>
      </c>
      <c r="S283" s="39">
        <f t="shared" si="132"/>
        <v>41.232064421669037</v>
      </c>
      <c r="T283" s="39">
        <f t="shared" si="133"/>
        <v>41.8767691556858</v>
      </c>
      <c r="U283" s="39">
        <f t="shared" si="134"/>
        <v>36.714494875549086</v>
      </c>
      <c r="V283" s="39">
        <f t="shared" si="135"/>
        <v>51.622986822840417</v>
      </c>
      <c r="W283" s="39">
        <f t="shared" si="136"/>
        <v>56.510736944850997</v>
      </c>
      <c r="X283" s="39">
        <f t="shared" si="137"/>
        <v>44.865544167886995</v>
      </c>
      <c r="Y283" s="39">
        <f t="shared" si="138"/>
        <v>50.261591020009774</v>
      </c>
      <c r="Z283" s="39">
        <f t="shared" si="139"/>
        <v>49.835285505124482</v>
      </c>
      <c r="AA283" s="39">
        <f t="shared" si="140"/>
        <v>51.195705222059537</v>
      </c>
      <c r="AB283" s="38"/>
      <c r="AE283" s="15">
        <v>2.4259259259259258E-2</v>
      </c>
      <c r="AF283" s="14">
        <f t="shared" si="141"/>
        <v>2096</v>
      </c>
      <c r="AG283" s="8">
        <v>2.0592999999999999</v>
      </c>
      <c r="AH283" s="8">
        <v>2.0392000000000001</v>
      </c>
      <c r="AI283" s="8">
        <v>2.0448</v>
      </c>
      <c r="AJ283" s="8">
        <v>2.0362</v>
      </c>
      <c r="AK283" s="8">
        <v>2.0346000000000002</v>
      </c>
      <c r="AL283" s="8">
        <v>2.0367000000000002</v>
      </c>
      <c r="AM283" s="8">
        <v>1.9628000000000001</v>
      </c>
      <c r="AN283" s="8">
        <v>1.9403999999999999</v>
      </c>
      <c r="AO283" s="8">
        <v>1.9109</v>
      </c>
      <c r="AP283" s="8">
        <v>1.9326000000000001</v>
      </c>
      <c r="AQ283" s="8">
        <v>1.9752000000000001</v>
      </c>
      <c r="AR283" s="8">
        <v>1.9629000000000001</v>
      </c>
      <c r="AS283" s="8">
        <v>2.0150000000000001</v>
      </c>
      <c r="AT283" s="8">
        <v>2.0074000000000001</v>
      </c>
      <c r="AU283" s="8">
        <v>2.0326</v>
      </c>
      <c r="AV283" s="8">
        <v>2.0263</v>
      </c>
      <c r="AW283" s="8">
        <v>2.0291000000000001</v>
      </c>
      <c r="AX283" s="8">
        <v>2.0089999999999999</v>
      </c>
      <c r="AY283" s="8">
        <v>1.9990000000000001</v>
      </c>
      <c r="AZ283" s="8">
        <v>1.9891000000000001</v>
      </c>
      <c r="BA283" s="8">
        <v>2.0028999999999999</v>
      </c>
      <c r="BB283" s="8">
        <v>2.0021</v>
      </c>
      <c r="BC283" s="8">
        <v>2.0030999999999999</v>
      </c>
      <c r="BD283" s="8">
        <v>1.9709000000000001</v>
      </c>
    </row>
    <row r="284" spans="2:56" s="13" customFormat="1" x14ac:dyDescent="0.3">
      <c r="B284" s="35">
        <f t="shared" si="116"/>
        <v>2104</v>
      </c>
      <c r="C284" s="39">
        <f t="shared" si="117"/>
        <v>22.615178135675968</v>
      </c>
      <c r="D284" s="39">
        <f t="shared" si="118"/>
        <v>24.401659346022512</v>
      </c>
      <c r="E284" s="39">
        <f t="shared" si="119"/>
        <v>29.99902391410448</v>
      </c>
      <c r="F284" s="39">
        <f t="shared" si="120"/>
        <v>28.571498291849796</v>
      </c>
      <c r="G284" s="39">
        <f t="shared" si="121"/>
        <v>33.609077598828563</v>
      </c>
      <c r="H284" s="39">
        <f t="shared" si="122"/>
        <v>29.666666666666849</v>
      </c>
      <c r="I284" s="39">
        <f t="shared" si="123"/>
        <v>60.078330893118618</v>
      </c>
      <c r="J284" s="40">
        <f t="shared" si="124"/>
        <v>70.724987798926193</v>
      </c>
      <c r="K284" s="39">
        <f t="shared" si="125"/>
        <v>77.491215226940014</v>
      </c>
      <c r="L284" s="39">
        <f t="shared" si="126"/>
        <v>73.699853587115669</v>
      </c>
      <c r="M284" s="39">
        <f t="shared" si="127"/>
        <v>53.312591508052648</v>
      </c>
      <c r="N284" s="39">
        <f t="shared" si="128"/>
        <v>40.623474865788118</v>
      </c>
      <c r="O284" s="39"/>
      <c r="P284" s="39">
        <f t="shared" si="129"/>
        <v>45.341386041971667</v>
      </c>
      <c r="Q284" s="39">
        <f t="shared" si="130"/>
        <v>47.863347974621632</v>
      </c>
      <c r="R284" s="39">
        <f t="shared" si="131"/>
        <v>41.853343094192368</v>
      </c>
      <c r="S284" s="39">
        <f t="shared" si="132"/>
        <v>41.76891166422643</v>
      </c>
      <c r="T284" s="39">
        <f t="shared" si="133"/>
        <v>41.388726207906451</v>
      </c>
      <c r="U284" s="39">
        <f t="shared" si="134"/>
        <v>37.788189360663658</v>
      </c>
      <c r="V284" s="39">
        <f t="shared" si="135"/>
        <v>52.062225475841949</v>
      </c>
      <c r="W284" s="39">
        <f t="shared" si="136"/>
        <v>56.071498291849579</v>
      </c>
      <c r="X284" s="39">
        <f t="shared" si="137"/>
        <v>45.01195705222068</v>
      </c>
      <c r="Y284" s="39">
        <f t="shared" si="138"/>
        <v>49.236700829673033</v>
      </c>
      <c r="Z284" s="39">
        <f t="shared" si="139"/>
        <v>50.323328452903823</v>
      </c>
      <c r="AA284" s="39">
        <f t="shared" si="140"/>
        <v>52.12298682284041</v>
      </c>
      <c r="AB284" s="38"/>
      <c r="AE284" s="15">
        <v>2.4351851851851857E-2</v>
      </c>
      <c r="AF284" s="14">
        <f t="shared" si="141"/>
        <v>2104</v>
      </c>
      <c r="AG284" s="8">
        <v>2.0579999999999998</v>
      </c>
      <c r="AH284" s="8">
        <v>2.0390999999999999</v>
      </c>
      <c r="AI284" s="8">
        <v>2.0449999999999999</v>
      </c>
      <c r="AJ284" s="8">
        <v>2.0356999999999998</v>
      </c>
      <c r="AK284" s="8">
        <v>2.0356000000000001</v>
      </c>
      <c r="AL284" s="8">
        <v>2.0375999999999999</v>
      </c>
      <c r="AM284" s="8">
        <v>1.9613</v>
      </c>
      <c r="AN284" s="8">
        <v>1.9396</v>
      </c>
      <c r="AO284" s="8">
        <v>1.9116</v>
      </c>
      <c r="AP284" s="8">
        <v>1.9337</v>
      </c>
      <c r="AQ284" s="8">
        <v>1.9756</v>
      </c>
      <c r="AR284" s="8">
        <v>1.962</v>
      </c>
      <c r="AS284" s="8">
        <v>2.0158999999999998</v>
      </c>
      <c r="AT284" s="8">
        <v>2.0066000000000002</v>
      </c>
      <c r="AU284" s="8">
        <v>2.0331999999999999</v>
      </c>
      <c r="AV284" s="8">
        <v>2.0251999999999999</v>
      </c>
      <c r="AW284" s="8">
        <v>2.0301</v>
      </c>
      <c r="AX284" s="8">
        <v>2.0068000000000001</v>
      </c>
      <c r="AY284" s="8">
        <v>1.9981</v>
      </c>
      <c r="AZ284" s="8">
        <v>1.99</v>
      </c>
      <c r="BA284" s="8">
        <v>2.0026000000000002</v>
      </c>
      <c r="BB284" s="8">
        <v>2.0042</v>
      </c>
      <c r="BC284" s="8">
        <v>2.0021</v>
      </c>
      <c r="BD284" s="8">
        <v>1.9690000000000001</v>
      </c>
    </row>
    <row r="285" spans="2:56" s="13" customFormat="1" x14ac:dyDescent="0.3">
      <c r="B285" s="35">
        <f t="shared" si="116"/>
        <v>2112</v>
      </c>
      <c r="C285" s="39">
        <f t="shared" si="117"/>
        <v>22.1271351878964</v>
      </c>
      <c r="D285" s="39">
        <f t="shared" si="118"/>
        <v>23.718399219131204</v>
      </c>
      <c r="E285" s="39">
        <f t="shared" si="119"/>
        <v>29.364568081991216</v>
      </c>
      <c r="F285" s="39">
        <f t="shared" si="120"/>
        <v>28.864324060517408</v>
      </c>
      <c r="G285" s="39">
        <f t="shared" si="121"/>
        <v>33.804294777940306</v>
      </c>
      <c r="H285" s="39">
        <f t="shared" si="122"/>
        <v>29.666666666666849</v>
      </c>
      <c r="I285" s="39">
        <f t="shared" si="123"/>
        <v>60.078330893118618</v>
      </c>
      <c r="J285" s="40">
        <f t="shared" si="124"/>
        <v>70.090531966812918</v>
      </c>
      <c r="K285" s="39">
        <f t="shared" si="125"/>
        <v>78.320888238165011</v>
      </c>
      <c r="L285" s="39">
        <f t="shared" si="126"/>
        <v>75.408003904343616</v>
      </c>
      <c r="M285" s="39">
        <f t="shared" si="127"/>
        <v>54.044655929721785</v>
      </c>
      <c r="N285" s="39">
        <f t="shared" si="128"/>
        <v>40.52586627623225</v>
      </c>
      <c r="O285" s="39"/>
      <c r="P285" s="39">
        <f t="shared" si="129"/>
        <v>46.122254758418627</v>
      </c>
      <c r="Q285" s="39">
        <f t="shared" si="130"/>
        <v>48.400195217179025</v>
      </c>
      <c r="R285" s="39">
        <f t="shared" si="131"/>
        <v>42.390190336749761</v>
      </c>
      <c r="S285" s="39">
        <f t="shared" si="132"/>
        <v>41.817715959004261</v>
      </c>
      <c r="T285" s="39">
        <f t="shared" si="133"/>
        <v>42.316007808687324</v>
      </c>
      <c r="U285" s="39">
        <f t="shared" si="134"/>
        <v>37.739385065885827</v>
      </c>
      <c r="V285" s="39">
        <f t="shared" si="135"/>
        <v>51.96461688628608</v>
      </c>
      <c r="W285" s="39">
        <f t="shared" si="136"/>
        <v>56.364324060517191</v>
      </c>
      <c r="X285" s="39">
        <f t="shared" si="137"/>
        <v>45.060761346998731</v>
      </c>
      <c r="Y285" s="39">
        <f t="shared" si="138"/>
        <v>48.846266471449546</v>
      </c>
      <c r="Z285" s="39">
        <f t="shared" si="139"/>
        <v>49.981698389458174</v>
      </c>
      <c r="AA285" s="39">
        <f t="shared" si="140"/>
        <v>52.757442654953678</v>
      </c>
      <c r="AB285" s="38"/>
      <c r="AE285" s="15">
        <v>2.4444444444444446E-2</v>
      </c>
      <c r="AF285" s="14">
        <f t="shared" si="141"/>
        <v>2112</v>
      </c>
      <c r="AG285" s="8">
        <v>2.0590000000000002</v>
      </c>
      <c r="AH285" s="8">
        <v>2.0405000000000002</v>
      </c>
      <c r="AI285" s="8">
        <v>2.0463</v>
      </c>
      <c r="AJ285" s="8">
        <v>2.0350999999999999</v>
      </c>
      <c r="AK285" s="8">
        <v>2.0352000000000001</v>
      </c>
      <c r="AL285" s="8">
        <v>2.0375999999999999</v>
      </c>
      <c r="AM285" s="8">
        <v>1.9613</v>
      </c>
      <c r="AN285" s="8">
        <v>1.9409000000000001</v>
      </c>
      <c r="AO285" s="8">
        <v>1.9098999999999999</v>
      </c>
      <c r="AP285" s="8">
        <v>1.9301999999999999</v>
      </c>
      <c r="AQ285" s="8">
        <v>1.9741</v>
      </c>
      <c r="AR285" s="8">
        <v>1.9621999999999999</v>
      </c>
      <c r="AS285" s="8">
        <v>2.0143</v>
      </c>
      <c r="AT285" s="8">
        <v>2.0055000000000001</v>
      </c>
      <c r="AU285" s="8">
        <v>2.0320999999999998</v>
      </c>
      <c r="AV285" s="8">
        <v>2.0251000000000001</v>
      </c>
      <c r="AW285" s="8">
        <v>2.0282</v>
      </c>
      <c r="AX285" s="8">
        <v>2.0068999999999999</v>
      </c>
      <c r="AY285" s="8">
        <v>1.9983</v>
      </c>
      <c r="AZ285" s="8">
        <v>1.9894000000000001</v>
      </c>
      <c r="BA285" s="8">
        <v>2.0024999999999999</v>
      </c>
      <c r="BB285" s="8">
        <v>2.0049999999999999</v>
      </c>
      <c r="BC285" s="8">
        <v>2.0028000000000001</v>
      </c>
      <c r="BD285" s="8">
        <v>1.9677</v>
      </c>
    </row>
    <row r="286" spans="2:56" s="13" customFormat="1" x14ac:dyDescent="0.3">
      <c r="B286" s="35">
        <f t="shared" si="116"/>
        <v>2120</v>
      </c>
      <c r="C286" s="39">
        <f t="shared" si="117"/>
        <v>21.883113714006836</v>
      </c>
      <c r="D286" s="39">
        <f t="shared" si="118"/>
        <v>24.987310883357733</v>
      </c>
      <c r="E286" s="39">
        <f t="shared" si="119"/>
        <v>30.047828208882308</v>
      </c>
      <c r="F286" s="39">
        <f t="shared" si="120"/>
        <v>27.985846754514359</v>
      </c>
      <c r="G286" s="39">
        <f t="shared" si="121"/>
        <v>33.755490483162475</v>
      </c>
      <c r="H286" s="39">
        <f t="shared" si="122"/>
        <v>29.422645192777065</v>
      </c>
      <c r="I286" s="39">
        <f t="shared" si="123"/>
        <v>59.687896534895145</v>
      </c>
      <c r="J286" s="40">
        <f t="shared" si="124"/>
        <v>70.285749145924768</v>
      </c>
      <c r="K286" s="39">
        <f t="shared" si="125"/>
        <v>77.881649585163487</v>
      </c>
      <c r="L286" s="39">
        <f t="shared" si="126"/>
        <v>74.919960956564154</v>
      </c>
      <c r="M286" s="39">
        <f t="shared" si="127"/>
        <v>53.654221571498191</v>
      </c>
      <c r="N286" s="39">
        <f t="shared" si="128"/>
        <v>39.94021473889692</v>
      </c>
      <c r="O286" s="39"/>
      <c r="P286" s="39">
        <f t="shared" si="129"/>
        <v>45.634211810639279</v>
      </c>
      <c r="Q286" s="39">
        <f t="shared" si="130"/>
        <v>48.107369448511413</v>
      </c>
      <c r="R286" s="39">
        <f t="shared" si="131"/>
        <v>41.999755978526061</v>
      </c>
      <c r="S286" s="39">
        <f t="shared" si="132"/>
        <v>41.573694485114693</v>
      </c>
      <c r="T286" s="39">
        <f t="shared" si="133"/>
        <v>41.8767691556858</v>
      </c>
      <c r="U286" s="39">
        <f t="shared" si="134"/>
        <v>36.812103465104954</v>
      </c>
      <c r="V286" s="39">
        <f t="shared" si="135"/>
        <v>52.891898487066953</v>
      </c>
      <c r="W286" s="39">
        <f t="shared" si="136"/>
        <v>57.242801366520133</v>
      </c>
      <c r="X286" s="39">
        <f t="shared" si="137"/>
        <v>44.865544167886995</v>
      </c>
      <c r="Y286" s="39">
        <f t="shared" si="138"/>
        <v>49.334309419228902</v>
      </c>
      <c r="Z286" s="39">
        <f t="shared" si="139"/>
        <v>50.030502684236218</v>
      </c>
      <c r="AA286" s="39">
        <f t="shared" si="140"/>
        <v>51.683748169838992</v>
      </c>
      <c r="AB286" s="38"/>
      <c r="AE286" s="15">
        <v>2.4537037037037038E-2</v>
      </c>
      <c r="AF286" s="14">
        <f t="shared" si="141"/>
        <v>2120</v>
      </c>
      <c r="AG286" s="8">
        <v>2.0594999999999999</v>
      </c>
      <c r="AH286" s="8">
        <v>2.0379</v>
      </c>
      <c r="AI286" s="8">
        <v>2.0449000000000002</v>
      </c>
      <c r="AJ286" s="8">
        <v>2.0369000000000002</v>
      </c>
      <c r="AK286" s="8">
        <v>2.0352999999999999</v>
      </c>
      <c r="AL286" s="8">
        <v>2.0381</v>
      </c>
      <c r="AM286" s="8">
        <v>1.9621</v>
      </c>
      <c r="AN286" s="8">
        <v>1.9404999999999999</v>
      </c>
      <c r="AO286" s="8">
        <v>1.9108000000000001</v>
      </c>
      <c r="AP286" s="8">
        <v>1.9312</v>
      </c>
      <c r="AQ286" s="8">
        <v>1.9749000000000001</v>
      </c>
      <c r="AR286" s="8">
        <v>1.9634</v>
      </c>
      <c r="AS286" s="8">
        <v>2.0152999999999999</v>
      </c>
      <c r="AT286" s="8">
        <v>2.0061</v>
      </c>
      <c r="AU286" s="8">
        <v>2.0329000000000002</v>
      </c>
      <c r="AV286" s="8">
        <v>2.0255999999999998</v>
      </c>
      <c r="AW286" s="8">
        <v>2.0291000000000001</v>
      </c>
      <c r="AX286" s="8">
        <v>2.0087999999999999</v>
      </c>
      <c r="AY286" s="8">
        <v>1.9964</v>
      </c>
      <c r="AZ286" s="8">
        <v>1.9876</v>
      </c>
      <c r="BA286" s="8">
        <v>2.0028999999999999</v>
      </c>
      <c r="BB286" s="8">
        <v>2.004</v>
      </c>
      <c r="BC286" s="8">
        <v>2.0026999999999999</v>
      </c>
      <c r="BD286" s="8">
        <v>1.9699</v>
      </c>
    </row>
    <row r="287" spans="2:56" s="13" customFormat="1" x14ac:dyDescent="0.3">
      <c r="B287" s="35">
        <f t="shared" si="116"/>
        <v>2128</v>
      </c>
      <c r="C287" s="39">
        <f t="shared" si="117"/>
        <v>22.419960956564228</v>
      </c>
      <c r="D287" s="39">
        <f t="shared" si="118"/>
        <v>24.401659346022512</v>
      </c>
      <c r="E287" s="39">
        <f t="shared" si="119"/>
        <v>30.682284040995572</v>
      </c>
      <c r="F287" s="39">
        <f t="shared" si="120"/>
        <v>29.059541239629148</v>
      </c>
      <c r="G287" s="39">
        <f t="shared" si="121"/>
        <v>33.999511957052043</v>
      </c>
      <c r="H287" s="39">
        <f t="shared" si="122"/>
        <v>30.49633967789185</v>
      </c>
      <c r="I287" s="39">
        <f t="shared" si="123"/>
        <v>59.395070766227533</v>
      </c>
      <c r="J287" s="40">
        <f t="shared" si="124"/>
        <v>70.480966325036505</v>
      </c>
      <c r="K287" s="39">
        <f t="shared" si="125"/>
        <v>78.564909712054686</v>
      </c>
      <c r="L287" s="39">
        <f t="shared" si="126"/>
        <v>74.968765251342091</v>
      </c>
      <c r="M287" s="39">
        <f t="shared" si="127"/>
        <v>53.166178623718842</v>
      </c>
      <c r="N287" s="39">
        <f t="shared" si="128"/>
        <v>40.135431918008656</v>
      </c>
      <c r="O287" s="39"/>
      <c r="P287" s="39">
        <f t="shared" si="129"/>
        <v>45.243777452415792</v>
      </c>
      <c r="Q287" s="39">
        <f t="shared" si="130"/>
        <v>48.204978038067281</v>
      </c>
      <c r="R287" s="39">
        <f t="shared" si="131"/>
        <v>42.048560273304105</v>
      </c>
      <c r="S287" s="39">
        <f t="shared" si="132"/>
        <v>42.15934602244991</v>
      </c>
      <c r="T287" s="39">
        <f t="shared" si="133"/>
        <v>41.535139092240357</v>
      </c>
      <c r="U287" s="39">
        <f t="shared" si="134"/>
        <v>37.397755002440171</v>
      </c>
      <c r="V287" s="39">
        <f t="shared" si="135"/>
        <v>52.647877013177279</v>
      </c>
      <c r="W287" s="39">
        <f t="shared" si="136"/>
        <v>56.754758418740778</v>
      </c>
      <c r="X287" s="39">
        <f t="shared" si="137"/>
        <v>44.963152757442863</v>
      </c>
      <c r="Y287" s="39">
        <f t="shared" si="138"/>
        <v>49.82235236700825</v>
      </c>
      <c r="Z287" s="39">
        <f t="shared" si="139"/>
        <v>51.006588579794922</v>
      </c>
      <c r="AA287" s="39">
        <f t="shared" si="140"/>
        <v>51.878965348950743</v>
      </c>
      <c r="AB287" s="38"/>
      <c r="AE287" s="15">
        <v>2.462962962962963E-2</v>
      </c>
      <c r="AF287" s="14">
        <f t="shared" si="141"/>
        <v>2128</v>
      </c>
      <c r="AG287" s="8">
        <v>2.0583999999999998</v>
      </c>
      <c r="AH287" s="8">
        <v>2.0390999999999999</v>
      </c>
      <c r="AI287" s="8">
        <v>2.0436000000000001</v>
      </c>
      <c r="AJ287" s="8">
        <v>2.0347</v>
      </c>
      <c r="AK287" s="8">
        <v>2.0348000000000002</v>
      </c>
      <c r="AL287" s="8">
        <v>2.0358999999999998</v>
      </c>
      <c r="AM287" s="8">
        <v>1.9626999999999999</v>
      </c>
      <c r="AN287" s="8">
        <v>1.9400999999999999</v>
      </c>
      <c r="AO287" s="8">
        <v>1.9094</v>
      </c>
      <c r="AP287" s="8">
        <v>1.9311</v>
      </c>
      <c r="AQ287" s="8">
        <v>1.9759</v>
      </c>
      <c r="AR287" s="8">
        <v>1.9630000000000001</v>
      </c>
      <c r="AS287" s="8">
        <v>2.0160999999999998</v>
      </c>
      <c r="AT287" s="8">
        <v>2.0059</v>
      </c>
      <c r="AU287" s="8">
        <v>2.0327999999999999</v>
      </c>
      <c r="AV287" s="8">
        <v>2.0244</v>
      </c>
      <c r="AW287" s="8">
        <v>2.0297999999999998</v>
      </c>
      <c r="AX287" s="8">
        <v>2.0076000000000001</v>
      </c>
      <c r="AY287" s="8">
        <v>1.9968999999999999</v>
      </c>
      <c r="AZ287" s="8">
        <v>1.9885999999999999</v>
      </c>
      <c r="BA287" s="8">
        <v>2.0026999999999999</v>
      </c>
      <c r="BB287" s="8">
        <v>2.0030000000000001</v>
      </c>
      <c r="BC287" s="8">
        <v>2.0007000000000001</v>
      </c>
      <c r="BD287" s="8">
        <v>1.9695</v>
      </c>
    </row>
    <row r="288" spans="2:56" s="13" customFormat="1" x14ac:dyDescent="0.3">
      <c r="B288" s="35">
        <f t="shared" si="116"/>
        <v>2136</v>
      </c>
      <c r="C288" s="39">
        <f t="shared" si="117"/>
        <v>21.004636408003787</v>
      </c>
      <c r="D288" s="39">
        <f t="shared" si="118"/>
        <v>24.499267935578381</v>
      </c>
      <c r="E288" s="39">
        <f t="shared" si="119"/>
        <v>29.462176671547084</v>
      </c>
      <c r="F288" s="39">
        <f t="shared" si="120"/>
        <v>28.327476817960012</v>
      </c>
      <c r="G288" s="39">
        <f t="shared" si="121"/>
        <v>33.950707662274219</v>
      </c>
      <c r="H288" s="39">
        <f t="shared" si="122"/>
        <v>30.203513909224021</v>
      </c>
      <c r="I288" s="39">
        <f t="shared" si="123"/>
        <v>59.443875061005471</v>
      </c>
      <c r="J288" s="40">
        <f t="shared" si="124"/>
        <v>70.139336261590856</v>
      </c>
      <c r="K288" s="39">
        <f t="shared" si="125"/>
        <v>78.125671059053161</v>
      </c>
      <c r="L288" s="39">
        <f t="shared" si="126"/>
        <v>75.11517813567589</v>
      </c>
      <c r="M288" s="39">
        <f t="shared" si="127"/>
        <v>53.751830161054173</v>
      </c>
      <c r="N288" s="39">
        <f t="shared" si="128"/>
        <v>40.769887750121924</v>
      </c>
      <c r="O288" s="39"/>
      <c r="P288" s="39">
        <f t="shared" si="129"/>
        <v>46.805514885309719</v>
      </c>
      <c r="Q288" s="39">
        <f t="shared" si="130"/>
        <v>47.960956564177501</v>
      </c>
      <c r="R288" s="39">
        <f t="shared" si="131"/>
        <v>42.390190336749761</v>
      </c>
      <c r="S288" s="39">
        <f t="shared" si="132"/>
        <v>42.354563201561646</v>
      </c>
      <c r="T288" s="39">
        <f t="shared" si="133"/>
        <v>41.388726207906451</v>
      </c>
      <c r="U288" s="39">
        <f t="shared" si="134"/>
        <v>38.178623718887359</v>
      </c>
      <c r="V288" s="39">
        <f t="shared" si="135"/>
        <v>52.013421181064011</v>
      </c>
      <c r="W288" s="39">
        <f t="shared" si="136"/>
        <v>56.998779892630452</v>
      </c>
      <c r="X288" s="39">
        <f t="shared" si="137"/>
        <v>45.304782820888512</v>
      </c>
      <c r="Y288" s="39">
        <f t="shared" si="138"/>
        <v>49.578330893118682</v>
      </c>
      <c r="Z288" s="39">
        <f t="shared" si="139"/>
        <v>50.616154221571435</v>
      </c>
      <c r="AA288" s="39">
        <f t="shared" si="140"/>
        <v>51.488530990727256</v>
      </c>
      <c r="AB288" s="38"/>
      <c r="AE288" s="15">
        <v>2.4722222222222225E-2</v>
      </c>
      <c r="AF288" s="14">
        <f t="shared" si="141"/>
        <v>2136</v>
      </c>
      <c r="AG288" s="8">
        <v>2.0613000000000001</v>
      </c>
      <c r="AH288" s="8">
        <v>2.0388999999999999</v>
      </c>
      <c r="AI288" s="8">
        <v>2.0461</v>
      </c>
      <c r="AJ288" s="8">
        <v>2.0362</v>
      </c>
      <c r="AK288" s="8">
        <v>2.0348999999999999</v>
      </c>
      <c r="AL288" s="8">
        <v>2.0365000000000002</v>
      </c>
      <c r="AM288" s="8">
        <v>1.9625999999999999</v>
      </c>
      <c r="AN288" s="8">
        <v>1.9408000000000001</v>
      </c>
      <c r="AO288" s="8">
        <v>1.9103000000000001</v>
      </c>
      <c r="AP288" s="8">
        <v>1.9308000000000001</v>
      </c>
      <c r="AQ288" s="8">
        <v>1.9746999999999999</v>
      </c>
      <c r="AR288" s="8">
        <v>1.9617</v>
      </c>
      <c r="AS288" s="8">
        <v>2.0129000000000001</v>
      </c>
      <c r="AT288" s="8">
        <v>2.0064000000000002</v>
      </c>
      <c r="AU288" s="8">
        <v>2.0320999999999998</v>
      </c>
      <c r="AV288" s="8">
        <v>2.024</v>
      </c>
      <c r="AW288" s="8">
        <v>2.0301</v>
      </c>
      <c r="AX288" s="8">
        <v>2.0059999999999998</v>
      </c>
      <c r="AY288" s="8">
        <v>1.9982</v>
      </c>
      <c r="AZ288" s="8">
        <v>1.9881</v>
      </c>
      <c r="BA288" s="8">
        <v>2.0019999999999998</v>
      </c>
      <c r="BB288" s="8">
        <v>2.0034999999999998</v>
      </c>
      <c r="BC288" s="8">
        <v>2.0015000000000001</v>
      </c>
      <c r="BD288" s="8">
        <v>1.9702999999999999</v>
      </c>
    </row>
    <row r="289" spans="2:56" s="13" customFormat="1" x14ac:dyDescent="0.3">
      <c r="B289" s="35">
        <f t="shared" si="116"/>
        <v>2144</v>
      </c>
      <c r="C289" s="39">
        <f t="shared" si="117"/>
        <v>21.785505124450964</v>
      </c>
      <c r="D289" s="39">
        <f t="shared" si="118"/>
        <v>24.304050756466644</v>
      </c>
      <c r="E289" s="39">
        <f t="shared" si="119"/>
        <v>29.266959492435344</v>
      </c>
      <c r="F289" s="39">
        <f t="shared" si="120"/>
        <v>27.888238164958491</v>
      </c>
      <c r="G289" s="39">
        <f t="shared" si="121"/>
        <v>33.462664714494871</v>
      </c>
      <c r="H289" s="39">
        <f t="shared" si="122"/>
        <v>30.105905319668153</v>
      </c>
      <c r="I289" s="39">
        <f t="shared" si="123"/>
        <v>60.322352367008293</v>
      </c>
      <c r="J289" s="40">
        <f t="shared" si="124"/>
        <v>70.480966325036505</v>
      </c>
      <c r="K289" s="39">
        <f t="shared" si="125"/>
        <v>78.125671059053161</v>
      </c>
      <c r="L289" s="39">
        <f t="shared" si="126"/>
        <v>75.65202537823329</v>
      </c>
      <c r="M289" s="39">
        <f t="shared" si="127"/>
        <v>53.995851634943847</v>
      </c>
      <c r="N289" s="39">
        <f t="shared" si="128"/>
        <v>40.379453391898444</v>
      </c>
      <c r="O289" s="39"/>
      <c r="P289" s="39">
        <f t="shared" si="129"/>
        <v>45.878233284528847</v>
      </c>
      <c r="Q289" s="39">
        <f t="shared" si="130"/>
        <v>48.448999511957069</v>
      </c>
      <c r="R289" s="39">
        <f t="shared" si="131"/>
        <v>42.634211810639329</v>
      </c>
      <c r="S289" s="39">
        <f t="shared" si="132"/>
        <v>40.695217179111637</v>
      </c>
      <c r="T289" s="39">
        <f t="shared" si="133"/>
        <v>42.071986334797536</v>
      </c>
      <c r="U289" s="39">
        <f t="shared" si="134"/>
        <v>37.007320644216698</v>
      </c>
      <c r="V289" s="39">
        <f t="shared" si="135"/>
        <v>53.770375793069888</v>
      </c>
      <c r="W289" s="39">
        <f t="shared" si="136"/>
        <v>56.754758418740778</v>
      </c>
      <c r="X289" s="39">
        <f t="shared" si="137"/>
        <v>45.255978526110468</v>
      </c>
      <c r="Y289" s="39">
        <f t="shared" si="138"/>
        <v>50.505612493899555</v>
      </c>
      <c r="Z289" s="39">
        <f t="shared" si="139"/>
        <v>50.567349926793611</v>
      </c>
      <c r="AA289" s="39">
        <f t="shared" si="140"/>
        <v>52.220595412396285</v>
      </c>
      <c r="AB289" s="38"/>
      <c r="AE289" s="15">
        <v>2.4814814814814817E-2</v>
      </c>
      <c r="AF289" s="14">
        <f t="shared" si="141"/>
        <v>2144</v>
      </c>
      <c r="AG289" s="8">
        <v>2.0596999999999999</v>
      </c>
      <c r="AH289" s="8">
        <v>2.0392999999999999</v>
      </c>
      <c r="AI289" s="8">
        <v>2.0465</v>
      </c>
      <c r="AJ289" s="8">
        <v>2.0371000000000001</v>
      </c>
      <c r="AK289" s="8">
        <v>2.0358999999999998</v>
      </c>
      <c r="AL289" s="8">
        <v>2.0367000000000002</v>
      </c>
      <c r="AM289" s="8">
        <v>1.9608000000000001</v>
      </c>
      <c r="AN289" s="8">
        <v>1.9400999999999999</v>
      </c>
      <c r="AO289" s="8">
        <v>1.9103000000000001</v>
      </c>
      <c r="AP289" s="8">
        <v>1.9297</v>
      </c>
      <c r="AQ289" s="8">
        <v>1.9742</v>
      </c>
      <c r="AR289" s="8">
        <v>1.9624999999999999</v>
      </c>
      <c r="AS289" s="8">
        <v>2.0148000000000001</v>
      </c>
      <c r="AT289" s="8">
        <v>2.0053999999999998</v>
      </c>
      <c r="AU289" s="8">
        <v>2.0316000000000001</v>
      </c>
      <c r="AV289" s="8">
        <v>2.0274000000000001</v>
      </c>
      <c r="AW289" s="8">
        <v>2.0287000000000002</v>
      </c>
      <c r="AX289" s="8">
        <v>2.0084</v>
      </c>
      <c r="AY289" s="8">
        <v>1.9945999999999999</v>
      </c>
      <c r="AZ289" s="8">
        <v>1.9885999999999999</v>
      </c>
      <c r="BA289" s="8">
        <v>2.0021</v>
      </c>
      <c r="BB289" s="8">
        <v>2.0015999999999998</v>
      </c>
      <c r="BC289" s="8">
        <v>2.0015999999999998</v>
      </c>
      <c r="BD289" s="8">
        <v>1.9688000000000001</v>
      </c>
    </row>
    <row r="290" spans="2:56" s="13" customFormat="1" x14ac:dyDescent="0.3">
      <c r="B290" s="35">
        <f t="shared" si="116"/>
        <v>2152</v>
      </c>
      <c r="C290" s="39">
        <f t="shared" si="117"/>
        <v>22.371156661786184</v>
      </c>
      <c r="D290" s="39">
        <f t="shared" si="118"/>
        <v>23.669594924353376</v>
      </c>
      <c r="E290" s="39">
        <f t="shared" si="119"/>
        <v>29.755002440214696</v>
      </c>
      <c r="F290" s="39">
        <f t="shared" si="120"/>
        <v>28.717911176183495</v>
      </c>
      <c r="G290" s="39">
        <f t="shared" si="121"/>
        <v>34.243533430941831</v>
      </c>
      <c r="H290" s="39">
        <f t="shared" si="122"/>
        <v>29.910688140556413</v>
      </c>
      <c r="I290" s="39">
        <f t="shared" si="123"/>
        <v>59.590287945339277</v>
      </c>
      <c r="J290" s="40">
        <f t="shared" si="124"/>
        <v>69.553684724255632</v>
      </c>
      <c r="K290" s="39">
        <f t="shared" si="125"/>
        <v>78.516105417276748</v>
      </c>
      <c r="L290" s="39">
        <f t="shared" si="126"/>
        <v>76.042459736456763</v>
      </c>
      <c r="M290" s="39">
        <f t="shared" si="127"/>
        <v>52.531722791605581</v>
      </c>
      <c r="N290" s="39">
        <f t="shared" si="128"/>
        <v>40.477061981454312</v>
      </c>
      <c r="O290" s="39"/>
      <c r="P290" s="39">
        <f t="shared" si="129"/>
        <v>45.731820400195147</v>
      </c>
      <c r="Q290" s="39">
        <f t="shared" si="130"/>
        <v>48.156173743289457</v>
      </c>
      <c r="R290" s="39">
        <f t="shared" si="131"/>
        <v>42.683016105417366</v>
      </c>
      <c r="S290" s="39">
        <f t="shared" si="132"/>
        <v>41.280868716447074</v>
      </c>
      <c r="T290" s="39">
        <f t="shared" si="133"/>
        <v>42.169594924353412</v>
      </c>
      <c r="U290" s="39">
        <f t="shared" si="134"/>
        <v>37.69058077110779</v>
      </c>
      <c r="V290" s="39">
        <f t="shared" si="135"/>
        <v>52.403855539287491</v>
      </c>
      <c r="W290" s="39">
        <f t="shared" si="136"/>
        <v>56.608345534406972</v>
      </c>
      <c r="X290" s="39">
        <f t="shared" si="137"/>
        <v>46.036847242557435</v>
      </c>
      <c r="Y290" s="39">
        <f t="shared" si="138"/>
        <v>50.163982430453906</v>
      </c>
      <c r="Z290" s="39">
        <f t="shared" si="139"/>
        <v>51.885065885797964</v>
      </c>
      <c r="AA290" s="39">
        <f t="shared" si="140"/>
        <v>52.367008296730191</v>
      </c>
      <c r="AB290" s="38"/>
      <c r="AE290" s="15">
        <v>2.4907407407407406E-2</v>
      </c>
      <c r="AF290" s="14">
        <f t="shared" si="141"/>
        <v>2152</v>
      </c>
      <c r="AG290" s="8">
        <v>2.0585</v>
      </c>
      <c r="AH290" s="8">
        <v>2.0406</v>
      </c>
      <c r="AI290" s="8">
        <v>2.0455000000000001</v>
      </c>
      <c r="AJ290" s="8">
        <v>2.0354000000000001</v>
      </c>
      <c r="AK290" s="8">
        <v>2.0343</v>
      </c>
      <c r="AL290" s="8">
        <v>2.0371000000000001</v>
      </c>
      <c r="AM290" s="8">
        <v>1.9622999999999999</v>
      </c>
      <c r="AN290" s="8">
        <v>1.9419999999999999</v>
      </c>
      <c r="AO290" s="8">
        <v>1.9095</v>
      </c>
      <c r="AP290" s="8">
        <v>1.9289000000000001</v>
      </c>
      <c r="AQ290" s="8">
        <v>1.9772000000000001</v>
      </c>
      <c r="AR290" s="8">
        <v>1.9622999999999999</v>
      </c>
      <c r="AS290" s="8">
        <v>2.0150999999999999</v>
      </c>
      <c r="AT290" s="8">
        <v>2.0059999999999998</v>
      </c>
      <c r="AU290" s="8">
        <v>2.0314999999999999</v>
      </c>
      <c r="AV290" s="8">
        <v>2.0261999999999998</v>
      </c>
      <c r="AW290" s="8">
        <v>2.0285000000000002</v>
      </c>
      <c r="AX290" s="8">
        <v>2.0070000000000001</v>
      </c>
      <c r="AY290" s="8">
        <v>1.9974000000000001</v>
      </c>
      <c r="AZ290" s="8">
        <v>1.9888999999999999</v>
      </c>
      <c r="BA290" s="8">
        <v>2.0005000000000002</v>
      </c>
      <c r="BB290" s="8">
        <v>2.0023</v>
      </c>
      <c r="BC290" s="8">
        <v>1.9988999999999999</v>
      </c>
      <c r="BD290" s="8">
        <v>1.9684999999999999</v>
      </c>
    </row>
    <row r="291" spans="2:56" s="13" customFormat="1" x14ac:dyDescent="0.3">
      <c r="B291" s="35">
        <f t="shared" si="116"/>
        <v>2160</v>
      </c>
      <c r="C291" s="39">
        <f t="shared" si="117"/>
        <v>21.73670082967292</v>
      </c>
      <c r="D291" s="39">
        <f t="shared" si="118"/>
        <v>24.64568081991208</v>
      </c>
      <c r="E291" s="39">
        <f t="shared" si="119"/>
        <v>30.145436798438176</v>
      </c>
      <c r="F291" s="39">
        <f t="shared" si="120"/>
        <v>28.229868228404143</v>
      </c>
      <c r="G291" s="39">
        <f t="shared" si="121"/>
        <v>34.243533430941831</v>
      </c>
      <c r="H291" s="39">
        <f t="shared" si="122"/>
        <v>30.203513909224021</v>
      </c>
      <c r="I291" s="39">
        <f t="shared" si="123"/>
        <v>59.883113714006882</v>
      </c>
      <c r="J291" s="40">
        <f t="shared" si="124"/>
        <v>70.090531966812918</v>
      </c>
      <c r="K291" s="39">
        <f t="shared" si="125"/>
        <v>79.004148365056096</v>
      </c>
      <c r="L291" s="39">
        <f t="shared" si="126"/>
        <v>75.11517813567589</v>
      </c>
      <c r="M291" s="39">
        <f t="shared" si="127"/>
        <v>53.898243045387979</v>
      </c>
      <c r="N291" s="39">
        <f t="shared" si="128"/>
        <v>40.818692044899855</v>
      </c>
      <c r="O291" s="39"/>
      <c r="P291" s="39">
        <f t="shared" si="129"/>
        <v>45.780624694972978</v>
      </c>
      <c r="Q291" s="39">
        <f t="shared" si="130"/>
        <v>48.400195217179025</v>
      </c>
      <c r="R291" s="39">
        <f t="shared" si="131"/>
        <v>42.731820400195197</v>
      </c>
      <c r="S291" s="39">
        <f t="shared" si="132"/>
        <v>41.134455832113169</v>
      </c>
      <c r="T291" s="39">
        <f t="shared" si="133"/>
        <v>42.023182040019712</v>
      </c>
      <c r="U291" s="39">
        <f t="shared" si="134"/>
        <v>37.54416788677409</v>
      </c>
      <c r="V291" s="39">
        <f t="shared" si="135"/>
        <v>52.550268423621297</v>
      </c>
      <c r="W291" s="39">
        <f t="shared" si="136"/>
        <v>56.998779892630452</v>
      </c>
      <c r="X291" s="39">
        <f t="shared" si="137"/>
        <v>45.939238653001567</v>
      </c>
      <c r="Y291" s="39">
        <f t="shared" si="138"/>
        <v>49.43191800878477</v>
      </c>
      <c r="Z291" s="39">
        <f t="shared" si="139"/>
        <v>50.567349926793611</v>
      </c>
      <c r="AA291" s="39">
        <f t="shared" si="140"/>
        <v>51.537335285505186</v>
      </c>
      <c r="AB291" s="38"/>
      <c r="AE291" s="15">
        <v>2.4999999999999998E-2</v>
      </c>
      <c r="AF291" s="14">
        <f t="shared" si="141"/>
        <v>2160</v>
      </c>
      <c r="AG291" s="8">
        <v>2.0598000000000001</v>
      </c>
      <c r="AH291" s="8">
        <v>2.0386000000000002</v>
      </c>
      <c r="AI291" s="8">
        <v>2.0447000000000002</v>
      </c>
      <c r="AJ291" s="8">
        <v>2.0364</v>
      </c>
      <c r="AK291" s="8">
        <v>2.0343</v>
      </c>
      <c r="AL291" s="8">
        <v>2.0365000000000002</v>
      </c>
      <c r="AM291" s="8">
        <v>1.9617</v>
      </c>
      <c r="AN291" s="8">
        <v>1.9409000000000001</v>
      </c>
      <c r="AO291" s="8">
        <v>1.9085000000000001</v>
      </c>
      <c r="AP291" s="8">
        <v>1.9308000000000001</v>
      </c>
      <c r="AQ291" s="8">
        <v>1.9743999999999999</v>
      </c>
      <c r="AR291" s="8">
        <v>1.9616</v>
      </c>
      <c r="AS291" s="8">
        <v>2.0150000000000001</v>
      </c>
      <c r="AT291" s="8">
        <v>2.0055000000000001</v>
      </c>
      <c r="AU291" s="8">
        <v>2.0314000000000001</v>
      </c>
      <c r="AV291" s="8">
        <v>2.0265</v>
      </c>
      <c r="AW291" s="8">
        <v>2.0287999999999999</v>
      </c>
      <c r="AX291" s="8">
        <v>2.0072999999999999</v>
      </c>
      <c r="AY291" s="8">
        <v>1.9971000000000001</v>
      </c>
      <c r="AZ291" s="8">
        <v>1.9881</v>
      </c>
      <c r="BA291" s="8">
        <v>2.0007000000000001</v>
      </c>
      <c r="BB291" s="8">
        <v>2.0038</v>
      </c>
      <c r="BC291" s="8">
        <v>2.0015999999999998</v>
      </c>
      <c r="BD291" s="8">
        <v>1.9702</v>
      </c>
    </row>
    <row r="292" spans="2:56" s="13" customFormat="1" x14ac:dyDescent="0.3">
      <c r="B292" s="35">
        <f t="shared" si="116"/>
        <v>2168</v>
      </c>
      <c r="C292" s="39">
        <f t="shared" si="117"/>
        <v>21.931918008784663</v>
      </c>
      <c r="D292" s="39">
        <f t="shared" si="118"/>
        <v>23.962420693020984</v>
      </c>
      <c r="E292" s="39">
        <f t="shared" si="119"/>
        <v>29.99902391410448</v>
      </c>
      <c r="F292" s="39">
        <f t="shared" si="120"/>
        <v>28.327476817960012</v>
      </c>
      <c r="G292" s="39">
        <f t="shared" si="121"/>
        <v>34.097120546607918</v>
      </c>
      <c r="H292" s="39">
        <f t="shared" si="122"/>
        <v>29.666666666666849</v>
      </c>
      <c r="I292" s="39">
        <f t="shared" si="123"/>
        <v>60.175939482674494</v>
      </c>
      <c r="J292" s="40">
        <f t="shared" si="124"/>
        <v>70.773792093704131</v>
      </c>
      <c r="K292" s="39">
        <f t="shared" si="125"/>
        <v>78.906539775500235</v>
      </c>
      <c r="L292" s="39">
        <f t="shared" si="126"/>
        <v>75.456808199121554</v>
      </c>
      <c r="M292" s="39">
        <f t="shared" si="127"/>
        <v>54.679111761834939</v>
      </c>
      <c r="N292" s="39">
        <f t="shared" si="128"/>
        <v>41.209126403123335</v>
      </c>
      <c r="O292" s="39"/>
      <c r="P292" s="39">
        <f t="shared" si="129"/>
        <v>46.268667642752547</v>
      </c>
      <c r="Q292" s="39">
        <f t="shared" si="130"/>
        <v>48.497803806734893</v>
      </c>
      <c r="R292" s="39">
        <f t="shared" si="131"/>
        <v>42.975841874084978</v>
      </c>
      <c r="S292" s="39">
        <f t="shared" si="132"/>
        <v>41.671303074670561</v>
      </c>
      <c r="T292" s="39">
        <f t="shared" si="133"/>
        <v>43.292093704246234</v>
      </c>
      <c r="U292" s="39">
        <f t="shared" si="134"/>
        <v>38.227428013665175</v>
      </c>
      <c r="V292" s="39">
        <f t="shared" si="135"/>
        <v>52.550268423621297</v>
      </c>
      <c r="W292" s="39">
        <f t="shared" si="136"/>
        <v>57.096388482186327</v>
      </c>
      <c r="X292" s="39">
        <f t="shared" si="137"/>
        <v>45.109565641776562</v>
      </c>
      <c r="Y292" s="39">
        <f t="shared" si="138"/>
        <v>49.724743777452375</v>
      </c>
      <c r="Z292" s="39">
        <f t="shared" si="139"/>
        <v>50.567349926793611</v>
      </c>
      <c r="AA292" s="39">
        <f t="shared" si="140"/>
        <v>51.683748169838992</v>
      </c>
      <c r="AB292" s="38"/>
      <c r="AE292" s="15">
        <v>2.5092592592592593E-2</v>
      </c>
      <c r="AF292" s="14">
        <f t="shared" si="141"/>
        <v>2168</v>
      </c>
      <c r="AG292" s="8">
        <v>2.0594000000000001</v>
      </c>
      <c r="AH292" s="8">
        <v>2.04</v>
      </c>
      <c r="AI292" s="8">
        <v>2.0449999999999999</v>
      </c>
      <c r="AJ292" s="8">
        <v>2.0362</v>
      </c>
      <c r="AK292" s="8">
        <v>2.0346000000000002</v>
      </c>
      <c r="AL292" s="8">
        <v>2.0375999999999999</v>
      </c>
      <c r="AM292" s="8">
        <v>1.9611000000000001</v>
      </c>
      <c r="AN292" s="8">
        <v>1.9395</v>
      </c>
      <c r="AO292" s="8">
        <v>1.9087000000000001</v>
      </c>
      <c r="AP292" s="8">
        <v>1.9300999999999999</v>
      </c>
      <c r="AQ292" s="8">
        <v>1.9728000000000001</v>
      </c>
      <c r="AR292" s="8">
        <v>1.9608000000000001</v>
      </c>
      <c r="AS292" s="8">
        <v>2.0139999999999998</v>
      </c>
      <c r="AT292" s="8">
        <v>2.0053000000000001</v>
      </c>
      <c r="AU292" s="8">
        <v>2.0308999999999999</v>
      </c>
      <c r="AV292" s="8">
        <v>2.0253999999999999</v>
      </c>
      <c r="AW292" s="8">
        <v>2.0261999999999998</v>
      </c>
      <c r="AX292" s="8">
        <v>2.0059</v>
      </c>
      <c r="AY292" s="8">
        <v>1.9971000000000001</v>
      </c>
      <c r="AZ292" s="8">
        <v>1.9879</v>
      </c>
      <c r="BA292" s="8">
        <v>2.0024000000000002</v>
      </c>
      <c r="BB292" s="8">
        <v>2.0032000000000001</v>
      </c>
      <c r="BC292" s="8">
        <v>2.0015999999999998</v>
      </c>
      <c r="BD292" s="8">
        <v>1.9699</v>
      </c>
    </row>
    <row r="293" spans="2:56" s="13" customFormat="1" x14ac:dyDescent="0.3">
      <c r="B293" s="35">
        <f t="shared" si="116"/>
        <v>2176</v>
      </c>
      <c r="C293" s="39">
        <f t="shared" si="117"/>
        <v>20.955832113225959</v>
      </c>
      <c r="D293" s="39">
        <f t="shared" si="118"/>
        <v>24.450463640800336</v>
      </c>
      <c r="E293" s="39">
        <f t="shared" si="119"/>
        <v>29.852611029770564</v>
      </c>
      <c r="F293" s="39">
        <f t="shared" si="120"/>
        <v>28.571498291849796</v>
      </c>
      <c r="G293" s="39">
        <f t="shared" si="121"/>
        <v>32.828208882381603</v>
      </c>
      <c r="H293" s="39">
        <f t="shared" si="122"/>
        <v>30.349926793557938</v>
      </c>
      <c r="I293" s="39">
        <f t="shared" si="123"/>
        <v>59.639092240117208</v>
      </c>
      <c r="J293" s="40">
        <f t="shared" si="124"/>
        <v>69.651293313811493</v>
      </c>
      <c r="K293" s="39">
        <f t="shared" si="125"/>
        <v>78.516105417276748</v>
      </c>
      <c r="L293" s="39">
        <f t="shared" si="126"/>
        <v>75.700829673011228</v>
      </c>
      <c r="M293" s="39">
        <f t="shared" si="127"/>
        <v>53.21498291849678</v>
      </c>
      <c r="N293" s="39">
        <f t="shared" si="128"/>
        <v>41.209126403123335</v>
      </c>
      <c r="O293" s="39"/>
      <c r="P293" s="39">
        <f t="shared" si="129"/>
        <v>46.268667642752547</v>
      </c>
      <c r="Q293" s="39">
        <f t="shared" si="130"/>
        <v>48.30258662762315</v>
      </c>
      <c r="R293" s="39">
        <f t="shared" si="131"/>
        <v>42.438994631527585</v>
      </c>
      <c r="S293" s="39">
        <f t="shared" si="132"/>
        <v>42.061737432894041</v>
      </c>
      <c r="T293" s="39">
        <f t="shared" si="133"/>
        <v>42.804050756466673</v>
      </c>
      <c r="U293" s="39">
        <f t="shared" si="134"/>
        <v>37.934602244997571</v>
      </c>
      <c r="V293" s="39">
        <f t="shared" si="135"/>
        <v>53.867984382625757</v>
      </c>
      <c r="W293" s="39">
        <f t="shared" si="136"/>
        <v>56.901171303074577</v>
      </c>
      <c r="X293" s="39">
        <f t="shared" si="137"/>
        <v>45.109565641776562</v>
      </c>
      <c r="Y293" s="39">
        <f t="shared" si="138"/>
        <v>49.871156661786287</v>
      </c>
      <c r="Z293" s="39">
        <f t="shared" si="139"/>
        <v>52.226695949243513</v>
      </c>
      <c r="AA293" s="39">
        <f t="shared" si="140"/>
        <v>52.611029770619872</v>
      </c>
      <c r="AB293" s="38"/>
      <c r="AE293" s="15">
        <v>2.5185185185185185E-2</v>
      </c>
      <c r="AF293" s="14">
        <f t="shared" si="141"/>
        <v>2176</v>
      </c>
      <c r="AG293" s="8">
        <v>2.0613999999999999</v>
      </c>
      <c r="AH293" s="8">
        <v>2.0390000000000001</v>
      </c>
      <c r="AI293" s="8">
        <v>2.0453000000000001</v>
      </c>
      <c r="AJ293" s="8">
        <v>2.0356999999999998</v>
      </c>
      <c r="AK293" s="8">
        <v>2.0371999999999999</v>
      </c>
      <c r="AL293" s="8">
        <v>2.0362</v>
      </c>
      <c r="AM293" s="8">
        <v>1.9621999999999999</v>
      </c>
      <c r="AN293" s="8">
        <v>1.9418</v>
      </c>
      <c r="AO293" s="8">
        <v>1.9095</v>
      </c>
      <c r="AP293" s="8">
        <v>1.9296</v>
      </c>
      <c r="AQ293" s="8">
        <v>1.9758</v>
      </c>
      <c r="AR293" s="8">
        <v>1.9608000000000001</v>
      </c>
      <c r="AS293" s="8">
        <v>2.0139999999999998</v>
      </c>
      <c r="AT293" s="8">
        <v>2.0057</v>
      </c>
      <c r="AU293" s="8">
        <v>2.032</v>
      </c>
      <c r="AV293" s="8">
        <v>2.0246</v>
      </c>
      <c r="AW293" s="8">
        <v>2.0272000000000001</v>
      </c>
      <c r="AX293" s="8">
        <v>2.0065</v>
      </c>
      <c r="AY293" s="8">
        <v>1.9944</v>
      </c>
      <c r="AZ293" s="8">
        <v>1.9883</v>
      </c>
      <c r="BA293" s="8">
        <v>2.0024000000000002</v>
      </c>
      <c r="BB293" s="8">
        <v>2.0028999999999999</v>
      </c>
      <c r="BC293" s="8">
        <v>1.9982</v>
      </c>
      <c r="BD293" s="8">
        <v>1.968</v>
      </c>
    </row>
    <row r="294" spans="2:56" s="13" customFormat="1" x14ac:dyDescent="0.3">
      <c r="B294" s="35">
        <f t="shared" si="116"/>
        <v>2184</v>
      </c>
      <c r="C294" s="39">
        <f t="shared" si="117"/>
        <v>21.297462176671399</v>
      </c>
      <c r="D294" s="39">
        <f t="shared" si="118"/>
        <v>23.91361639824316</v>
      </c>
      <c r="E294" s="39">
        <f t="shared" si="119"/>
        <v>30.291849682772092</v>
      </c>
      <c r="F294" s="39">
        <f t="shared" si="120"/>
        <v>28.473889702293928</v>
      </c>
      <c r="G294" s="39">
        <f t="shared" si="121"/>
        <v>34.145924841385963</v>
      </c>
      <c r="H294" s="39">
        <f t="shared" si="122"/>
        <v>30.83796974133729</v>
      </c>
      <c r="I294" s="39">
        <f t="shared" si="123"/>
        <v>59.687896534895145</v>
      </c>
      <c r="J294" s="40">
        <f t="shared" si="124"/>
        <v>70.627379209370318</v>
      </c>
      <c r="K294" s="39">
        <f t="shared" si="125"/>
        <v>78.467301122498824</v>
      </c>
      <c r="L294" s="39">
        <f t="shared" si="126"/>
        <v>75.798438262567089</v>
      </c>
      <c r="M294" s="39">
        <f t="shared" si="127"/>
        <v>54.093460224499715</v>
      </c>
      <c r="N294" s="39">
        <f t="shared" si="128"/>
        <v>41.013909224011599</v>
      </c>
      <c r="O294" s="39"/>
      <c r="P294" s="39">
        <f t="shared" si="129"/>
        <v>46.073450463640583</v>
      </c>
      <c r="Q294" s="39">
        <f t="shared" si="130"/>
        <v>48.351390922401194</v>
      </c>
      <c r="R294" s="39">
        <f t="shared" si="131"/>
        <v>42.390190336749761</v>
      </c>
      <c r="S294" s="39">
        <f t="shared" si="132"/>
        <v>41.280868716447074</v>
      </c>
      <c r="T294" s="39">
        <f t="shared" si="133"/>
        <v>42.999267935578416</v>
      </c>
      <c r="U294" s="39">
        <f t="shared" si="134"/>
        <v>37.300146412884303</v>
      </c>
      <c r="V294" s="39">
        <f t="shared" si="135"/>
        <v>52.550268423621297</v>
      </c>
      <c r="W294" s="39">
        <f t="shared" si="136"/>
        <v>57.242801366520133</v>
      </c>
      <c r="X294" s="39">
        <f t="shared" si="137"/>
        <v>46.817715959004609</v>
      </c>
      <c r="Y294" s="39">
        <f t="shared" si="138"/>
        <v>50.115178135675855</v>
      </c>
      <c r="Z294" s="39">
        <f t="shared" si="139"/>
        <v>51.397022938018509</v>
      </c>
      <c r="AA294" s="39">
        <f t="shared" si="140"/>
        <v>51.976573938506611</v>
      </c>
      <c r="AB294" s="38"/>
      <c r="AE294" s="15">
        <v>2.5277777777777777E-2</v>
      </c>
      <c r="AF294" s="14">
        <f t="shared" si="141"/>
        <v>2184</v>
      </c>
      <c r="AG294" s="8">
        <v>2.0607000000000002</v>
      </c>
      <c r="AH294" s="8">
        <v>2.0400999999999998</v>
      </c>
      <c r="AI294" s="8">
        <v>2.0444</v>
      </c>
      <c r="AJ294" s="8">
        <v>2.0358999999999998</v>
      </c>
      <c r="AK294" s="8">
        <v>2.0345</v>
      </c>
      <c r="AL294" s="8">
        <v>2.0352000000000001</v>
      </c>
      <c r="AM294" s="8">
        <v>1.9621</v>
      </c>
      <c r="AN294" s="8">
        <v>1.9398</v>
      </c>
      <c r="AO294" s="8">
        <v>1.9096</v>
      </c>
      <c r="AP294" s="8">
        <v>1.9294</v>
      </c>
      <c r="AQ294" s="8">
        <v>1.974</v>
      </c>
      <c r="AR294" s="8">
        <v>1.9612000000000001</v>
      </c>
      <c r="AS294" s="8">
        <v>2.0144000000000002</v>
      </c>
      <c r="AT294" s="8">
        <v>2.0055999999999998</v>
      </c>
      <c r="AU294" s="8">
        <v>2.0320999999999998</v>
      </c>
      <c r="AV294" s="8">
        <v>2.0261999999999998</v>
      </c>
      <c r="AW294" s="8">
        <v>2.0268000000000002</v>
      </c>
      <c r="AX294" s="8">
        <v>2.0078</v>
      </c>
      <c r="AY294" s="8">
        <v>1.9971000000000001</v>
      </c>
      <c r="AZ294" s="8">
        <v>1.9876</v>
      </c>
      <c r="BA294" s="8">
        <v>1.9988999999999999</v>
      </c>
      <c r="BB294" s="8">
        <v>2.0024000000000002</v>
      </c>
      <c r="BC294" s="8">
        <v>1.9999</v>
      </c>
      <c r="BD294" s="8">
        <v>1.9693000000000001</v>
      </c>
    </row>
    <row r="295" spans="2:56" s="13" customFormat="1" x14ac:dyDescent="0.3">
      <c r="B295" s="35">
        <f t="shared" si="116"/>
        <v>2192</v>
      </c>
      <c r="C295" s="39">
        <f t="shared" si="117"/>
        <v>21.883113714006836</v>
      </c>
      <c r="D295" s="39">
        <f t="shared" si="118"/>
        <v>24.694485114690121</v>
      </c>
      <c r="E295" s="39">
        <f t="shared" si="119"/>
        <v>29.706198145436868</v>
      </c>
      <c r="F295" s="39">
        <f t="shared" si="120"/>
        <v>28.278672523181971</v>
      </c>
      <c r="G295" s="39">
        <f t="shared" si="121"/>
        <v>34.341142020497699</v>
      </c>
      <c r="H295" s="39">
        <f t="shared" si="122"/>
        <v>31.179599804782942</v>
      </c>
      <c r="I295" s="39">
        <f t="shared" si="123"/>
        <v>60.224743777452424</v>
      </c>
      <c r="J295" s="40">
        <f t="shared" si="124"/>
        <v>70.334553440702692</v>
      </c>
      <c r="K295" s="39">
        <f t="shared" si="125"/>
        <v>79.004148365056096</v>
      </c>
      <c r="L295" s="39">
        <f t="shared" si="126"/>
        <v>75.944851146900902</v>
      </c>
      <c r="M295" s="39">
        <f t="shared" si="127"/>
        <v>53.751830161054173</v>
      </c>
      <c r="N295" s="39">
        <f t="shared" si="128"/>
        <v>41.209126403123335</v>
      </c>
      <c r="O295" s="39"/>
      <c r="P295" s="39">
        <f t="shared" si="129"/>
        <v>46.268667642752547</v>
      </c>
      <c r="Q295" s="39">
        <f t="shared" si="130"/>
        <v>48.644216691068806</v>
      </c>
      <c r="R295" s="39">
        <f t="shared" si="131"/>
        <v>44.098340653977594</v>
      </c>
      <c r="S295" s="39">
        <f t="shared" si="132"/>
        <v>42.305758906783829</v>
      </c>
      <c r="T295" s="39">
        <f t="shared" si="133"/>
        <v>42.023182040019712</v>
      </c>
      <c r="U295" s="39">
        <f t="shared" si="134"/>
        <v>37.934602244997571</v>
      </c>
      <c r="V295" s="39">
        <f t="shared" si="135"/>
        <v>53.575158613958045</v>
      </c>
      <c r="W295" s="39">
        <f t="shared" si="136"/>
        <v>57.096388482186327</v>
      </c>
      <c r="X295" s="39">
        <f t="shared" si="137"/>
        <v>45.353587115666343</v>
      </c>
      <c r="Y295" s="39">
        <f t="shared" si="138"/>
        <v>50.505612493899555</v>
      </c>
      <c r="Z295" s="39">
        <f t="shared" si="139"/>
        <v>51.933870180575902</v>
      </c>
      <c r="AA295" s="39">
        <f t="shared" si="140"/>
        <v>52.31820400195226</v>
      </c>
      <c r="AB295" s="38"/>
      <c r="AE295" s="15">
        <v>2.5370370370370366E-2</v>
      </c>
      <c r="AF295" s="14">
        <f t="shared" si="141"/>
        <v>2192</v>
      </c>
      <c r="AG295" s="8">
        <v>2.0594999999999999</v>
      </c>
      <c r="AH295" s="8">
        <v>2.0385</v>
      </c>
      <c r="AI295" s="8">
        <v>2.0455999999999999</v>
      </c>
      <c r="AJ295" s="8">
        <v>2.0363000000000002</v>
      </c>
      <c r="AK295" s="8">
        <v>2.0341</v>
      </c>
      <c r="AL295" s="8">
        <v>2.0345</v>
      </c>
      <c r="AM295" s="8">
        <v>1.9610000000000001</v>
      </c>
      <c r="AN295" s="8">
        <v>1.9403999999999999</v>
      </c>
      <c r="AO295" s="8">
        <v>1.9085000000000001</v>
      </c>
      <c r="AP295" s="8">
        <v>1.9291</v>
      </c>
      <c r="AQ295" s="8">
        <v>1.9746999999999999</v>
      </c>
      <c r="AR295" s="8">
        <v>1.9608000000000001</v>
      </c>
      <c r="AS295" s="8">
        <v>2.0139999999999998</v>
      </c>
      <c r="AT295" s="8">
        <v>2.0049999999999999</v>
      </c>
      <c r="AU295" s="8">
        <v>2.0286</v>
      </c>
      <c r="AV295" s="8">
        <v>2.0240999999999998</v>
      </c>
      <c r="AW295" s="8">
        <v>2.0287999999999999</v>
      </c>
      <c r="AX295" s="8">
        <v>2.0065</v>
      </c>
      <c r="AY295" s="8">
        <v>1.9950000000000001</v>
      </c>
      <c r="AZ295" s="8">
        <v>1.9879</v>
      </c>
      <c r="BA295" s="8">
        <v>2.0019</v>
      </c>
      <c r="BB295" s="8">
        <v>2.0015999999999998</v>
      </c>
      <c r="BC295" s="8">
        <v>1.9987999999999999</v>
      </c>
      <c r="BD295" s="8">
        <v>1.9685999999999999</v>
      </c>
    </row>
    <row r="296" spans="2:56" s="13" customFormat="1" x14ac:dyDescent="0.3">
      <c r="B296" s="35">
        <f t="shared" si="116"/>
        <v>2200</v>
      </c>
      <c r="C296" s="39">
        <f t="shared" si="117"/>
        <v>21.492679355783352</v>
      </c>
      <c r="D296" s="39">
        <f t="shared" si="118"/>
        <v>24.499267935578381</v>
      </c>
      <c r="E296" s="39">
        <f t="shared" si="119"/>
        <v>30.047828208882308</v>
      </c>
      <c r="F296" s="39">
        <f t="shared" si="120"/>
        <v>28.229868228404143</v>
      </c>
      <c r="G296" s="39">
        <f t="shared" si="121"/>
        <v>33.121034651049222</v>
      </c>
      <c r="H296" s="39">
        <f t="shared" si="122"/>
        <v>31.081991215227074</v>
      </c>
      <c r="I296" s="39">
        <f t="shared" si="123"/>
        <v>59.590287945339277</v>
      </c>
      <c r="J296" s="40">
        <f t="shared" si="124"/>
        <v>70.432162030258567</v>
      </c>
      <c r="K296" s="39">
        <f t="shared" si="125"/>
        <v>79.004148365056096</v>
      </c>
      <c r="L296" s="39">
        <f t="shared" si="126"/>
        <v>75.603221083455352</v>
      </c>
      <c r="M296" s="39">
        <f t="shared" si="127"/>
        <v>54.093460224499715</v>
      </c>
      <c r="N296" s="39">
        <f t="shared" si="128"/>
        <v>41.550756466568991</v>
      </c>
      <c r="O296" s="39"/>
      <c r="P296" s="39">
        <f t="shared" si="129"/>
        <v>46.463884821864283</v>
      </c>
      <c r="Q296" s="39">
        <f t="shared" si="130"/>
        <v>49.766715470961415</v>
      </c>
      <c r="R296" s="39">
        <f t="shared" si="131"/>
        <v>43.317471937530634</v>
      </c>
      <c r="S296" s="39">
        <f t="shared" si="132"/>
        <v>41.62249877989251</v>
      </c>
      <c r="T296" s="39">
        <f t="shared" si="133"/>
        <v>41.925573450463844</v>
      </c>
      <c r="U296" s="39">
        <f t="shared" si="134"/>
        <v>39.154709614446055</v>
      </c>
      <c r="V296" s="39">
        <f t="shared" si="135"/>
        <v>53.721571498291958</v>
      </c>
      <c r="W296" s="39">
        <f t="shared" si="136"/>
        <v>56.608345534406972</v>
      </c>
      <c r="X296" s="39">
        <f t="shared" si="137"/>
        <v>45.792825768667868</v>
      </c>
      <c r="Y296" s="39">
        <f t="shared" si="138"/>
        <v>50.749633967789123</v>
      </c>
      <c r="Z296" s="39">
        <f t="shared" si="139"/>
        <v>51.299414348462527</v>
      </c>
      <c r="AA296" s="39">
        <f t="shared" si="140"/>
        <v>51.73255246461693</v>
      </c>
      <c r="AB296" s="38"/>
      <c r="AE296" s="15">
        <v>2.5462962962962962E-2</v>
      </c>
      <c r="AF296" s="14">
        <f t="shared" si="141"/>
        <v>2200</v>
      </c>
      <c r="AG296" s="8">
        <v>2.0602999999999998</v>
      </c>
      <c r="AH296" s="8">
        <v>2.0388999999999999</v>
      </c>
      <c r="AI296" s="8">
        <v>2.0449000000000002</v>
      </c>
      <c r="AJ296" s="8">
        <v>2.0364</v>
      </c>
      <c r="AK296" s="8">
        <v>2.0366</v>
      </c>
      <c r="AL296" s="8">
        <v>2.0347</v>
      </c>
      <c r="AM296" s="8">
        <v>1.9622999999999999</v>
      </c>
      <c r="AN296" s="8">
        <v>1.9401999999999999</v>
      </c>
      <c r="AO296" s="8">
        <v>1.9085000000000001</v>
      </c>
      <c r="AP296" s="8">
        <v>1.9298</v>
      </c>
      <c r="AQ296" s="8">
        <v>1.974</v>
      </c>
      <c r="AR296" s="8">
        <v>1.9601</v>
      </c>
      <c r="AS296" s="8">
        <v>2.0135999999999998</v>
      </c>
      <c r="AT296" s="8">
        <v>2.0026999999999999</v>
      </c>
      <c r="AU296" s="8">
        <v>2.0301999999999998</v>
      </c>
      <c r="AV296" s="8">
        <v>2.0255000000000001</v>
      </c>
      <c r="AW296" s="8">
        <v>2.0289999999999999</v>
      </c>
      <c r="AX296" s="8">
        <v>2.004</v>
      </c>
      <c r="AY296" s="8">
        <v>1.9946999999999999</v>
      </c>
      <c r="AZ296" s="8">
        <v>1.9888999999999999</v>
      </c>
      <c r="BA296" s="8">
        <v>2.0009999999999999</v>
      </c>
      <c r="BB296" s="8">
        <v>2.0011000000000001</v>
      </c>
      <c r="BC296" s="8">
        <v>2.0001000000000002</v>
      </c>
      <c r="BD296" s="8">
        <v>1.9698</v>
      </c>
    </row>
    <row r="297" spans="2:56" s="12" customFormat="1" x14ac:dyDescent="0.3">
      <c r="B297" s="35">
        <f t="shared" si="116"/>
        <v>2208</v>
      </c>
      <c r="C297" s="39">
        <f t="shared" si="117"/>
        <v>22.078330893118572</v>
      </c>
      <c r="D297" s="39">
        <f t="shared" si="118"/>
        <v>24.64568081991208</v>
      </c>
      <c r="E297" s="39">
        <f t="shared" si="119"/>
        <v>29.510980966325128</v>
      </c>
      <c r="F297" s="39">
        <f t="shared" si="120"/>
        <v>27.448999511957179</v>
      </c>
      <c r="G297" s="39">
        <f t="shared" si="121"/>
        <v>32.974621766715302</v>
      </c>
      <c r="H297" s="39">
        <f t="shared" si="122"/>
        <v>30.301122498779893</v>
      </c>
      <c r="I297" s="39">
        <f t="shared" si="123"/>
        <v>60.127135187896556</v>
      </c>
      <c r="J297" s="40">
        <f t="shared" si="124"/>
        <v>69.992923377257057</v>
      </c>
      <c r="K297" s="39">
        <f t="shared" si="125"/>
        <v>79.248169838945884</v>
      </c>
      <c r="L297" s="39">
        <f t="shared" si="126"/>
        <v>75.798438262567089</v>
      </c>
      <c r="M297" s="39">
        <f t="shared" si="127"/>
        <v>54.337481698389389</v>
      </c>
      <c r="N297" s="39">
        <f t="shared" si="128"/>
        <v>41.355539287457255</v>
      </c>
      <c r="O297" s="39"/>
      <c r="P297" s="39">
        <f t="shared" si="129"/>
        <v>46.317471937530364</v>
      </c>
      <c r="Q297" s="39">
        <f t="shared" si="130"/>
        <v>48.888238164958373</v>
      </c>
      <c r="R297" s="39">
        <f t="shared" si="131"/>
        <v>42.438994631527585</v>
      </c>
      <c r="S297" s="39">
        <f t="shared" si="132"/>
        <v>42.012933138115997</v>
      </c>
      <c r="T297" s="39">
        <f t="shared" si="133"/>
        <v>42.218399219131456</v>
      </c>
      <c r="U297" s="39">
        <f t="shared" si="134"/>
        <v>37.983406539775395</v>
      </c>
      <c r="V297" s="39">
        <f t="shared" si="135"/>
        <v>53.233528550512496</v>
      </c>
      <c r="W297" s="39">
        <f t="shared" si="136"/>
        <v>56.65714982918491</v>
      </c>
      <c r="X297" s="39">
        <f t="shared" si="137"/>
        <v>45.890434358223736</v>
      </c>
      <c r="Y297" s="39">
        <f t="shared" si="138"/>
        <v>50.359199609565643</v>
      </c>
      <c r="Z297" s="39">
        <f t="shared" si="139"/>
        <v>51.83626159101992</v>
      </c>
      <c r="AA297" s="39">
        <f t="shared" si="140"/>
        <v>51.830161054172805</v>
      </c>
      <c r="AB297" s="38"/>
      <c r="AE297" s="15">
        <v>2.5555555555555554E-2</v>
      </c>
      <c r="AF297" s="11">
        <f t="shared" si="141"/>
        <v>2208</v>
      </c>
      <c r="AG297" s="8">
        <v>2.0590999999999999</v>
      </c>
      <c r="AH297" s="8">
        <v>2.0386000000000002</v>
      </c>
      <c r="AI297" s="8">
        <v>2.0459999999999998</v>
      </c>
      <c r="AJ297" s="8">
        <v>2.0379999999999998</v>
      </c>
      <c r="AK297" s="8">
        <v>2.0369000000000002</v>
      </c>
      <c r="AL297" s="8">
        <v>2.0363000000000002</v>
      </c>
      <c r="AM297" s="8">
        <v>1.9612000000000001</v>
      </c>
      <c r="AN297" s="8">
        <v>1.9411</v>
      </c>
      <c r="AO297" s="8">
        <v>1.9079999999999999</v>
      </c>
      <c r="AP297" s="8">
        <v>1.9294</v>
      </c>
      <c r="AQ297" s="8">
        <v>1.9735</v>
      </c>
      <c r="AR297" s="8">
        <v>1.9604999999999999</v>
      </c>
      <c r="AS297" s="8">
        <v>2.0139</v>
      </c>
      <c r="AT297" s="8">
        <v>2.0045000000000002</v>
      </c>
      <c r="AU297" s="8">
        <v>2.032</v>
      </c>
      <c r="AV297" s="8">
        <v>2.0247000000000002</v>
      </c>
      <c r="AW297" s="8">
        <v>2.0284</v>
      </c>
      <c r="AX297" s="8">
        <v>2.0064000000000002</v>
      </c>
      <c r="AY297" s="8">
        <v>1.9957</v>
      </c>
      <c r="AZ297" s="8">
        <v>1.9887999999999999</v>
      </c>
      <c r="BA297" s="8">
        <v>2.0007999999999999</v>
      </c>
      <c r="BB297" s="8">
        <v>2.0019</v>
      </c>
      <c r="BC297" s="8">
        <v>1.9990000000000001</v>
      </c>
      <c r="BD297" s="8">
        <v>1.9696</v>
      </c>
    </row>
    <row r="298" spans="2:56" x14ac:dyDescent="0.3">
      <c r="B298" s="35">
        <f t="shared" si="116"/>
        <v>2216</v>
      </c>
      <c r="C298" s="39">
        <f t="shared" si="117"/>
        <v>21.980722303562704</v>
      </c>
      <c r="D298" s="39">
        <f t="shared" si="118"/>
        <v>23.523182040019464</v>
      </c>
      <c r="E298" s="39">
        <f t="shared" si="119"/>
        <v>30.291849682772092</v>
      </c>
      <c r="F298" s="39">
        <f t="shared" si="120"/>
        <v>28.815519765739364</v>
      </c>
      <c r="G298" s="39">
        <f t="shared" si="121"/>
        <v>33.706686188384438</v>
      </c>
      <c r="H298" s="39">
        <f t="shared" si="122"/>
        <v>30.252318204002069</v>
      </c>
      <c r="I298" s="39">
        <f t="shared" si="123"/>
        <v>59.736700829673076</v>
      </c>
      <c r="J298" s="40">
        <f t="shared" si="124"/>
        <v>69.407271839921819</v>
      </c>
      <c r="K298" s="39">
        <f t="shared" si="125"/>
        <v>79.296974133723822</v>
      </c>
      <c r="L298" s="39">
        <f t="shared" si="126"/>
        <v>75.99365544167884</v>
      </c>
      <c r="M298" s="39">
        <f t="shared" si="127"/>
        <v>53.995851634943847</v>
      </c>
      <c r="N298" s="39">
        <f t="shared" si="128"/>
        <v>41.64836505612486</v>
      </c>
      <c r="O298" s="39"/>
      <c r="P298" s="39">
        <f t="shared" si="129"/>
        <v>45.634211810639279</v>
      </c>
      <c r="Q298" s="39">
        <f t="shared" si="130"/>
        <v>48.937042459736411</v>
      </c>
      <c r="R298" s="39">
        <f t="shared" si="131"/>
        <v>43.366276232308465</v>
      </c>
      <c r="S298" s="39">
        <f t="shared" si="132"/>
        <v>41.524890190336642</v>
      </c>
      <c r="T298" s="39">
        <f t="shared" si="133"/>
        <v>42.511224987799061</v>
      </c>
      <c r="U298" s="39">
        <f t="shared" si="134"/>
        <v>38.227428013665175</v>
      </c>
      <c r="V298" s="39">
        <f t="shared" si="135"/>
        <v>54.014397266959563</v>
      </c>
      <c r="W298" s="39">
        <f t="shared" si="136"/>
        <v>56.803562713518708</v>
      </c>
      <c r="X298" s="39">
        <f t="shared" si="137"/>
        <v>45.841630063445692</v>
      </c>
      <c r="Y298" s="39">
        <f t="shared" si="138"/>
        <v>50.456808199121511</v>
      </c>
      <c r="Z298" s="39">
        <f t="shared" si="139"/>
        <v>52.275500244021451</v>
      </c>
      <c r="AA298" s="39">
        <f t="shared" si="140"/>
        <v>52.855051244509546</v>
      </c>
      <c r="AB298" s="38"/>
      <c r="AE298" s="15">
        <v>2.5648148148148146E-2</v>
      </c>
      <c r="AF298" s="11">
        <f t="shared" si="141"/>
        <v>2216</v>
      </c>
      <c r="AG298" s="8">
        <v>2.0592999999999999</v>
      </c>
      <c r="AH298" s="8">
        <v>2.0409000000000002</v>
      </c>
      <c r="AI298" s="8">
        <v>2.0444</v>
      </c>
      <c r="AJ298" s="8">
        <v>2.0352000000000001</v>
      </c>
      <c r="AK298" s="8">
        <v>2.0354000000000001</v>
      </c>
      <c r="AL298" s="8">
        <v>2.0364</v>
      </c>
      <c r="AM298" s="8">
        <v>1.962</v>
      </c>
      <c r="AN298" s="8">
        <v>1.9422999999999999</v>
      </c>
      <c r="AO298" s="8">
        <v>1.9078999999999999</v>
      </c>
      <c r="AP298" s="8">
        <v>1.929</v>
      </c>
      <c r="AQ298" s="8">
        <v>1.9742</v>
      </c>
      <c r="AR298" s="8">
        <v>1.9599</v>
      </c>
      <c r="AS298" s="8">
        <v>2.0152999999999999</v>
      </c>
      <c r="AT298" s="8">
        <v>2.0044</v>
      </c>
      <c r="AU298" s="8">
        <v>2.0301</v>
      </c>
      <c r="AV298" s="8">
        <v>2.0257000000000001</v>
      </c>
      <c r="AW298" s="8">
        <v>2.0278</v>
      </c>
      <c r="AX298" s="8">
        <v>2.0059</v>
      </c>
      <c r="AY298" s="8">
        <v>1.9941</v>
      </c>
      <c r="AZ298" s="8">
        <v>1.9884999999999999</v>
      </c>
      <c r="BA298" s="8">
        <v>2.0009000000000001</v>
      </c>
      <c r="BB298" s="8">
        <v>2.0017</v>
      </c>
      <c r="BC298" s="8">
        <v>1.9981</v>
      </c>
      <c r="BD298" s="8">
        <v>1.9675</v>
      </c>
    </row>
    <row r="299" spans="2:56" x14ac:dyDescent="0.3">
      <c r="B299" s="35">
        <f t="shared" si="116"/>
        <v>2224</v>
      </c>
      <c r="C299" s="39">
        <f t="shared" si="117"/>
        <v>21.639092240117051</v>
      </c>
      <c r="D299" s="39">
        <f t="shared" si="118"/>
        <v>23.91361639824316</v>
      </c>
      <c r="E299" s="39">
        <f t="shared" si="119"/>
        <v>31.072718399219049</v>
      </c>
      <c r="F299" s="39">
        <f t="shared" si="120"/>
        <v>29.840409956076108</v>
      </c>
      <c r="G299" s="39">
        <f t="shared" si="121"/>
        <v>33.023426061493339</v>
      </c>
      <c r="H299" s="39">
        <f t="shared" si="122"/>
        <v>30.740361151781421</v>
      </c>
      <c r="I299" s="39">
        <f t="shared" si="123"/>
        <v>59.443875061005471</v>
      </c>
      <c r="J299" s="40">
        <f t="shared" si="124"/>
        <v>70.188140556368793</v>
      </c>
      <c r="K299" s="39">
        <f t="shared" si="125"/>
        <v>78.613714006832623</v>
      </c>
      <c r="L299" s="39">
        <f t="shared" si="126"/>
        <v>75.212786725231766</v>
      </c>
      <c r="M299" s="39">
        <f t="shared" si="127"/>
        <v>54.288677403611459</v>
      </c>
      <c r="N299" s="39">
        <f t="shared" si="128"/>
        <v>41.013909224011599</v>
      </c>
      <c r="O299" s="39"/>
      <c r="P299" s="39">
        <f t="shared" si="129"/>
        <v>46.854319180087764</v>
      </c>
      <c r="Q299" s="39">
        <f t="shared" si="130"/>
        <v>49.08345534407011</v>
      </c>
      <c r="R299" s="39">
        <f t="shared" si="131"/>
        <v>42.487798926305629</v>
      </c>
      <c r="S299" s="39">
        <f t="shared" si="132"/>
        <v>42.061737432894041</v>
      </c>
      <c r="T299" s="39">
        <f t="shared" si="133"/>
        <v>42.852855051244717</v>
      </c>
      <c r="U299" s="39">
        <f t="shared" si="134"/>
        <v>38.813079551000399</v>
      </c>
      <c r="V299" s="39">
        <f t="shared" si="135"/>
        <v>53.135919960956628</v>
      </c>
      <c r="W299" s="39">
        <f t="shared" si="136"/>
        <v>57.389214250853932</v>
      </c>
      <c r="X299" s="39">
        <f t="shared" si="137"/>
        <v>46.720107369448634</v>
      </c>
      <c r="Y299" s="39">
        <f t="shared" si="138"/>
        <v>50.896046852123035</v>
      </c>
      <c r="Z299" s="39">
        <f t="shared" si="139"/>
        <v>51.250610053684696</v>
      </c>
      <c r="AA299" s="39">
        <f t="shared" si="140"/>
        <v>52.220595412396285</v>
      </c>
      <c r="AB299" s="38"/>
      <c r="AE299" s="15">
        <v>2.5740740740740745E-2</v>
      </c>
      <c r="AF299" s="11">
        <f t="shared" si="141"/>
        <v>2224</v>
      </c>
      <c r="AG299" s="8">
        <v>2.06</v>
      </c>
      <c r="AH299" s="8">
        <v>2.0400999999999998</v>
      </c>
      <c r="AI299" s="8">
        <v>2.0428000000000002</v>
      </c>
      <c r="AJ299" s="8">
        <v>2.0331000000000001</v>
      </c>
      <c r="AK299" s="8">
        <v>2.0367999999999999</v>
      </c>
      <c r="AL299" s="8">
        <v>2.0354000000000001</v>
      </c>
      <c r="AM299" s="8">
        <v>1.9625999999999999</v>
      </c>
      <c r="AN299" s="8">
        <v>1.9407000000000001</v>
      </c>
      <c r="AO299" s="8">
        <v>1.9093</v>
      </c>
      <c r="AP299" s="8">
        <v>1.9306000000000001</v>
      </c>
      <c r="AQ299" s="8">
        <v>1.9736</v>
      </c>
      <c r="AR299" s="8">
        <v>1.9612000000000001</v>
      </c>
      <c r="AS299" s="8">
        <v>2.0127999999999999</v>
      </c>
      <c r="AT299" s="8">
        <v>2.0041000000000002</v>
      </c>
      <c r="AU299" s="8">
        <v>2.0318999999999998</v>
      </c>
      <c r="AV299" s="8">
        <v>2.0246</v>
      </c>
      <c r="AW299" s="8">
        <v>2.0270999999999999</v>
      </c>
      <c r="AX299" s="8">
        <v>2.0047000000000001</v>
      </c>
      <c r="AY299" s="8">
        <v>1.9959</v>
      </c>
      <c r="AZ299" s="8">
        <v>1.9873000000000001</v>
      </c>
      <c r="BA299" s="8">
        <v>1.9991000000000001</v>
      </c>
      <c r="BB299" s="8">
        <v>2.0007999999999999</v>
      </c>
      <c r="BC299" s="8">
        <v>2.0002</v>
      </c>
      <c r="BD299" s="8">
        <v>1.9688000000000001</v>
      </c>
    </row>
    <row r="300" spans="2:56" x14ac:dyDescent="0.3">
      <c r="B300" s="35">
        <f t="shared" si="116"/>
        <v>2232</v>
      </c>
      <c r="C300" s="39">
        <f t="shared" si="117"/>
        <v>21.883113714006836</v>
      </c>
      <c r="D300" s="39">
        <f t="shared" si="118"/>
        <v>24.889702293801864</v>
      </c>
      <c r="E300" s="39">
        <f t="shared" si="119"/>
        <v>30.145436798438176</v>
      </c>
      <c r="F300" s="39">
        <f t="shared" si="120"/>
        <v>30.035627135187848</v>
      </c>
      <c r="G300" s="39">
        <f t="shared" si="121"/>
        <v>33.706686188384438</v>
      </c>
      <c r="H300" s="39">
        <f t="shared" si="122"/>
        <v>30.69155685700359</v>
      </c>
      <c r="I300" s="39">
        <f t="shared" si="123"/>
        <v>60.615178135676018</v>
      </c>
      <c r="J300" s="40">
        <f t="shared" si="124"/>
        <v>69.944119082479119</v>
      </c>
      <c r="K300" s="39">
        <f t="shared" si="125"/>
        <v>79.443387018057621</v>
      </c>
      <c r="L300" s="39">
        <f t="shared" si="126"/>
        <v>75.896046852122964</v>
      </c>
      <c r="M300" s="39">
        <f t="shared" si="127"/>
        <v>54.288677403611459</v>
      </c>
      <c r="N300" s="39">
        <f t="shared" si="128"/>
        <v>41.160322108345397</v>
      </c>
      <c r="O300" s="39"/>
      <c r="P300" s="39">
        <f t="shared" si="129"/>
        <v>46.415080527086232</v>
      </c>
      <c r="Q300" s="39">
        <f t="shared" si="130"/>
        <v>48.741825280624674</v>
      </c>
      <c r="R300" s="39">
        <f t="shared" si="131"/>
        <v>42.487798926305629</v>
      </c>
      <c r="S300" s="39">
        <f t="shared" si="132"/>
        <v>42.15934602244991</v>
      </c>
      <c r="T300" s="39">
        <f t="shared" si="133"/>
        <v>43.243289409468197</v>
      </c>
      <c r="U300" s="39">
        <f t="shared" si="134"/>
        <v>38.422645192776926</v>
      </c>
      <c r="V300" s="39">
        <f t="shared" si="135"/>
        <v>53.135919960956628</v>
      </c>
      <c r="W300" s="39">
        <f t="shared" si="136"/>
        <v>57.291605661298064</v>
      </c>
      <c r="X300" s="39">
        <f t="shared" si="137"/>
        <v>46.232064421669172</v>
      </c>
      <c r="Y300" s="39">
        <f t="shared" si="138"/>
        <v>50.408003904343687</v>
      </c>
      <c r="Z300" s="39">
        <f t="shared" si="139"/>
        <v>52.373108833577319</v>
      </c>
      <c r="AA300" s="39">
        <f t="shared" si="140"/>
        <v>52.415812591508129</v>
      </c>
      <c r="AB300" s="38"/>
      <c r="AE300" s="15">
        <v>2.5833333333333333E-2</v>
      </c>
      <c r="AF300" s="11">
        <f t="shared" si="141"/>
        <v>2232</v>
      </c>
      <c r="AG300" s="8">
        <v>2.0594999999999999</v>
      </c>
      <c r="AH300" s="8">
        <v>2.0381</v>
      </c>
      <c r="AI300" s="8">
        <v>2.0447000000000002</v>
      </c>
      <c r="AJ300" s="8">
        <v>2.0327000000000002</v>
      </c>
      <c r="AK300" s="8">
        <v>2.0354000000000001</v>
      </c>
      <c r="AL300" s="8">
        <v>2.0354999999999999</v>
      </c>
      <c r="AM300" s="8">
        <v>1.9601999999999999</v>
      </c>
      <c r="AN300" s="8">
        <v>1.9412</v>
      </c>
      <c r="AO300" s="8">
        <v>1.9076</v>
      </c>
      <c r="AP300" s="8">
        <v>1.9292</v>
      </c>
      <c r="AQ300" s="8">
        <v>1.9736</v>
      </c>
      <c r="AR300" s="8">
        <v>1.9609000000000001</v>
      </c>
      <c r="AS300" s="8">
        <v>2.0137</v>
      </c>
      <c r="AT300" s="8">
        <v>2.0047999999999999</v>
      </c>
      <c r="AU300" s="8">
        <v>2.0318999999999998</v>
      </c>
      <c r="AV300" s="8">
        <v>2.0244</v>
      </c>
      <c r="AW300" s="8">
        <v>2.0263</v>
      </c>
      <c r="AX300" s="8">
        <v>2.0055000000000001</v>
      </c>
      <c r="AY300" s="8">
        <v>1.9959</v>
      </c>
      <c r="AZ300" s="8">
        <v>1.9875</v>
      </c>
      <c r="BA300" s="8">
        <v>2.0001000000000002</v>
      </c>
      <c r="BB300" s="8">
        <v>2.0017999999999998</v>
      </c>
      <c r="BC300" s="8">
        <v>1.9979</v>
      </c>
      <c r="BD300" s="8">
        <v>1.9683999999999999</v>
      </c>
    </row>
    <row r="301" spans="2:56" x14ac:dyDescent="0.3">
      <c r="B301" s="35">
        <f t="shared" si="116"/>
        <v>2240</v>
      </c>
      <c r="C301" s="39">
        <f t="shared" si="117"/>
        <v>21.785505124450964</v>
      </c>
      <c r="D301" s="39">
        <f t="shared" si="118"/>
        <v>23.767203513909248</v>
      </c>
      <c r="E301" s="39">
        <f t="shared" si="119"/>
        <v>30.243045387994048</v>
      </c>
      <c r="F301" s="39">
        <f t="shared" si="120"/>
        <v>30.523670082967417</v>
      </c>
      <c r="G301" s="39">
        <f t="shared" si="121"/>
        <v>34.048316251830094</v>
      </c>
      <c r="H301" s="39">
        <f t="shared" si="122"/>
        <v>31.081991215227074</v>
      </c>
      <c r="I301" s="39">
        <f t="shared" si="123"/>
        <v>59.590287945339277</v>
      </c>
      <c r="J301" s="40">
        <f t="shared" si="124"/>
        <v>69.846510492923258</v>
      </c>
      <c r="K301" s="39">
        <f t="shared" si="125"/>
        <v>78.857735480722297</v>
      </c>
      <c r="L301" s="39">
        <f t="shared" si="126"/>
        <v>76.091264031234701</v>
      </c>
      <c r="M301" s="39">
        <f t="shared" si="127"/>
        <v>54.727916056612983</v>
      </c>
      <c r="N301" s="39">
        <f t="shared" si="128"/>
        <v>41.453147877013123</v>
      </c>
      <c r="O301" s="39"/>
      <c r="P301" s="39">
        <f t="shared" si="129"/>
        <v>46.610297706197983</v>
      </c>
      <c r="Q301" s="39">
        <f t="shared" si="130"/>
        <v>49.034651049292286</v>
      </c>
      <c r="R301" s="39">
        <f t="shared" si="131"/>
        <v>43.415080527086502</v>
      </c>
      <c r="S301" s="39">
        <f t="shared" si="132"/>
        <v>41.964128843338166</v>
      </c>
      <c r="T301" s="39">
        <f t="shared" si="133"/>
        <v>43.145680819912329</v>
      </c>
      <c r="U301" s="39">
        <f t="shared" si="134"/>
        <v>38.276232308443227</v>
      </c>
      <c r="V301" s="39">
        <f t="shared" si="135"/>
        <v>53.428745729624232</v>
      </c>
      <c r="W301" s="39">
        <f t="shared" si="136"/>
        <v>57.828452903855464</v>
      </c>
      <c r="X301" s="39">
        <f t="shared" si="137"/>
        <v>45.988042947779604</v>
      </c>
      <c r="Y301" s="39">
        <f t="shared" si="138"/>
        <v>51.481698389458252</v>
      </c>
      <c r="Z301" s="39">
        <f t="shared" si="139"/>
        <v>51.689848706686121</v>
      </c>
      <c r="AA301" s="39">
        <f t="shared" si="140"/>
        <v>52.708638360175748</v>
      </c>
      <c r="AB301" s="38"/>
      <c r="AE301" s="15">
        <v>2.5925925925925925E-2</v>
      </c>
      <c r="AF301" s="11">
        <f t="shared" si="141"/>
        <v>2240</v>
      </c>
      <c r="AG301" s="8">
        <v>2.0596999999999999</v>
      </c>
      <c r="AH301" s="8">
        <v>2.0404</v>
      </c>
      <c r="AI301" s="8">
        <v>2.0445000000000002</v>
      </c>
      <c r="AJ301" s="8">
        <v>2.0316999999999998</v>
      </c>
      <c r="AK301" s="8">
        <v>2.0347</v>
      </c>
      <c r="AL301" s="8">
        <v>2.0347</v>
      </c>
      <c r="AM301" s="8">
        <v>1.9622999999999999</v>
      </c>
      <c r="AN301" s="8">
        <v>1.9414</v>
      </c>
      <c r="AO301" s="8">
        <v>1.9088000000000001</v>
      </c>
      <c r="AP301" s="8">
        <v>1.9288000000000001</v>
      </c>
      <c r="AQ301" s="8">
        <v>1.9726999999999999</v>
      </c>
      <c r="AR301" s="8">
        <v>1.9602999999999999</v>
      </c>
      <c r="AS301" s="8">
        <v>2.0133000000000001</v>
      </c>
      <c r="AT301" s="8">
        <v>2.0042</v>
      </c>
      <c r="AU301" s="8">
        <v>2.0299999999999998</v>
      </c>
      <c r="AV301" s="8">
        <v>2.0247999999999999</v>
      </c>
      <c r="AW301" s="8">
        <v>2.0265</v>
      </c>
      <c r="AX301" s="8">
        <v>2.0057999999999998</v>
      </c>
      <c r="AY301" s="8">
        <v>1.9953000000000001</v>
      </c>
      <c r="AZ301" s="8">
        <v>1.9863999999999999</v>
      </c>
      <c r="BA301" s="8">
        <v>2.0005999999999999</v>
      </c>
      <c r="BB301" s="8">
        <v>1.9996</v>
      </c>
      <c r="BC301" s="8">
        <v>1.9993000000000001</v>
      </c>
      <c r="BD301" s="8">
        <v>1.9678</v>
      </c>
    </row>
    <row r="302" spans="2:56" x14ac:dyDescent="0.3">
      <c r="B302" s="35">
        <f t="shared" si="116"/>
        <v>2248</v>
      </c>
      <c r="C302" s="39">
        <f t="shared" si="117"/>
        <v>22.175939482674448</v>
      </c>
      <c r="D302" s="39">
        <f t="shared" si="118"/>
        <v>24.352855051244468</v>
      </c>
      <c r="E302" s="39">
        <f t="shared" si="119"/>
        <v>30.584675451439697</v>
      </c>
      <c r="F302" s="39">
        <f t="shared" si="120"/>
        <v>29.840409956076108</v>
      </c>
      <c r="G302" s="39">
        <f t="shared" si="121"/>
        <v>33.609077598828563</v>
      </c>
      <c r="H302" s="39">
        <f t="shared" si="122"/>
        <v>30.69155685700359</v>
      </c>
      <c r="I302" s="39">
        <f t="shared" si="123"/>
        <v>58.711810639336335</v>
      </c>
      <c r="J302" s="40">
        <f t="shared" si="124"/>
        <v>69.846510492923258</v>
      </c>
      <c r="K302" s="39">
        <f t="shared" si="125"/>
        <v>79.199365544167946</v>
      </c>
      <c r="L302" s="39">
        <f t="shared" si="126"/>
        <v>75.554416788677429</v>
      </c>
      <c r="M302" s="39">
        <f t="shared" si="127"/>
        <v>53.117374328940912</v>
      </c>
      <c r="N302" s="39">
        <f t="shared" si="128"/>
        <v>41.209126403123335</v>
      </c>
      <c r="O302" s="39"/>
      <c r="P302" s="39">
        <f t="shared" si="129"/>
        <v>47.0495363591995</v>
      </c>
      <c r="Q302" s="39">
        <f t="shared" si="130"/>
        <v>48.644216691068806</v>
      </c>
      <c r="R302" s="39">
        <f t="shared" si="131"/>
        <v>42.634211810639329</v>
      </c>
      <c r="S302" s="39">
        <f t="shared" si="132"/>
        <v>42.54978038067339</v>
      </c>
      <c r="T302" s="39">
        <f t="shared" si="133"/>
        <v>42.65763787213298</v>
      </c>
      <c r="U302" s="39">
        <f t="shared" si="134"/>
        <v>38.081015129331263</v>
      </c>
      <c r="V302" s="39">
        <f t="shared" si="135"/>
        <v>53.623962908736083</v>
      </c>
      <c r="W302" s="39">
        <f t="shared" si="136"/>
        <v>56.559541239628928</v>
      </c>
      <c r="X302" s="39">
        <f t="shared" si="137"/>
        <v>45.695217179111999</v>
      </c>
      <c r="Y302" s="39">
        <f t="shared" si="138"/>
        <v>50.163982430453906</v>
      </c>
      <c r="Z302" s="39">
        <f t="shared" si="139"/>
        <v>52.177891654465583</v>
      </c>
      <c r="AA302" s="39">
        <f t="shared" si="140"/>
        <v>52.65983406539781</v>
      </c>
      <c r="AB302" s="38"/>
      <c r="AE302" s="15">
        <v>2.6018518518518521E-2</v>
      </c>
      <c r="AF302" s="11">
        <f t="shared" si="141"/>
        <v>2248</v>
      </c>
      <c r="AG302" s="8">
        <v>2.0589</v>
      </c>
      <c r="AH302" s="8">
        <v>2.0392000000000001</v>
      </c>
      <c r="AI302" s="8">
        <v>2.0438000000000001</v>
      </c>
      <c r="AJ302" s="8">
        <v>2.0331000000000001</v>
      </c>
      <c r="AK302" s="8">
        <v>2.0356000000000001</v>
      </c>
      <c r="AL302" s="8">
        <v>2.0354999999999999</v>
      </c>
      <c r="AM302" s="8">
        <v>1.9641</v>
      </c>
      <c r="AN302" s="8">
        <v>1.9414</v>
      </c>
      <c r="AO302" s="8">
        <v>1.9080999999999999</v>
      </c>
      <c r="AP302" s="8">
        <v>1.9298999999999999</v>
      </c>
      <c r="AQ302" s="8">
        <v>1.976</v>
      </c>
      <c r="AR302" s="8">
        <v>1.9608000000000001</v>
      </c>
      <c r="AS302" s="8">
        <v>2.0124</v>
      </c>
      <c r="AT302" s="8">
        <v>2.0049999999999999</v>
      </c>
      <c r="AU302" s="8">
        <v>2.0316000000000001</v>
      </c>
      <c r="AV302" s="8">
        <v>2.0236000000000001</v>
      </c>
      <c r="AW302" s="8">
        <v>2.0274999999999999</v>
      </c>
      <c r="AX302" s="8">
        <v>2.0062000000000002</v>
      </c>
      <c r="AY302" s="8">
        <v>1.9948999999999999</v>
      </c>
      <c r="AZ302" s="8">
        <v>1.9890000000000001</v>
      </c>
      <c r="BA302" s="8">
        <v>2.0011999999999999</v>
      </c>
      <c r="BB302" s="8">
        <v>2.0023</v>
      </c>
      <c r="BC302" s="8">
        <v>1.9983</v>
      </c>
      <c r="BD302" s="8">
        <v>1.9679</v>
      </c>
    </row>
    <row r="303" spans="2:56" x14ac:dyDescent="0.3">
      <c r="B303" s="35">
        <f t="shared" si="116"/>
        <v>2256</v>
      </c>
      <c r="C303" s="39">
        <f t="shared" si="117"/>
        <v>21.785505124450964</v>
      </c>
      <c r="D303" s="39">
        <f t="shared" si="118"/>
        <v>23.816007808687292</v>
      </c>
      <c r="E303" s="39">
        <f t="shared" si="119"/>
        <v>29.706198145436868</v>
      </c>
      <c r="F303" s="39">
        <f t="shared" si="120"/>
        <v>29.596388482186544</v>
      </c>
      <c r="G303" s="39">
        <f t="shared" si="121"/>
        <v>33.755490483162475</v>
      </c>
      <c r="H303" s="39">
        <f t="shared" si="122"/>
        <v>30.69155685700359</v>
      </c>
      <c r="I303" s="39">
        <f t="shared" si="123"/>
        <v>59.248657881893614</v>
      </c>
      <c r="J303" s="40">
        <f t="shared" si="124"/>
        <v>71.213030746705542</v>
      </c>
      <c r="K303" s="39">
        <f t="shared" si="125"/>
        <v>79.833821376281108</v>
      </c>
      <c r="L303" s="39">
        <f t="shared" si="126"/>
        <v>76.042459736456763</v>
      </c>
      <c r="M303" s="39">
        <f t="shared" si="127"/>
        <v>54.776720351390914</v>
      </c>
      <c r="N303" s="39">
        <f t="shared" si="128"/>
        <v>41.013909224011599</v>
      </c>
      <c r="O303" s="39"/>
      <c r="P303" s="39">
        <f t="shared" si="129"/>
        <v>46.463884821864283</v>
      </c>
      <c r="Q303" s="39">
        <f t="shared" si="130"/>
        <v>49.08345534407011</v>
      </c>
      <c r="R303" s="39">
        <f t="shared" si="131"/>
        <v>44.000732064421719</v>
      </c>
      <c r="S303" s="39">
        <f t="shared" si="132"/>
        <v>42.54978038067339</v>
      </c>
      <c r="T303" s="39">
        <f t="shared" si="133"/>
        <v>42.999267935578416</v>
      </c>
      <c r="U303" s="39">
        <f t="shared" si="134"/>
        <v>37.983406539775395</v>
      </c>
      <c r="V303" s="39">
        <f t="shared" si="135"/>
        <v>53.428745729624232</v>
      </c>
      <c r="W303" s="39">
        <f t="shared" si="136"/>
        <v>56.413128355295129</v>
      </c>
      <c r="X303" s="39">
        <f t="shared" si="137"/>
        <v>46.915324548560477</v>
      </c>
      <c r="Y303" s="39">
        <f t="shared" si="138"/>
        <v>50.554416788677379</v>
      </c>
      <c r="Z303" s="39">
        <f t="shared" si="139"/>
        <v>52.177891654465583</v>
      </c>
      <c r="AA303" s="39">
        <f t="shared" si="140"/>
        <v>52.562225475841942</v>
      </c>
      <c r="AB303" s="38"/>
      <c r="AE303" s="15">
        <v>2.6111111111111113E-2</v>
      </c>
      <c r="AF303" s="11">
        <f t="shared" si="141"/>
        <v>2256</v>
      </c>
      <c r="AG303" s="8">
        <v>2.0596999999999999</v>
      </c>
      <c r="AH303" s="8">
        <v>2.0402999999999998</v>
      </c>
      <c r="AI303" s="8">
        <v>2.0455999999999999</v>
      </c>
      <c r="AJ303" s="8">
        <v>2.0335999999999999</v>
      </c>
      <c r="AK303" s="8">
        <v>2.0352999999999999</v>
      </c>
      <c r="AL303" s="8">
        <v>2.0354999999999999</v>
      </c>
      <c r="AM303" s="8">
        <v>1.9630000000000001</v>
      </c>
      <c r="AN303" s="8">
        <v>1.9386000000000001</v>
      </c>
      <c r="AO303" s="8">
        <v>1.9068000000000001</v>
      </c>
      <c r="AP303" s="8">
        <v>1.9289000000000001</v>
      </c>
      <c r="AQ303" s="8">
        <v>1.9725999999999999</v>
      </c>
      <c r="AR303" s="8">
        <v>1.9612000000000001</v>
      </c>
      <c r="AS303" s="8">
        <v>2.0135999999999998</v>
      </c>
      <c r="AT303" s="8">
        <v>2.0041000000000002</v>
      </c>
      <c r="AU303" s="8">
        <v>2.0287999999999999</v>
      </c>
      <c r="AV303" s="8">
        <v>2.0236000000000001</v>
      </c>
      <c r="AW303" s="8">
        <v>2.0268000000000002</v>
      </c>
      <c r="AX303" s="8">
        <v>2.0064000000000002</v>
      </c>
      <c r="AY303" s="8">
        <v>1.9953000000000001</v>
      </c>
      <c r="AZ303" s="8">
        <v>1.9893000000000001</v>
      </c>
      <c r="BA303" s="8">
        <v>1.9986999999999999</v>
      </c>
      <c r="BB303" s="8">
        <v>2.0015000000000001</v>
      </c>
      <c r="BC303" s="8">
        <v>1.9983</v>
      </c>
      <c r="BD303" s="8">
        <v>1.9681</v>
      </c>
    </row>
    <row r="304" spans="2:56" x14ac:dyDescent="0.3">
      <c r="B304" s="35">
        <f t="shared" si="116"/>
        <v>2264</v>
      </c>
      <c r="C304" s="39">
        <f t="shared" si="117"/>
        <v>21.687896534895096</v>
      </c>
      <c r="D304" s="39">
        <f t="shared" si="118"/>
        <v>24.938506588579905</v>
      </c>
      <c r="E304" s="39">
        <f t="shared" si="119"/>
        <v>29.608589555880997</v>
      </c>
      <c r="F304" s="39">
        <f t="shared" si="120"/>
        <v>30.474865788189376</v>
      </c>
      <c r="G304" s="39">
        <f t="shared" si="121"/>
        <v>32.730600292825734</v>
      </c>
      <c r="H304" s="39">
        <f t="shared" si="122"/>
        <v>30.008296730112285</v>
      </c>
      <c r="I304" s="39">
        <f t="shared" si="123"/>
        <v>60.51756954612015</v>
      </c>
      <c r="J304" s="40">
        <f t="shared" si="124"/>
        <v>70.480966325036505</v>
      </c>
      <c r="K304" s="39">
        <f t="shared" si="125"/>
        <v>78.711322596388499</v>
      </c>
      <c r="L304" s="39">
        <f t="shared" si="126"/>
        <v>75.798438262567089</v>
      </c>
      <c r="M304" s="39">
        <f t="shared" si="127"/>
        <v>54.630307467057008</v>
      </c>
      <c r="N304" s="39">
        <f t="shared" si="128"/>
        <v>41.453147877013123</v>
      </c>
      <c r="O304" s="39"/>
      <c r="P304" s="39">
        <f t="shared" si="129"/>
        <v>47.1959492435332</v>
      </c>
      <c r="Q304" s="39">
        <f t="shared" si="130"/>
        <v>50.401171303074683</v>
      </c>
      <c r="R304" s="39">
        <f t="shared" si="131"/>
        <v>43.610297706198246</v>
      </c>
      <c r="S304" s="39">
        <f t="shared" si="132"/>
        <v>43.623474865788175</v>
      </c>
      <c r="T304" s="39">
        <f t="shared" si="133"/>
        <v>43.389702293802117</v>
      </c>
      <c r="U304" s="39">
        <f t="shared" si="134"/>
        <v>37.885797950219526</v>
      </c>
      <c r="V304" s="39">
        <f t="shared" si="135"/>
        <v>53.623962908736083</v>
      </c>
      <c r="W304" s="39">
        <f t="shared" si="136"/>
        <v>56.559541239628928</v>
      </c>
      <c r="X304" s="39">
        <f t="shared" si="137"/>
        <v>47.793801854563419</v>
      </c>
      <c r="Y304" s="39">
        <f t="shared" si="138"/>
        <v>51.725719863347933</v>
      </c>
      <c r="Z304" s="39">
        <f t="shared" si="139"/>
        <v>52.0802830649097</v>
      </c>
      <c r="AA304" s="39">
        <f t="shared" si="140"/>
        <v>52.855051244509546</v>
      </c>
      <c r="AB304" s="38"/>
      <c r="AE304" s="15">
        <v>2.6203703703703705E-2</v>
      </c>
      <c r="AF304" s="11">
        <f t="shared" si="141"/>
        <v>2264</v>
      </c>
      <c r="AG304" s="8">
        <v>2.0598999999999998</v>
      </c>
      <c r="AH304" s="8">
        <v>2.0379999999999998</v>
      </c>
      <c r="AI304" s="8">
        <v>2.0457999999999998</v>
      </c>
      <c r="AJ304" s="8">
        <v>2.0318000000000001</v>
      </c>
      <c r="AK304" s="8">
        <v>2.0373999999999999</v>
      </c>
      <c r="AL304" s="8">
        <v>2.0369000000000002</v>
      </c>
      <c r="AM304" s="8">
        <v>1.9603999999999999</v>
      </c>
      <c r="AN304" s="8">
        <v>1.9400999999999999</v>
      </c>
      <c r="AO304" s="8">
        <v>1.9091</v>
      </c>
      <c r="AP304" s="8">
        <v>1.9294</v>
      </c>
      <c r="AQ304" s="8">
        <v>1.9729000000000001</v>
      </c>
      <c r="AR304" s="8">
        <v>1.9602999999999999</v>
      </c>
      <c r="AS304" s="8">
        <v>2.0121000000000002</v>
      </c>
      <c r="AT304" s="8">
        <v>2.0013999999999998</v>
      </c>
      <c r="AU304" s="8">
        <v>2.0295999999999998</v>
      </c>
      <c r="AV304" s="8">
        <v>2.0213999999999999</v>
      </c>
      <c r="AW304" s="8">
        <v>2.0259999999999998</v>
      </c>
      <c r="AX304" s="8">
        <v>2.0066000000000002</v>
      </c>
      <c r="AY304" s="8">
        <v>1.9948999999999999</v>
      </c>
      <c r="AZ304" s="8">
        <v>1.9890000000000001</v>
      </c>
      <c r="BA304" s="8">
        <v>1.9968999999999999</v>
      </c>
      <c r="BB304" s="8">
        <v>1.9991000000000001</v>
      </c>
      <c r="BC304" s="8">
        <v>1.9984999999999999</v>
      </c>
      <c r="BD304" s="8">
        <v>1.9675</v>
      </c>
    </row>
    <row r="305" spans="2:56" x14ac:dyDescent="0.3">
      <c r="B305" s="35">
        <f t="shared" si="116"/>
        <v>2272</v>
      </c>
      <c r="C305" s="39">
        <f t="shared" si="117"/>
        <v>21.492679355783352</v>
      </c>
      <c r="D305" s="39">
        <f t="shared" si="118"/>
        <v>23.132747681795983</v>
      </c>
      <c r="E305" s="39">
        <f t="shared" si="119"/>
        <v>30.38945827232796</v>
      </c>
      <c r="F305" s="39">
        <f t="shared" si="120"/>
        <v>29.645192776964368</v>
      </c>
      <c r="G305" s="39">
        <f t="shared" si="121"/>
        <v>33.023426061493339</v>
      </c>
      <c r="H305" s="39">
        <f t="shared" si="122"/>
        <v>30.69155685700359</v>
      </c>
      <c r="I305" s="39">
        <f t="shared" si="123"/>
        <v>59.785505124451014</v>
      </c>
      <c r="J305" s="40">
        <f t="shared" si="124"/>
        <v>70.773792093704131</v>
      </c>
      <c r="K305" s="39">
        <f t="shared" si="125"/>
        <v>79.296974133723822</v>
      </c>
      <c r="L305" s="39">
        <f t="shared" si="126"/>
        <v>76.628111273792101</v>
      </c>
      <c r="M305" s="39">
        <f t="shared" si="127"/>
        <v>54.825524646168851</v>
      </c>
      <c r="N305" s="39">
        <f t="shared" si="128"/>
        <v>42.136408003904215</v>
      </c>
      <c r="O305" s="39"/>
      <c r="P305" s="39">
        <f t="shared" si="129"/>
        <v>47.0495363591995</v>
      </c>
      <c r="Q305" s="39">
        <f t="shared" si="130"/>
        <v>48.693020985846637</v>
      </c>
      <c r="R305" s="39">
        <f t="shared" si="131"/>
        <v>44.04953635919955</v>
      </c>
      <c r="S305" s="39">
        <f t="shared" si="132"/>
        <v>42.403367496339698</v>
      </c>
      <c r="T305" s="39">
        <f t="shared" si="133"/>
        <v>42.901659346022548</v>
      </c>
      <c r="U305" s="39">
        <f t="shared" si="134"/>
        <v>38.081015129331263</v>
      </c>
      <c r="V305" s="39">
        <f t="shared" si="135"/>
        <v>54.941678867740436</v>
      </c>
      <c r="W305" s="39">
        <f t="shared" si="136"/>
        <v>56.461932650073059</v>
      </c>
      <c r="X305" s="39">
        <f t="shared" si="137"/>
        <v>46.476085895558953</v>
      </c>
      <c r="Y305" s="39">
        <f t="shared" si="138"/>
        <v>51.969741337237714</v>
      </c>
      <c r="Z305" s="39">
        <f t="shared" si="139"/>
        <v>52.226695949243513</v>
      </c>
      <c r="AA305" s="39">
        <f t="shared" si="140"/>
        <v>53.538311371400745</v>
      </c>
      <c r="AB305" s="38"/>
      <c r="AE305" s="15">
        <v>2.6296296296296293E-2</v>
      </c>
      <c r="AF305" s="11">
        <f t="shared" si="141"/>
        <v>2272</v>
      </c>
      <c r="AG305" s="8">
        <v>2.0602999999999998</v>
      </c>
      <c r="AH305" s="8">
        <v>2.0417000000000001</v>
      </c>
      <c r="AI305" s="8">
        <v>2.0442</v>
      </c>
      <c r="AJ305" s="8">
        <v>2.0335000000000001</v>
      </c>
      <c r="AK305" s="8">
        <v>2.0367999999999999</v>
      </c>
      <c r="AL305" s="8">
        <v>2.0354999999999999</v>
      </c>
      <c r="AM305" s="8">
        <v>1.9619</v>
      </c>
      <c r="AN305" s="8">
        <v>1.9395</v>
      </c>
      <c r="AO305" s="8">
        <v>1.9078999999999999</v>
      </c>
      <c r="AP305" s="8">
        <v>1.9277</v>
      </c>
      <c r="AQ305" s="8">
        <v>1.9724999999999999</v>
      </c>
      <c r="AR305" s="8">
        <v>1.9589000000000001</v>
      </c>
      <c r="AS305" s="8">
        <v>2.0124</v>
      </c>
      <c r="AT305" s="8">
        <v>2.0049000000000001</v>
      </c>
      <c r="AU305" s="8">
        <v>2.0287000000000002</v>
      </c>
      <c r="AV305" s="8">
        <v>2.0238999999999998</v>
      </c>
      <c r="AW305" s="8">
        <v>2.0270000000000001</v>
      </c>
      <c r="AX305" s="8">
        <v>2.0062000000000002</v>
      </c>
      <c r="AY305" s="8">
        <v>1.9922</v>
      </c>
      <c r="AZ305" s="8">
        <v>1.9892000000000001</v>
      </c>
      <c r="BA305" s="8">
        <v>1.9996</v>
      </c>
      <c r="BB305" s="8">
        <v>1.9985999999999999</v>
      </c>
      <c r="BC305" s="8">
        <v>1.9982</v>
      </c>
      <c r="BD305" s="8">
        <v>1.9661</v>
      </c>
    </row>
    <row r="306" spans="2:56" x14ac:dyDescent="0.3">
      <c r="B306" s="35">
        <f t="shared" si="116"/>
        <v>2280</v>
      </c>
      <c r="C306" s="39">
        <f t="shared" si="117"/>
        <v>22.078330893118572</v>
      </c>
      <c r="D306" s="39">
        <f t="shared" si="118"/>
        <v>24.011224987799032</v>
      </c>
      <c r="E306" s="39">
        <f t="shared" si="119"/>
        <v>30.145436798438176</v>
      </c>
      <c r="F306" s="39">
        <f t="shared" si="120"/>
        <v>29.889214250854153</v>
      </c>
      <c r="G306" s="39">
        <f t="shared" si="121"/>
        <v>32.486578818935953</v>
      </c>
      <c r="H306" s="39">
        <f t="shared" si="122"/>
        <v>31.570034163006426</v>
      </c>
      <c r="I306" s="39">
        <f t="shared" si="123"/>
        <v>59.590287945339277</v>
      </c>
      <c r="J306" s="40">
        <f t="shared" si="124"/>
        <v>70.432162030258567</v>
      </c>
      <c r="K306" s="39">
        <f t="shared" si="125"/>
        <v>79.443387018057621</v>
      </c>
      <c r="L306" s="39">
        <f t="shared" si="126"/>
        <v>77.262567105905362</v>
      </c>
      <c r="M306" s="39">
        <f t="shared" si="127"/>
        <v>54.825524646168851</v>
      </c>
      <c r="N306" s="39">
        <f t="shared" si="128"/>
        <v>41.453147877013123</v>
      </c>
      <c r="O306" s="39"/>
      <c r="P306" s="39">
        <f t="shared" si="129"/>
        <v>46.951927769643632</v>
      </c>
      <c r="Q306" s="39">
        <f t="shared" si="130"/>
        <v>48.107369448511413</v>
      </c>
      <c r="R306" s="39">
        <f t="shared" si="131"/>
        <v>44.537579306979119</v>
      </c>
      <c r="S306" s="39">
        <f t="shared" si="132"/>
        <v>42.354563201561646</v>
      </c>
      <c r="T306" s="39">
        <f t="shared" si="133"/>
        <v>43.292093704246234</v>
      </c>
      <c r="U306" s="39">
        <f t="shared" si="134"/>
        <v>38.227428013665175</v>
      </c>
      <c r="V306" s="39">
        <f t="shared" si="135"/>
        <v>53.721571498291958</v>
      </c>
      <c r="W306" s="39">
        <f t="shared" si="136"/>
        <v>57.193997071742196</v>
      </c>
      <c r="X306" s="39">
        <f t="shared" si="137"/>
        <v>46.573694485114828</v>
      </c>
      <c r="Y306" s="39">
        <f t="shared" si="138"/>
        <v>51.286481210346516</v>
      </c>
      <c r="Z306" s="39">
        <f t="shared" si="139"/>
        <v>51.738653001464051</v>
      </c>
      <c r="AA306" s="39">
        <f t="shared" si="140"/>
        <v>53.24548560273314</v>
      </c>
      <c r="AB306" s="38"/>
      <c r="AE306" s="15">
        <v>2.6388888888888889E-2</v>
      </c>
      <c r="AF306" s="11">
        <f t="shared" si="141"/>
        <v>2280</v>
      </c>
      <c r="AG306" s="8">
        <v>2.0590999999999999</v>
      </c>
      <c r="AH306" s="8">
        <v>2.0398999999999998</v>
      </c>
      <c r="AI306" s="8">
        <v>2.0447000000000002</v>
      </c>
      <c r="AJ306" s="8">
        <v>2.0329999999999999</v>
      </c>
      <c r="AK306" s="8">
        <v>2.0379</v>
      </c>
      <c r="AL306" s="8">
        <v>2.0337000000000001</v>
      </c>
      <c r="AM306" s="8">
        <v>1.9622999999999999</v>
      </c>
      <c r="AN306" s="8">
        <v>1.9401999999999999</v>
      </c>
      <c r="AO306" s="8">
        <v>1.9076</v>
      </c>
      <c r="AP306" s="8">
        <v>1.9263999999999999</v>
      </c>
      <c r="AQ306" s="8">
        <v>1.9724999999999999</v>
      </c>
      <c r="AR306" s="8">
        <v>1.9602999999999999</v>
      </c>
      <c r="AS306" s="8">
        <v>2.0125999999999999</v>
      </c>
      <c r="AT306" s="8">
        <v>2.0061</v>
      </c>
      <c r="AU306" s="8">
        <v>2.0276999999999998</v>
      </c>
      <c r="AV306" s="8">
        <v>2.024</v>
      </c>
      <c r="AW306" s="8">
        <v>2.0261999999999998</v>
      </c>
      <c r="AX306" s="8">
        <v>2.0059</v>
      </c>
      <c r="AY306" s="8">
        <v>1.9946999999999999</v>
      </c>
      <c r="AZ306" s="8">
        <v>1.9877</v>
      </c>
      <c r="BA306" s="8">
        <v>1.9994000000000001</v>
      </c>
      <c r="BB306" s="8">
        <v>2</v>
      </c>
      <c r="BC306" s="8">
        <v>1.9992000000000001</v>
      </c>
      <c r="BD306" s="8">
        <v>1.9666999999999999</v>
      </c>
    </row>
    <row r="307" spans="2:56" x14ac:dyDescent="0.3">
      <c r="B307" s="35">
        <f t="shared" si="116"/>
        <v>2288</v>
      </c>
      <c r="C307" s="39">
        <f t="shared" si="117"/>
        <v>21.785505124450964</v>
      </c>
      <c r="D307" s="39">
        <f t="shared" si="118"/>
        <v>24.743289409467948</v>
      </c>
      <c r="E307" s="39">
        <f t="shared" si="119"/>
        <v>30.291849682772092</v>
      </c>
      <c r="F307" s="39">
        <f t="shared" si="120"/>
        <v>28.571498291849796</v>
      </c>
      <c r="G307" s="39">
        <f t="shared" si="121"/>
        <v>32.779404587603558</v>
      </c>
      <c r="H307" s="39">
        <f t="shared" si="122"/>
        <v>31.179599804782942</v>
      </c>
      <c r="I307" s="39">
        <f t="shared" si="123"/>
        <v>59.151049292337746</v>
      </c>
      <c r="J307" s="40">
        <f t="shared" si="124"/>
        <v>70.285749145924768</v>
      </c>
      <c r="K307" s="39">
        <f t="shared" si="125"/>
        <v>78.662518301610561</v>
      </c>
      <c r="L307" s="39">
        <f t="shared" si="126"/>
        <v>76.579306979014163</v>
      </c>
      <c r="M307" s="39">
        <f t="shared" si="127"/>
        <v>54.435090287945265</v>
      </c>
      <c r="N307" s="39">
        <f t="shared" si="128"/>
        <v>41.160322108345397</v>
      </c>
      <c r="O307" s="39"/>
      <c r="P307" s="39">
        <f t="shared" si="129"/>
        <v>46.805514885309719</v>
      </c>
      <c r="Q307" s="39">
        <f t="shared" si="130"/>
        <v>48.741825280624674</v>
      </c>
      <c r="R307" s="39">
        <f t="shared" si="131"/>
        <v>43.317471937530634</v>
      </c>
      <c r="S307" s="39">
        <f t="shared" si="132"/>
        <v>42.305758906783829</v>
      </c>
      <c r="T307" s="39">
        <f t="shared" si="133"/>
        <v>43.487310883357985</v>
      </c>
      <c r="U307" s="39">
        <f t="shared" si="134"/>
        <v>38.471449487554963</v>
      </c>
      <c r="V307" s="39">
        <f t="shared" si="135"/>
        <v>53.770375793069888</v>
      </c>
      <c r="W307" s="39">
        <f t="shared" si="136"/>
        <v>57.340409956076002</v>
      </c>
      <c r="X307" s="39">
        <f t="shared" si="137"/>
        <v>46.768911664226565</v>
      </c>
      <c r="Y307" s="39">
        <f t="shared" si="138"/>
        <v>51.920937042459784</v>
      </c>
      <c r="Z307" s="39">
        <f t="shared" si="139"/>
        <v>52.324304538799382</v>
      </c>
      <c r="AA307" s="39">
        <f t="shared" si="140"/>
        <v>53.05026842362129</v>
      </c>
      <c r="AB307" s="38"/>
      <c r="AE307" s="15">
        <v>2.6481481481481481E-2</v>
      </c>
      <c r="AF307" s="11">
        <f t="shared" si="141"/>
        <v>2288</v>
      </c>
      <c r="AG307" s="8">
        <v>2.0596999999999999</v>
      </c>
      <c r="AH307" s="8">
        <v>2.0384000000000002</v>
      </c>
      <c r="AI307" s="8">
        <v>2.0444</v>
      </c>
      <c r="AJ307" s="8">
        <v>2.0356999999999998</v>
      </c>
      <c r="AK307" s="8">
        <v>2.0373000000000001</v>
      </c>
      <c r="AL307" s="8">
        <v>2.0345</v>
      </c>
      <c r="AM307" s="8">
        <v>1.9632000000000001</v>
      </c>
      <c r="AN307" s="8">
        <v>1.9404999999999999</v>
      </c>
      <c r="AO307" s="8">
        <v>1.9092</v>
      </c>
      <c r="AP307" s="8">
        <v>1.9278</v>
      </c>
      <c r="AQ307" s="8">
        <v>1.9733000000000001</v>
      </c>
      <c r="AR307" s="8">
        <v>1.9609000000000001</v>
      </c>
      <c r="AS307" s="8">
        <v>2.0129000000000001</v>
      </c>
      <c r="AT307" s="8">
        <v>2.0047999999999999</v>
      </c>
      <c r="AU307" s="8">
        <v>2.0301999999999998</v>
      </c>
      <c r="AV307" s="8">
        <v>2.0240999999999998</v>
      </c>
      <c r="AW307" s="8">
        <v>2.0257999999999998</v>
      </c>
      <c r="AX307" s="8">
        <v>2.0053999999999998</v>
      </c>
      <c r="AY307" s="8">
        <v>1.9945999999999999</v>
      </c>
      <c r="AZ307" s="8">
        <v>1.9874000000000001</v>
      </c>
      <c r="BA307" s="8">
        <v>1.9990000000000001</v>
      </c>
      <c r="BB307" s="8">
        <v>1.9986999999999999</v>
      </c>
      <c r="BC307" s="8">
        <v>1.998</v>
      </c>
      <c r="BD307" s="8">
        <v>1.9671000000000001</v>
      </c>
    </row>
    <row r="308" spans="2:56" x14ac:dyDescent="0.3">
      <c r="B308" s="35">
        <f t="shared" si="116"/>
        <v>2296</v>
      </c>
      <c r="C308" s="39">
        <f t="shared" si="117"/>
        <v>21.297462176671399</v>
      </c>
      <c r="D308" s="39">
        <f t="shared" si="118"/>
        <v>23.91361639824316</v>
      </c>
      <c r="E308" s="39">
        <f t="shared" si="119"/>
        <v>29.41337237676926</v>
      </c>
      <c r="F308" s="39">
        <f t="shared" si="120"/>
        <v>29.693997071742412</v>
      </c>
      <c r="G308" s="39">
        <f t="shared" si="121"/>
        <v>32.096144460712466</v>
      </c>
      <c r="H308" s="39">
        <f t="shared" si="122"/>
        <v>30.789165446559462</v>
      </c>
      <c r="I308" s="39">
        <f t="shared" si="123"/>
        <v>60.175939482674494</v>
      </c>
      <c r="J308" s="40">
        <f t="shared" si="124"/>
        <v>69.79770619814532</v>
      </c>
      <c r="K308" s="39">
        <f t="shared" si="125"/>
        <v>79.150561249390023</v>
      </c>
      <c r="L308" s="39">
        <f t="shared" si="126"/>
        <v>76.725719863347976</v>
      </c>
      <c r="M308" s="39">
        <f t="shared" si="127"/>
        <v>54.483894582723202</v>
      </c>
      <c r="N308" s="39">
        <f t="shared" si="128"/>
        <v>41.453147877013123</v>
      </c>
      <c r="O308" s="39"/>
      <c r="P308" s="39">
        <f t="shared" si="129"/>
        <v>47.000732064421456</v>
      </c>
      <c r="Q308" s="39">
        <f t="shared" si="130"/>
        <v>48.497803806734893</v>
      </c>
      <c r="R308" s="39">
        <f t="shared" si="131"/>
        <v>43.073450463640846</v>
      </c>
      <c r="S308" s="39">
        <f t="shared" si="132"/>
        <v>43.135431918008607</v>
      </c>
      <c r="T308" s="39">
        <f t="shared" si="133"/>
        <v>43.389702293802117</v>
      </c>
      <c r="U308" s="39">
        <f t="shared" si="134"/>
        <v>39.642752562225404</v>
      </c>
      <c r="V308" s="39">
        <f t="shared" si="135"/>
        <v>54.209614446071299</v>
      </c>
      <c r="W308" s="39">
        <f t="shared" si="136"/>
        <v>56.559541239628928</v>
      </c>
      <c r="X308" s="39">
        <f t="shared" si="137"/>
        <v>47.159346022450151</v>
      </c>
      <c r="Y308" s="39">
        <f t="shared" si="138"/>
        <v>51.432894094680321</v>
      </c>
      <c r="Z308" s="39">
        <f t="shared" si="139"/>
        <v>53.056368960468518</v>
      </c>
      <c r="AA308" s="39">
        <f t="shared" si="140"/>
        <v>53.782332845290419</v>
      </c>
      <c r="AB308" s="38"/>
      <c r="AE308" s="15">
        <v>2.6574074074074073E-2</v>
      </c>
      <c r="AF308" s="11">
        <f t="shared" si="141"/>
        <v>2296</v>
      </c>
      <c r="AG308" s="8">
        <v>2.0607000000000002</v>
      </c>
      <c r="AH308" s="8">
        <v>2.0400999999999998</v>
      </c>
      <c r="AI308" s="8">
        <v>2.0461999999999998</v>
      </c>
      <c r="AJ308" s="8">
        <v>2.0333999999999999</v>
      </c>
      <c r="AK308" s="8">
        <v>2.0387</v>
      </c>
      <c r="AL308" s="8">
        <v>2.0352999999999999</v>
      </c>
      <c r="AM308" s="8">
        <v>1.9611000000000001</v>
      </c>
      <c r="AN308" s="8">
        <v>1.9415</v>
      </c>
      <c r="AO308" s="8">
        <v>1.9081999999999999</v>
      </c>
      <c r="AP308" s="8">
        <v>1.9275</v>
      </c>
      <c r="AQ308" s="8">
        <v>1.9732000000000001</v>
      </c>
      <c r="AR308" s="8">
        <v>1.9602999999999999</v>
      </c>
      <c r="AS308" s="8">
        <v>2.0125000000000002</v>
      </c>
      <c r="AT308" s="8">
        <v>2.0053000000000001</v>
      </c>
      <c r="AU308" s="8">
        <v>2.0306999999999999</v>
      </c>
      <c r="AV308" s="8">
        <v>2.0224000000000002</v>
      </c>
      <c r="AW308" s="8">
        <v>2.0259999999999998</v>
      </c>
      <c r="AX308" s="8">
        <v>2.0030000000000001</v>
      </c>
      <c r="AY308" s="8">
        <v>1.9937</v>
      </c>
      <c r="AZ308" s="8">
        <v>1.9890000000000001</v>
      </c>
      <c r="BA308" s="8">
        <v>1.9982</v>
      </c>
      <c r="BB308" s="8">
        <v>1.9997</v>
      </c>
      <c r="BC308" s="8">
        <v>1.9964999999999999</v>
      </c>
      <c r="BD308" s="8">
        <v>1.9656</v>
      </c>
    </row>
    <row r="309" spans="2:56" x14ac:dyDescent="0.3">
      <c r="B309" s="35">
        <f t="shared" si="116"/>
        <v>2304</v>
      </c>
      <c r="C309" s="39">
        <f t="shared" si="117"/>
        <v>21.297462176671399</v>
      </c>
      <c r="D309" s="39">
        <f t="shared" si="118"/>
        <v>24.06002928257686</v>
      </c>
      <c r="E309" s="39">
        <f t="shared" si="119"/>
        <v>29.80380673499274</v>
      </c>
      <c r="F309" s="39">
        <f t="shared" si="120"/>
        <v>29.693997071742412</v>
      </c>
      <c r="G309" s="39">
        <f t="shared" si="121"/>
        <v>32.828208882381603</v>
      </c>
      <c r="H309" s="39">
        <f t="shared" si="122"/>
        <v>31.228404099560766</v>
      </c>
      <c r="I309" s="39">
        <f t="shared" si="123"/>
        <v>60.127135187896556</v>
      </c>
      <c r="J309" s="40">
        <f t="shared" si="124"/>
        <v>69.895314787701182</v>
      </c>
      <c r="K309" s="39">
        <f t="shared" si="125"/>
        <v>79.78501708150317</v>
      </c>
      <c r="L309" s="39">
        <f t="shared" si="126"/>
        <v>76.920937042459713</v>
      </c>
      <c r="M309" s="39">
        <f t="shared" si="127"/>
        <v>54.337481698389389</v>
      </c>
      <c r="N309" s="39">
        <f t="shared" si="128"/>
        <v>41.989995119570409</v>
      </c>
      <c r="O309" s="39"/>
      <c r="P309" s="39">
        <f t="shared" si="129"/>
        <v>47.391166422645156</v>
      </c>
      <c r="Q309" s="39">
        <f t="shared" si="130"/>
        <v>48.497803806734893</v>
      </c>
      <c r="R309" s="39">
        <f t="shared" si="131"/>
        <v>42.731820400195197</v>
      </c>
      <c r="S309" s="39">
        <f t="shared" si="132"/>
        <v>42.403367496339698</v>
      </c>
      <c r="T309" s="39">
        <f t="shared" si="133"/>
        <v>44.365788189360813</v>
      </c>
      <c r="U309" s="39">
        <f t="shared" si="134"/>
        <v>38.032210834553439</v>
      </c>
      <c r="V309" s="39">
        <f t="shared" si="135"/>
        <v>53.379941434846295</v>
      </c>
      <c r="W309" s="39">
        <f t="shared" si="136"/>
        <v>55.72986822840403</v>
      </c>
      <c r="X309" s="39">
        <f t="shared" si="137"/>
        <v>47.012933138116345</v>
      </c>
      <c r="Y309" s="39">
        <f t="shared" si="138"/>
        <v>51.140068326012603</v>
      </c>
      <c r="Z309" s="39">
        <f t="shared" si="139"/>
        <v>52.617130307466994</v>
      </c>
      <c r="AA309" s="39">
        <f t="shared" si="140"/>
        <v>53.147877013177158</v>
      </c>
      <c r="AB309" s="38"/>
      <c r="AE309" s="15">
        <v>2.6666666666666668E-2</v>
      </c>
      <c r="AF309" s="11">
        <f t="shared" si="141"/>
        <v>2304</v>
      </c>
      <c r="AG309" s="8">
        <v>2.0607000000000002</v>
      </c>
      <c r="AH309" s="8">
        <v>2.0398000000000001</v>
      </c>
      <c r="AI309" s="8">
        <v>2.0453999999999999</v>
      </c>
      <c r="AJ309" s="8">
        <v>2.0333999999999999</v>
      </c>
      <c r="AK309" s="8">
        <v>2.0371999999999999</v>
      </c>
      <c r="AL309" s="8">
        <v>2.0344000000000002</v>
      </c>
      <c r="AM309" s="8">
        <v>1.9612000000000001</v>
      </c>
      <c r="AN309" s="8">
        <v>1.9413</v>
      </c>
      <c r="AO309" s="8">
        <v>1.9069</v>
      </c>
      <c r="AP309" s="8">
        <v>1.9271</v>
      </c>
      <c r="AQ309" s="8">
        <v>1.9735</v>
      </c>
      <c r="AR309" s="8">
        <v>1.9592000000000001</v>
      </c>
      <c r="AS309" s="8">
        <v>2.0116999999999998</v>
      </c>
      <c r="AT309" s="8">
        <v>2.0053000000000001</v>
      </c>
      <c r="AU309" s="8">
        <v>2.0314000000000001</v>
      </c>
      <c r="AV309" s="8">
        <v>2.0238999999999998</v>
      </c>
      <c r="AW309" s="8">
        <v>2.024</v>
      </c>
      <c r="AX309" s="8">
        <v>2.0063</v>
      </c>
      <c r="AY309" s="8">
        <v>1.9954000000000001</v>
      </c>
      <c r="AZ309" s="8">
        <v>1.9906999999999999</v>
      </c>
      <c r="BA309" s="8">
        <v>1.9984999999999999</v>
      </c>
      <c r="BB309" s="8">
        <v>2.0003000000000002</v>
      </c>
      <c r="BC309" s="8">
        <v>1.9974000000000001</v>
      </c>
      <c r="BD309" s="8">
        <v>1.9669000000000001</v>
      </c>
    </row>
    <row r="310" spans="2:56" x14ac:dyDescent="0.3">
      <c r="B310" s="35">
        <f t="shared" si="116"/>
        <v>2312</v>
      </c>
      <c r="C310" s="39">
        <f t="shared" si="117"/>
        <v>21.248657881893568</v>
      </c>
      <c r="D310" s="39">
        <f t="shared" si="118"/>
        <v>23.962420693020984</v>
      </c>
      <c r="E310" s="39">
        <f t="shared" si="119"/>
        <v>29.80380673499274</v>
      </c>
      <c r="F310" s="39">
        <f t="shared" si="120"/>
        <v>30.035627135187848</v>
      </c>
      <c r="G310" s="39">
        <f t="shared" si="121"/>
        <v>32.144948755490297</v>
      </c>
      <c r="H310" s="39">
        <f t="shared" si="122"/>
        <v>30.935578330893158</v>
      </c>
      <c r="I310" s="39">
        <f t="shared" si="123"/>
        <v>59.687896534895145</v>
      </c>
      <c r="J310" s="40">
        <f t="shared" si="124"/>
        <v>70.92020497803793</v>
      </c>
      <c r="K310" s="39">
        <f t="shared" si="125"/>
        <v>79.492191312835558</v>
      </c>
      <c r="L310" s="39">
        <f t="shared" si="126"/>
        <v>78.433870180575909</v>
      </c>
      <c r="M310" s="39">
        <f t="shared" si="127"/>
        <v>55.411176183504075</v>
      </c>
      <c r="N310" s="39">
        <f t="shared" si="128"/>
        <v>41.794777940458665</v>
      </c>
      <c r="O310" s="39"/>
      <c r="P310" s="39">
        <f t="shared" si="129"/>
        <v>47.098340653977331</v>
      </c>
      <c r="Q310" s="39">
        <f t="shared" si="130"/>
        <v>48.107369448511413</v>
      </c>
      <c r="R310" s="39">
        <f t="shared" si="131"/>
        <v>43.073450463640846</v>
      </c>
      <c r="S310" s="39">
        <f t="shared" si="132"/>
        <v>43.135431918008607</v>
      </c>
      <c r="T310" s="39">
        <f t="shared" si="133"/>
        <v>43.438506588579934</v>
      </c>
      <c r="U310" s="39">
        <f t="shared" si="134"/>
        <v>38.861883845778443</v>
      </c>
      <c r="V310" s="39">
        <f t="shared" si="135"/>
        <v>54.307223035627182</v>
      </c>
      <c r="W310" s="39">
        <f t="shared" si="136"/>
        <v>56.315519765739253</v>
      </c>
      <c r="X310" s="39">
        <f t="shared" si="137"/>
        <v>47.598584675451569</v>
      </c>
      <c r="Y310" s="39">
        <f t="shared" si="138"/>
        <v>51.920937042459784</v>
      </c>
      <c r="Z310" s="39">
        <f t="shared" si="139"/>
        <v>52.470717423133188</v>
      </c>
      <c r="AA310" s="39">
        <f t="shared" si="140"/>
        <v>53.489507076622814</v>
      </c>
      <c r="AB310" s="38"/>
      <c r="AE310" s="15">
        <v>2.6759259259259257E-2</v>
      </c>
      <c r="AF310" s="11">
        <f t="shared" si="141"/>
        <v>2312</v>
      </c>
      <c r="AG310" s="8">
        <v>2.0608</v>
      </c>
      <c r="AH310" s="8">
        <v>2.04</v>
      </c>
      <c r="AI310" s="8">
        <v>2.0453999999999999</v>
      </c>
      <c r="AJ310" s="8">
        <v>2.0327000000000002</v>
      </c>
      <c r="AK310" s="8">
        <v>2.0386000000000002</v>
      </c>
      <c r="AL310" s="8">
        <v>2.0350000000000001</v>
      </c>
      <c r="AM310" s="8">
        <v>1.9621</v>
      </c>
      <c r="AN310" s="8">
        <v>1.9392</v>
      </c>
      <c r="AO310" s="8">
        <v>1.9075</v>
      </c>
      <c r="AP310" s="8">
        <v>1.9239999999999999</v>
      </c>
      <c r="AQ310" s="8">
        <v>1.9713000000000001</v>
      </c>
      <c r="AR310" s="8">
        <v>1.9596</v>
      </c>
      <c r="AS310" s="8">
        <v>2.0123000000000002</v>
      </c>
      <c r="AT310" s="8">
        <v>2.0061</v>
      </c>
      <c r="AU310" s="8">
        <v>2.0306999999999999</v>
      </c>
      <c r="AV310" s="8">
        <v>2.0224000000000002</v>
      </c>
      <c r="AW310" s="8">
        <v>2.0259</v>
      </c>
      <c r="AX310" s="8">
        <v>2.0045999999999999</v>
      </c>
      <c r="AY310" s="8">
        <v>1.9935</v>
      </c>
      <c r="AZ310" s="8">
        <v>1.9895</v>
      </c>
      <c r="BA310" s="8">
        <v>1.9973000000000001</v>
      </c>
      <c r="BB310" s="8">
        <v>1.9986999999999999</v>
      </c>
      <c r="BC310" s="8">
        <v>1.9977</v>
      </c>
      <c r="BD310" s="8">
        <v>1.9661999999999999</v>
      </c>
    </row>
    <row r="311" spans="2:56" x14ac:dyDescent="0.3">
      <c r="B311" s="35">
        <f t="shared" si="116"/>
        <v>2320</v>
      </c>
      <c r="C311" s="39">
        <f t="shared" si="117"/>
        <v>21.639092240117051</v>
      </c>
      <c r="D311" s="39">
        <f t="shared" si="118"/>
        <v>23.962420693020984</v>
      </c>
      <c r="E311" s="39">
        <f t="shared" si="119"/>
        <v>29.950219619326436</v>
      </c>
      <c r="F311" s="39">
        <f t="shared" si="120"/>
        <v>29.35236700829676</v>
      </c>
      <c r="G311" s="39">
        <f t="shared" si="121"/>
        <v>32.047340165934429</v>
      </c>
      <c r="H311" s="39">
        <f t="shared" si="122"/>
        <v>30.69155685700359</v>
      </c>
      <c r="I311" s="39">
        <f t="shared" si="123"/>
        <v>59.834309419228944</v>
      </c>
      <c r="J311" s="40">
        <f t="shared" si="124"/>
        <v>70.188140556368793</v>
      </c>
      <c r="K311" s="39">
        <f t="shared" si="125"/>
        <v>78.955344070278159</v>
      </c>
      <c r="L311" s="39">
        <f t="shared" si="126"/>
        <v>78.238653001464058</v>
      </c>
      <c r="M311" s="39">
        <f t="shared" si="127"/>
        <v>55.362371888726138</v>
      </c>
      <c r="N311" s="39">
        <f t="shared" si="128"/>
        <v>42.038799414348347</v>
      </c>
      <c r="O311" s="39"/>
      <c r="P311" s="39">
        <f t="shared" si="129"/>
        <v>47.000732064421456</v>
      </c>
      <c r="Q311" s="39">
        <f t="shared" si="130"/>
        <v>48.497803806734893</v>
      </c>
      <c r="R311" s="39">
        <f t="shared" si="131"/>
        <v>43.415080527086502</v>
      </c>
      <c r="S311" s="39">
        <f t="shared" si="132"/>
        <v>42.305758906783829</v>
      </c>
      <c r="T311" s="39">
        <f t="shared" si="133"/>
        <v>43.438506588579934</v>
      </c>
      <c r="U311" s="39">
        <f t="shared" si="134"/>
        <v>39.886774036115192</v>
      </c>
      <c r="V311" s="39">
        <f t="shared" si="135"/>
        <v>53.965592972181625</v>
      </c>
      <c r="W311" s="39">
        <f t="shared" si="136"/>
        <v>55.973889702293704</v>
      </c>
      <c r="X311" s="39">
        <f t="shared" si="137"/>
        <v>47.403367496339833</v>
      </c>
      <c r="Y311" s="39">
        <f t="shared" si="138"/>
        <v>51.481698389458252</v>
      </c>
      <c r="Z311" s="39">
        <f t="shared" si="139"/>
        <v>52.665934602244924</v>
      </c>
      <c r="AA311" s="39">
        <f t="shared" si="140"/>
        <v>53.440702781844877</v>
      </c>
      <c r="AB311" s="38"/>
      <c r="AE311" s="15">
        <v>2.6851851851851849E-2</v>
      </c>
      <c r="AF311" s="11">
        <f t="shared" si="141"/>
        <v>2320</v>
      </c>
      <c r="AG311" s="8">
        <v>2.06</v>
      </c>
      <c r="AH311" s="8">
        <v>2.04</v>
      </c>
      <c r="AI311" s="8">
        <v>2.0451000000000001</v>
      </c>
      <c r="AJ311" s="8">
        <v>2.0341</v>
      </c>
      <c r="AK311" s="8">
        <v>2.0388000000000002</v>
      </c>
      <c r="AL311" s="8">
        <v>2.0354999999999999</v>
      </c>
      <c r="AM311" s="8">
        <v>1.9618</v>
      </c>
      <c r="AN311" s="8">
        <v>1.9407000000000001</v>
      </c>
      <c r="AO311" s="8">
        <v>1.9086000000000001</v>
      </c>
      <c r="AP311" s="8">
        <v>1.9244000000000001</v>
      </c>
      <c r="AQ311" s="8">
        <v>1.9714</v>
      </c>
      <c r="AR311" s="8">
        <v>1.9591000000000001</v>
      </c>
      <c r="AS311" s="8">
        <v>2.0125000000000002</v>
      </c>
      <c r="AT311" s="8">
        <v>2.0053000000000001</v>
      </c>
      <c r="AU311" s="8">
        <v>2.0299999999999998</v>
      </c>
      <c r="AV311" s="8">
        <v>2.0240999999999998</v>
      </c>
      <c r="AW311" s="8">
        <v>2.0259</v>
      </c>
      <c r="AX311" s="8">
        <v>2.0024999999999999</v>
      </c>
      <c r="AY311" s="8">
        <v>1.9942</v>
      </c>
      <c r="AZ311" s="8">
        <v>1.9902</v>
      </c>
      <c r="BA311" s="8">
        <v>1.9977</v>
      </c>
      <c r="BB311" s="8">
        <v>1.9996</v>
      </c>
      <c r="BC311" s="8">
        <v>1.9973000000000001</v>
      </c>
      <c r="BD311" s="8">
        <v>1.9662999999999999</v>
      </c>
    </row>
    <row r="312" spans="2:56" x14ac:dyDescent="0.3">
      <c r="B312" s="35">
        <f t="shared" si="116"/>
        <v>2328</v>
      </c>
      <c r="C312" s="39">
        <f t="shared" si="117"/>
        <v>21.883113714006836</v>
      </c>
      <c r="D312" s="39">
        <f t="shared" si="118"/>
        <v>23.962420693020984</v>
      </c>
      <c r="E312" s="39">
        <f t="shared" si="119"/>
        <v>30.340653977550133</v>
      </c>
      <c r="F312" s="39">
        <f t="shared" si="120"/>
        <v>29.498779892630672</v>
      </c>
      <c r="G312" s="39">
        <f t="shared" si="121"/>
        <v>33.07223035627117</v>
      </c>
      <c r="H312" s="39">
        <f t="shared" si="122"/>
        <v>31.47242557345055</v>
      </c>
      <c r="I312" s="39">
        <f t="shared" si="123"/>
        <v>60.273548072230362</v>
      </c>
      <c r="J312" s="40">
        <f t="shared" si="124"/>
        <v>70.432162030258567</v>
      </c>
      <c r="K312" s="39">
        <f t="shared" si="125"/>
        <v>79.736212786725233</v>
      </c>
      <c r="L312" s="39">
        <f t="shared" si="126"/>
        <v>78.531478770131784</v>
      </c>
      <c r="M312" s="39">
        <f t="shared" si="127"/>
        <v>55.313567593948207</v>
      </c>
      <c r="N312" s="39">
        <f t="shared" si="128"/>
        <v>42.136408003904215</v>
      </c>
      <c r="O312" s="39"/>
      <c r="P312" s="39">
        <f t="shared" si="129"/>
        <v>47.83040507564646</v>
      </c>
      <c r="Q312" s="39">
        <f t="shared" si="130"/>
        <v>48.595412396290762</v>
      </c>
      <c r="R312" s="39">
        <f t="shared" si="131"/>
        <v>43.51268911664237</v>
      </c>
      <c r="S312" s="39">
        <f t="shared" si="132"/>
        <v>42.500976085895566</v>
      </c>
      <c r="T312" s="39">
        <f t="shared" si="133"/>
        <v>43.584919472913853</v>
      </c>
      <c r="U312" s="39">
        <f t="shared" si="134"/>
        <v>38.617862371888663</v>
      </c>
      <c r="V312" s="39">
        <f t="shared" si="135"/>
        <v>54.453635919960981</v>
      </c>
      <c r="W312" s="39">
        <f t="shared" si="136"/>
        <v>55.534651049292179</v>
      </c>
      <c r="X312" s="39">
        <f t="shared" si="137"/>
        <v>46.622498779892766</v>
      </c>
      <c r="Y312" s="39">
        <f t="shared" si="138"/>
        <v>51.676915568570003</v>
      </c>
      <c r="Z312" s="39">
        <f t="shared" si="139"/>
        <v>53.397999023914061</v>
      </c>
      <c r="AA312" s="39">
        <f t="shared" si="140"/>
        <v>53.391898487066946</v>
      </c>
      <c r="AB312" s="38"/>
      <c r="AE312" s="15">
        <v>2.6944444444444441E-2</v>
      </c>
      <c r="AF312" s="11">
        <f t="shared" si="141"/>
        <v>2328</v>
      </c>
      <c r="AG312" s="8">
        <v>2.0594999999999999</v>
      </c>
      <c r="AH312" s="8">
        <v>2.04</v>
      </c>
      <c r="AI312" s="8">
        <v>2.0442999999999998</v>
      </c>
      <c r="AJ312" s="8">
        <v>2.0337999999999998</v>
      </c>
      <c r="AK312" s="8">
        <v>2.0367000000000002</v>
      </c>
      <c r="AL312" s="8">
        <v>2.0339</v>
      </c>
      <c r="AM312" s="8">
        <v>1.9609000000000001</v>
      </c>
      <c r="AN312" s="8">
        <v>1.9401999999999999</v>
      </c>
      <c r="AO312" s="8">
        <v>1.907</v>
      </c>
      <c r="AP312" s="8">
        <v>1.9238</v>
      </c>
      <c r="AQ312" s="8">
        <v>1.9715</v>
      </c>
      <c r="AR312" s="8">
        <v>1.9589000000000001</v>
      </c>
      <c r="AS312" s="8">
        <v>2.0108000000000001</v>
      </c>
      <c r="AT312" s="8">
        <v>2.0051000000000001</v>
      </c>
      <c r="AU312" s="8">
        <v>2.0297999999999998</v>
      </c>
      <c r="AV312" s="8">
        <v>2.0236999999999998</v>
      </c>
      <c r="AW312" s="8">
        <v>2.0255999999999998</v>
      </c>
      <c r="AX312" s="8">
        <v>2.0051000000000001</v>
      </c>
      <c r="AY312" s="8">
        <v>1.9932000000000001</v>
      </c>
      <c r="AZ312" s="8">
        <v>1.9911000000000001</v>
      </c>
      <c r="BA312" s="8">
        <v>1.9993000000000001</v>
      </c>
      <c r="BB312" s="8">
        <v>1.9992000000000001</v>
      </c>
      <c r="BC312" s="8">
        <v>1.9958</v>
      </c>
      <c r="BD312" s="8">
        <v>1.9663999999999999</v>
      </c>
    </row>
    <row r="313" spans="2:56" x14ac:dyDescent="0.3">
      <c r="B313" s="35">
        <f t="shared" si="116"/>
        <v>2336</v>
      </c>
      <c r="C313" s="39">
        <f t="shared" si="117"/>
        <v>20.809419228892047</v>
      </c>
      <c r="D313" s="39">
        <f t="shared" si="118"/>
        <v>23.132747681795983</v>
      </c>
      <c r="E313" s="39">
        <f t="shared" si="119"/>
        <v>29.510980966325128</v>
      </c>
      <c r="F313" s="39">
        <f t="shared" si="120"/>
        <v>29.157149829185016</v>
      </c>
      <c r="G313" s="39">
        <f t="shared" si="121"/>
        <v>32.193753050268334</v>
      </c>
      <c r="H313" s="39">
        <f t="shared" si="122"/>
        <v>31.179599804782942</v>
      </c>
      <c r="I313" s="39">
        <f t="shared" si="123"/>
        <v>60.566373840898081</v>
      </c>
      <c r="J313" s="40">
        <f t="shared" si="124"/>
        <v>69.700097608589431</v>
      </c>
      <c r="K313" s="39">
        <f t="shared" si="125"/>
        <v>79.199365544167946</v>
      </c>
      <c r="L313" s="39">
        <f t="shared" si="126"/>
        <v>78.775500244021458</v>
      </c>
      <c r="M313" s="39">
        <f t="shared" si="127"/>
        <v>55.557589067837881</v>
      </c>
      <c r="N313" s="39">
        <f t="shared" si="128"/>
        <v>41.501952171791061</v>
      </c>
      <c r="O313" s="39"/>
      <c r="P313" s="39">
        <f t="shared" si="129"/>
        <v>48.806490971205385</v>
      </c>
      <c r="Q313" s="39">
        <f t="shared" si="130"/>
        <v>48.546608101512938</v>
      </c>
      <c r="R313" s="39">
        <f t="shared" si="131"/>
        <v>43.26866764275259</v>
      </c>
      <c r="S313" s="39">
        <f t="shared" si="132"/>
        <v>43.135431918008607</v>
      </c>
      <c r="T313" s="39">
        <f t="shared" si="133"/>
        <v>43.584919472913853</v>
      </c>
      <c r="U313" s="39">
        <f t="shared" si="134"/>
        <v>39.105905319668011</v>
      </c>
      <c r="V313" s="39">
        <f t="shared" si="135"/>
        <v>54.356027330405112</v>
      </c>
      <c r="W313" s="39">
        <f t="shared" si="136"/>
        <v>55.925085407515773</v>
      </c>
      <c r="X313" s="39">
        <f t="shared" si="137"/>
        <v>46.817715959004609</v>
      </c>
      <c r="Y313" s="39">
        <f t="shared" si="138"/>
        <v>51.481698389458252</v>
      </c>
      <c r="Z313" s="39">
        <f t="shared" si="139"/>
        <v>52.81234748657873</v>
      </c>
      <c r="AA313" s="39">
        <f t="shared" si="140"/>
        <v>53.587115666178683</v>
      </c>
      <c r="AB313" s="38"/>
      <c r="AE313" s="15">
        <v>2.7037037037037037E-2</v>
      </c>
      <c r="AF313" s="11">
        <f t="shared" si="141"/>
        <v>2336</v>
      </c>
      <c r="AG313" s="8">
        <v>2.0617000000000001</v>
      </c>
      <c r="AH313" s="8">
        <v>2.0417000000000001</v>
      </c>
      <c r="AI313" s="8">
        <v>2.0459999999999998</v>
      </c>
      <c r="AJ313" s="8">
        <v>2.0345</v>
      </c>
      <c r="AK313" s="8">
        <v>2.0385</v>
      </c>
      <c r="AL313" s="8">
        <v>2.0345</v>
      </c>
      <c r="AM313" s="8">
        <v>1.9602999999999999</v>
      </c>
      <c r="AN313" s="8">
        <v>1.9417</v>
      </c>
      <c r="AO313" s="8">
        <v>1.9080999999999999</v>
      </c>
      <c r="AP313" s="8">
        <v>1.9233</v>
      </c>
      <c r="AQ313" s="8">
        <v>1.9710000000000001</v>
      </c>
      <c r="AR313" s="8">
        <v>1.9601999999999999</v>
      </c>
      <c r="AS313" s="8">
        <v>2.0087999999999999</v>
      </c>
      <c r="AT313" s="8">
        <v>2.0051999999999999</v>
      </c>
      <c r="AU313" s="8">
        <v>2.0303</v>
      </c>
      <c r="AV313" s="8">
        <v>2.0224000000000002</v>
      </c>
      <c r="AW313" s="8">
        <v>2.0255999999999998</v>
      </c>
      <c r="AX313" s="8">
        <v>2.0041000000000002</v>
      </c>
      <c r="AY313" s="8">
        <v>1.9934000000000001</v>
      </c>
      <c r="AZ313" s="8">
        <v>1.9903</v>
      </c>
      <c r="BA313" s="8">
        <v>1.9988999999999999</v>
      </c>
      <c r="BB313" s="8">
        <v>1.9996</v>
      </c>
      <c r="BC313" s="8">
        <v>1.9970000000000001</v>
      </c>
      <c r="BD313" s="8">
        <v>1.966</v>
      </c>
    </row>
    <row r="314" spans="2:56" x14ac:dyDescent="0.3">
      <c r="B314" s="35">
        <f t="shared" si="116"/>
        <v>2344</v>
      </c>
      <c r="C314" s="39">
        <f t="shared" si="117"/>
        <v>21.443875061005311</v>
      </c>
      <c r="D314" s="39">
        <f t="shared" si="118"/>
        <v>23.523182040019464</v>
      </c>
      <c r="E314" s="39">
        <f t="shared" si="119"/>
        <v>29.901415324548609</v>
      </c>
      <c r="F314" s="39">
        <f t="shared" si="120"/>
        <v>29.449975597852628</v>
      </c>
      <c r="G314" s="39">
        <f t="shared" si="121"/>
        <v>32.877013177159434</v>
      </c>
      <c r="H314" s="39">
        <f t="shared" si="122"/>
        <v>31.570034163006426</v>
      </c>
      <c r="I314" s="39">
        <f t="shared" si="123"/>
        <v>59.687896534895145</v>
      </c>
      <c r="J314" s="40">
        <f t="shared" si="124"/>
        <v>69.992923377257057</v>
      </c>
      <c r="K314" s="39">
        <f t="shared" si="125"/>
        <v>79.980234260614907</v>
      </c>
      <c r="L314" s="39">
        <f t="shared" si="126"/>
        <v>78.580283064909722</v>
      </c>
      <c r="M314" s="39">
        <f t="shared" si="127"/>
        <v>54.825524646168851</v>
      </c>
      <c r="N314" s="39">
        <f t="shared" si="128"/>
        <v>41.501952171791061</v>
      </c>
      <c r="O314" s="39"/>
      <c r="P314" s="39">
        <f t="shared" si="129"/>
        <v>47.439970717422987</v>
      </c>
      <c r="Q314" s="39">
        <f t="shared" si="130"/>
        <v>48.009760858955538</v>
      </c>
      <c r="R314" s="39">
        <f t="shared" si="131"/>
        <v>42.878233284529109</v>
      </c>
      <c r="S314" s="39">
        <f t="shared" si="132"/>
        <v>43.184236212786651</v>
      </c>
      <c r="T314" s="39">
        <f t="shared" si="133"/>
        <v>43.877745241581458</v>
      </c>
      <c r="U314" s="39">
        <f t="shared" si="134"/>
        <v>39.252318204001924</v>
      </c>
      <c r="V314" s="39">
        <f t="shared" si="135"/>
        <v>53.819180087847826</v>
      </c>
      <c r="W314" s="39">
        <f t="shared" si="136"/>
        <v>55.778672523181967</v>
      </c>
      <c r="X314" s="39">
        <f t="shared" si="137"/>
        <v>46.915324548560477</v>
      </c>
      <c r="Y314" s="39">
        <f t="shared" si="138"/>
        <v>52.604197169350876</v>
      </c>
      <c r="Z314" s="39">
        <f t="shared" si="139"/>
        <v>52.909956076134712</v>
      </c>
      <c r="AA314" s="39">
        <f t="shared" si="140"/>
        <v>53.831137140068357</v>
      </c>
      <c r="AB314" s="38"/>
      <c r="AE314" s="15">
        <v>2.7129629629629632E-2</v>
      </c>
      <c r="AF314" s="11">
        <f t="shared" si="141"/>
        <v>2344</v>
      </c>
      <c r="AG314" s="8">
        <v>2.0604</v>
      </c>
      <c r="AH314" s="8">
        <v>2.0409000000000002</v>
      </c>
      <c r="AI314" s="8">
        <v>2.0451999999999999</v>
      </c>
      <c r="AJ314" s="8">
        <v>2.0339</v>
      </c>
      <c r="AK314" s="8">
        <v>2.0371000000000001</v>
      </c>
      <c r="AL314" s="8">
        <v>2.0337000000000001</v>
      </c>
      <c r="AM314" s="8">
        <v>1.9621</v>
      </c>
      <c r="AN314" s="8">
        <v>1.9411</v>
      </c>
      <c r="AO314" s="8">
        <v>1.9065000000000001</v>
      </c>
      <c r="AP314" s="8">
        <v>1.9237</v>
      </c>
      <c r="AQ314" s="8">
        <v>1.9724999999999999</v>
      </c>
      <c r="AR314" s="8">
        <v>1.9601999999999999</v>
      </c>
      <c r="AS314" s="8">
        <v>2.0116000000000001</v>
      </c>
      <c r="AT314" s="8">
        <v>2.0063</v>
      </c>
      <c r="AU314" s="8">
        <v>2.0310999999999999</v>
      </c>
      <c r="AV314" s="8">
        <v>2.0223</v>
      </c>
      <c r="AW314" s="8">
        <v>2.0249999999999999</v>
      </c>
      <c r="AX314" s="8">
        <v>2.0038</v>
      </c>
      <c r="AY314" s="8">
        <v>1.9944999999999999</v>
      </c>
      <c r="AZ314" s="8">
        <v>1.9905999999999999</v>
      </c>
      <c r="BA314" s="8">
        <v>1.9986999999999999</v>
      </c>
      <c r="BB314" s="8">
        <v>1.9973000000000001</v>
      </c>
      <c r="BC314" s="8">
        <v>1.9967999999999999</v>
      </c>
      <c r="BD314" s="8">
        <v>1.9655</v>
      </c>
    </row>
    <row r="315" spans="2:56" x14ac:dyDescent="0.3">
      <c r="B315" s="35">
        <f t="shared" si="116"/>
        <v>2352</v>
      </c>
      <c r="C315" s="39">
        <f t="shared" si="117"/>
        <v>21.395070766227267</v>
      </c>
      <c r="D315" s="39">
        <f t="shared" si="118"/>
        <v>24.157637872132728</v>
      </c>
      <c r="E315" s="39">
        <f t="shared" si="119"/>
        <v>30.584675451439697</v>
      </c>
      <c r="F315" s="39">
        <f t="shared" si="120"/>
        <v>29.303562713518932</v>
      </c>
      <c r="G315" s="39">
        <f t="shared" si="121"/>
        <v>32.388970229380085</v>
      </c>
      <c r="H315" s="39">
        <f t="shared" si="122"/>
        <v>31.570034163006426</v>
      </c>
      <c r="I315" s="39">
        <f t="shared" si="123"/>
        <v>59.785505124451014</v>
      </c>
      <c r="J315" s="40">
        <f t="shared" si="124"/>
        <v>70.724987798926193</v>
      </c>
      <c r="K315" s="39">
        <f t="shared" si="125"/>
        <v>80.273060029282632</v>
      </c>
      <c r="L315" s="39">
        <f t="shared" si="126"/>
        <v>79.26354319180092</v>
      </c>
      <c r="M315" s="39">
        <f t="shared" si="127"/>
        <v>55.215959004392339</v>
      </c>
      <c r="N315" s="39">
        <f t="shared" si="128"/>
        <v>41.453147877013123</v>
      </c>
      <c r="O315" s="39"/>
      <c r="P315" s="39">
        <f t="shared" si="129"/>
        <v>47.147144948755368</v>
      </c>
      <c r="Q315" s="39">
        <f t="shared" si="130"/>
        <v>49.034651049292286</v>
      </c>
      <c r="R315" s="39">
        <f t="shared" si="131"/>
        <v>44.342362127867375</v>
      </c>
      <c r="S315" s="39">
        <f t="shared" si="132"/>
        <v>42.696193265007302</v>
      </c>
      <c r="T315" s="39">
        <f t="shared" si="133"/>
        <v>44.365788189360813</v>
      </c>
      <c r="U315" s="39">
        <f t="shared" si="134"/>
        <v>39.008296730112143</v>
      </c>
      <c r="V315" s="39">
        <f t="shared" si="135"/>
        <v>53.770375793069888</v>
      </c>
      <c r="W315" s="39">
        <f t="shared" si="136"/>
        <v>55.290629575402505</v>
      </c>
      <c r="X315" s="39">
        <f t="shared" si="137"/>
        <v>47.598584675451569</v>
      </c>
      <c r="Y315" s="39">
        <f t="shared" si="138"/>
        <v>51.872132747681846</v>
      </c>
      <c r="Z315" s="39">
        <f t="shared" si="139"/>
        <v>52.861151781356774</v>
      </c>
      <c r="AA315" s="39">
        <f t="shared" si="140"/>
        <v>53.538311371400745</v>
      </c>
      <c r="AB315" s="38"/>
      <c r="AE315" s="15">
        <v>2.7222222222222228E-2</v>
      </c>
      <c r="AF315" s="11">
        <f t="shared" si="141"/>
        <v>2352</v>
      </c>
      <c r="AG315" s="8">
        <v>2.0605000000000002</v>
      </c>
      <c r="AH315" s="8">
        <v>2.0396000000000001</v>
      </c>
      <c r="AI315" s="8">
        <v>2.0438000000000001</v>
      </c>
      <c r="AJ315" s="8">
        <v>2.0341999999999998</v>
      </c>
      <c r="AK315" s="8">
        <v>2.0381</v>
      </c>
      <c r="AL315" s="8">
        <v>2.0337000000000001</v>
      </c>
      <c r="AM315" s="8">
        <v>1.9619</v>
      </c>
      <c r="AN315" s="8">
        <v>1.9396</v>
      </c>
      <c r="AO315" s="8">
        <v>1.9058999999999999</v>
      </c>
      <c r="AP315" s="8">
        <v>1.9222999999999999</v>
      </c>
      <c r="AQ315" s="8">
        <v>1.9717</v>
      </c>
      <c r="AR315" s="8">
        <v>1.9602999999999999</v>
      </c>
      <c r="AS315" s="8">
        <v>2.0122</v>
      </c>
      <c r="AT315" s="8">
        <v>2.0042</v>
      </c>
      <c r="AU315" s="8">
        <v>2.0280999999999998</v>
      </c>
      <c r="AV315" s="8">
        <v>2.0232999999999999</v>
      </c>
      <c r="AW315" s="8">
        <v>2.024</v>
      </c>
      <c r="AX315" s="8">
        <v>2.0043000000000002</v>
      </c>
      <c r="AY315" s="8">
        <v>1.9945999999999999</v>
      </c>
      <c r="AZ315" s="8">
        <v>1.9916</v>
      </c>
      <c r="BA315" s="8">
        <v>1.9973000000000001</v>
      </c>
      <c r="BB315" s="8">
        <v>1.9987999999999999</v>
      </c>
      <c r="BC315" s="8">
        <v>1.9968999999999999</v>
      </c>
      <c r="BD315" s="8">
        <v>1.9661</v>
      </c>
    </row>
    <row r="316" spans="2:56" x14ac:dyDescent="0.3">
      <c r="B316" s="35">
        <f t="shared" si="116"/>
        <v>2360</v>
      </c>
      <c r="C316" s="39">
        <f t="shared" si="117"/>
        <v>20.760614934114219</v>
      </c>
      <c r="D316" s="39">
        <f t="shared" si="118"/>
        <v>23.181551976574028</v>
      </c>
      <c r="E316" s="39">
        <f t="shared" si="119"/>
        <v>29.852611029770564</v>
      </c>
      <c r="F316" s="39">
        <f t="shared" si="120"/>
        <v>28.571498291849796</v>
      </c>
      <c r="G316" s="39">
        <f t="shared" si="121"/>
        <v>32.486578818935953</v>
      </c>
      <c r="H316" s="39">
        <f t="shared" si="122"/>
        <v>31.618838457784467</v>
      </c>
      <c r="I316" s="39">
        <f t="shared" si="123"/>
        <v>59.736700829673076</v>
      </c>
      <c r="J316" s="40">
        <f t="shared" si="124"/>
        <v>70.236944851146731</v>
      </c>
      <c r="K316" s="39">
        <f t="shared" si="125"/>
        <v>79.931429965836969</v>
      </c>
      <c r="L316" s="39">
        <f t="shared" si="126"/>
        <v>79.409956076134719</v>
      </c>
      <c r="M316" s="39">
        <f t="shared" si="127"/>
        <v>54.776720351390914</v>
      </c>
      <c r="N316" s="39">
        <f t="shared" si="128"/>
        <v>41.355539287457255</v>
      </c>
      <c r="O316" s="39"/>
      <c r="P316" s="39">
        <f t="shared" si="129"/>
        <v>47.635187896534724</v>
      </c>
      <c r="Q316" s="39">
        <f t="shared" si="130"/>
        <v>48.204978038067281</v>
      </c>
      <c r="R316" s="39">
        <f t="shared" si="131"/>
        <v>43.903123474865851</v>
      </c>
      <c r="S316" s="39">
        <f t="shared" si="132"/>
        <v>43.525866276232307</v>
      </c>
      <c r="T316" s="39">
        <f t="shared" si="133"/>
        <v>44.17057101024907</v>
      </c>
      <c r="U316" s="39">
        <f t="shared" si="134"/>
        <v>38.959492435334312</v>
      </c>
      <c r="V316" s="39">
        <f t="shared" si="135"/>
        <v>53.721571498291958</v>
      </c>
      <c r="W316" s="39">
        <f t="shared" si="136"/>
        <v>55.778672523181967</v>
      </c>
      <c r="X316" s="39">
        <f t="shared" si="137"/>
        <v>46.964128843338415</v>
      </c>
      <c r="Y316" s="39">
        <f t="shared" si="138"/>
        <v>52.164958516349458</v>
      </c>
      <c r="Z316" s="39">
        <f t="shared" si="139"/>
        <v>52.81234748657873</v>
      </c>
      <c r="AA316" s="39">
        <f t="shared" si="140"/>
        <v>54.416788677403687</v>
      </c>
      <c r="AB316" s="38"/>
      <c r="AE316" s="15">
        <v>2.7314814814814816E-2</v>
      </c>
      <c r="AF316" s="11">
        <f t="shared" si="141"/>
        <v>2360</v>
      </c>
      <c r="AG316" s="8">
        <v>2.0617999999999999</v>
      </c>
      <c r="AH316" s="8">
        <v>2.0415999999999999</v>
      </c>
      <c r="AI316" s="8">
        <v>2.0453000000000001</v>
      </c>
      <c r="AJ316" s="8">
        <v>2.0356999999999998</v>
      </c>
      <c r="AK316" s="8">
        <v>2.0379</v>
      </c>
      <c r="AL316" s="8">
        <v>2.0335999999999999</v>
      </c>
      <c r="AM316" s="8">
        <v>1.962</v>
      </c>
      <c r="AN316" s="8">
        <v>1.9406000000000001</v>
      </c>
      <c r="AO316" s="8">
        <v>1.9066000000000001</v>
      </c>
      <c r="AP316" s="8">
        <v>1.9219999999999999</v>
      </c>
      <c r="AQ316" s="8">
        <v>1.9725999999999999</v>
      </c>
      <c r="AR316" s="8">
        <v>1.9604999999999999</v>
      </c>
      <c r="AS316" s="8">
        <v>2.0112000000000001</v>
      </c>
      <c r="AT316" s="8">
        <v>2.0059</v>
      </c>
      <c r="AU316" s="8">
        <v>2.0289999999999999</v>
      </c>
      <c r="AV316" s="8">
        <v>2.0215999999999998</v>
      </c>
      <c r="AW316" s="8">
        <v>2.0244</v>
      </c>
      <c r="AX316" s="8">
        <v>2.0044</v>
      </c>
      <c r="AY316" s="8">
        <v>1.9946999999999999</v>
      </c>
      <c r="AZ316" s="8">
        <v>1.9905999999999999</v>
      </c>
      <c r="BA316" s="8">
        <v>1.9985999999999999</v>
      </c>
      <c r="BB316" s="8">
        <v>1.9982</v>
      </c>
      <c r="BC316" s="8">
        <v>1.9970000000000001</v>
      </c>
      <c r="BD316" s="8">
        <v>1.9642999999999999</v>
      </c>
    </row>
    <row r="317" spans="2:56" x14ac:dyDescent="0.3">
      <c r="B317" s="35">
        <f t="shared" si="116"/>
        <v>2368</v>
      </c>
      <c r="C317" s="39">
        <f t="shared" si="117"/>
        <v>22.468765251342056</v>
      </c>
      <c r="D317" s="39">
        <f t="shared" si="118"/>
        <v>23.718399219131204</v>
      </c>
      <c r="E317" s="39">
        <f t="shared" si="119"/>
        <v>29.99902391410448</v>
      </c>
      <c r="F317" s="39">
        <f t="shared" si="120"/>
        <v>29.596388482186544</v>
      </c>
      <c r="G317" s="39">
        <f t="shared" si="121"/>
        <v>32.828208882381603</v>
      </c>
      <c r="H317" s="39">
        <f t="shared" si="122"/>
        <v>31.179599804782942</v>
      </c>
      <c r="I317" s="39">
        <f t="shared" si="123"/>
        <v>59.297462176671552</v>
      </c>
      <c r="J317" s="40">
        <f t="shared" si="124"/>
        <v>70.480966325036505</v>
      </c>
      <c r="K317" s="39">
        <f t="shared" si="125"/>
        <v>80.224255734504695</v>
      </c>
      <c r="L317" s="39">
        <f t="shared" si="126"/>
        <v>79.458760370912657</v>
      </c>
      <c r="M317" s="39">
        <f t="shared" si="127"/>
        <v>55.459980478282013</v>
      </c>
      <c r="N317" s="39">
        <f t="shared" si="128"/>
        <v>42.234016593460083</v>
      </c>
      <c r="O317" s="39"/>
      <c r="P317" s="39">
        <f t="shared" si="129"/>
        <v>47.244753538311244</v>
      </c>
      <c r="Q317" s="39">
        <f t="shared" si="130"/>
        <v>48.595412396290762</v>
      </c>
      <c r="R317" s="39">
        <f t="shared" si="131"/>
        <v>43.707906295754114</v>
      </c>
      <c r="S317" s="39">
        <f t="shared" si="132"/>
        <v>43.086627623230783</v>
      </c>
      <c r="T317" s="39">
        <f t="shared" si="133"/>
        <v>44.707418252806463</v>
      </c>
      <c r="U317" s="39">
        <f t="shared" si="134"/>
        <v>39.105905319668011</v>
      </c>
      <c r="V317" s="39">
        <f t="shared" si="135"/>
        <v>53.819180087847826</v>
      </c>
      <c r="W317" s="39">
        <f t="shared" si="136"/>
        <v>55.925085407515773</v>
      </c>
      <c r="X317" s="39">
        <f t="shared" si="137"/>
        <v>46.915324548560477</v>
      </c>
      <c r="Y317" s="39">
        <f t="shared" si="138"/>
        <v>52.994631527574455</v>
      </c>
      <c r="Z317" s="39">
        <f t="shared" si="139"/>
        <v>53.153977550024386</v>
      </c>
      <c r="AA317" s="39">
        <f t="shared" si="140"/>
        <v>54.514397266959556</v>
      </c>
      <c r="AB317" s="38"/>
      <c r="AE317" s="15">
        <v>2.7407407407407408E-2</v>
      </c>
      <c r="AF317" s="11">
        <f t="shared" si="141"/>
        <v>2368</v>
      </c>
      <c r="AG317" s="8">
        <v>2.0583</v>
      </c>
      <c r="AH317" s="8">
        <v>2.0405000000000002</v>
      </c>
      <c r="AI317" s="8">
        <v>2.0449999999999999</v>
      </c>
      <c r="AJ317" s="8">
        <v>2.0335999999999999</v>
      </c>
      <c r="AK317" s="8">
        <v>2.0371999999999999</v>
      </c>
      <c r="AL317" s="8">
        <v>2.0345</v>
      </c>
      <c r="AM317" s="8">
        <v>1.9629000000000001</v>
      </c>
      <c r="AN317" s="8">
        <v>1.9400999999999999</v>
      </c>
      <c r="AO317" s="8">
        <v>1.9059999999999999</v>
      </c>
      <c r="AP317" s="8">
        <v>1.9218999999999999</v>
      </c>
      <c r="AQ317" s="8">
        <v>1.9712000000000001</v>
      </c>
      <c r="AR317" s="8">
        <v>1.9587000000000001</v>
      </c>
      <c r="AS317" s="8">
        <v>2.012</v>
      </c>
      <c r="AT317" s="8">
        <v>2.0051000000000001</v>
      </c>
      <c r="AU317" s="8">
        <v>2.0293999999999999</v>
      </c>
      <c r="AV317" s="8">
        <v>2.0225</v>
      </c>
      <c r="AW317" s="8">
        <v>2.0232999999999999</v>
      </c>
      <c r="AX317" s="8">
        <v>2.0041000000000002</v>
      </c>
      <c r="AY317" s="8">
        <v>1.9944999999999999</v>
      </c>
      <c r="AZ317" s="8">
        <v>1.9903</v>
      </c>
      <c r="BA317" s="8">
        <v>1.9986999999999999</v>
      </c>
      <c r="BB317" s="8">
        <v>1.9964999999999999</v>
      </c>
      <c r="BC317" s="8">
        <v>1.9963</v>
      </c>
      <c r="BD317" s="8">
        <v>1.9641</v>
      </c>
    </row>
    <row r="318" spans="2:56" x14ac:dyDescent="0.3">
      <c r="B318" s="35">
        <f t="shared" si="116"/>
        <v>2376</v>
      </c>
      <c r="C318" s="39">
        <f t="shared" si="117"/>
        <v>21.346266471449439</v>
      </c>
      <c r="D318" s="39">
        <f t="shared" si="118"/>
        <v>23.669594924353376</v>
      </c>
      <c r="E318" s="39">
        <f t="shared" si="119"/>
        <v>29.755002440214696</v>
      </c>
      <c r="F318" s="39">
        <f t="shared" si="120"/>
        <v>29.401171303074801</v>
      </c>
      <c r="G318" s="39">
        <f t="shared" si="121"/>
        <v>32.096144460712466</v>
      </c>
      <c r="H318" s="39">
        <f t="shared" si="122"/>
        <v>31.716447047340335</v>
      </c>
      <c r="I318" s="39">
        <f t="shared" si="123"/>
        <v>60.175939482674494</v>
      </c>
      <c r="J318" s="40">
        <f t="shared" si="124"/>
        <v>69.748901903367369</v>
      </c>
      <c r="K318" s="39">
        <f t="shared" si="125"/>
        <v>79.833821376281108</v>
      </c>
      <c r="L318" s="39">
        <f t="shared" si="126"/>
        <v>79.019521717911132</v>
      </c>
      <c r="M318" s="39">
        <f t="shared" si="127"/>
        <v>55.508784773059944</v>
      </c>
      <c r="N318" s="39">
        <f t="shared" si="128"/>
        <v>42.478038067349864</v>
      </c>
      <c r="O318" s="39"/>
      <c r="P318" s="39">
        <f t="shared" si="129"/>
        <v>47.586383601756893</v>
      </c>
      <c r="Q318" s="39">
        <f t="shared" si="130"/>
        <v>48.937042459736411</v>
      </c>
      <c r="R318" s="39">
        <f t="shared" si="131"/>
        <v>43.903123474865851</v>
      </c>
      <c r="S318" s="39">
        <f t="shared" si="132"/>
        <v>42.500976085895566</v>
      </c>
      <c r="T318" s="39">
        <f t="shared" si="133"/>
        <v>45.829917032699086</v>
      </c>
      <c r="U318" s="39">
        <f t="shared" si="134"/>
        <v>38.910688140556267</v>
      </c>
      <c r="V318" s="39">
        <f t="shared" si="135"/>
        <v>54.160810151293369</v>
      </c>
      <c r="W318" s="39">
        <f t="shared" si="136"/>
        <v>55.534651049292179</v>
      </c>
      <c r="X318" s="39">
        <f t="shared" si="137"/>
        <v>47.647388970229507</v>
      </c>
      <c r="Y318" s="39">
        <f t="shared" si="138"/>
        <v>53.043435822352393</v>
      </c>
      <c r="Z318" s="39">
        <f t="shared" si="139"/>
        <v>53.788433382137541</v>
      </c>
      <c r="AA318" s="39">
        <f t="shared" si="140"/>
        <v>54.172767203513907</v>
      </c>
      <c r="AB318" s="38"/>
      <c r="AE318" s="15">
        <v>2.75E-2</v>
      </c>
      <c r="AF318" s="11">
        <f t="shared" si="141"/>
        <v>2376</v>
      </c>
      <c r="AG318" s="8">
        <v>2.0606</v>
      </c>
      <c r="AH318" s="8">
        <v>2.0406</v>
      </c>
      <c r="AI318" s="8">
        <v>2.0455000000000001</v>
      </c>
      <c r="AJ318" s="8">
        <v>2.0339999999999998</v>
      </c>
      <c r="AK318" s="8">
        <v>2.0387</v>
      </c>
      <c r="AL318" s="8">
        <v>2.0333999999999999</v>
      </c>
      <c r="AM318" s="8">
        <v>1.9611000000000001</v>
      </c>
      <c r="AN318" s="8">
        <v>1.9416</v>
      </c>
      <c r="AO318" s="8">
        <v>1.9068000000000001</v>
      </c>
      <c r="AP318" s="8">
        <v>1.9228000000000001</v>
      </c>
      <c r="AQ318" s="8">
        <v>1.9711000000000001</v>
      </c>
      <c r="AR318" s="8">
        <v>1.9581999999999999</v>
      </c>
      <c r="AS318" s="8">
        <v>2.0112999999999999</v>
      </c>
      <c r="AT318" s="8">
        <v>2.0044</v>
      </c>
      <c r="AU318" s="8">
        <v>2.0289999999999999</v>
      </c>
      <c r="AV318" s="8">
        <v>2.0236999999999998</v>
      </c>
      <c r="AW318" s="8">
        <v>2.0209999999999999</v>
      </c>
      <c r="AX318" s="8">
        <v>2.0045000000000002</v>
      </c>
      <c r="AY318" s="8">
        <v>1.9938</v>
      </c>
      <c r="AZ318" s="8">
        <v>1.9911000000000001</v>
      </c>
      <c r="BA318" s="8">
        <v>1.9972000000000001</v>
      </c>
      <c r="BB318" s="8">
        <v>1.9964</v>
      </c>
      <c r="BC318" s="8">
        <v>1.9950000000000001</v>
      </c>
      <c r="BD318" s="8">
        <v>1.9648000000000001</v>
      </c>
    </row>
    <row r="319" spans="2:56" x14ac:dyDescent="0.3">
      <c r="B319" s="35">
        <f t="shared" si="116"/>
        <v>2384</v>
      </c>
      <c r="C319" s="39">
        <f t="shared" si="117"/>
        <v>20.955832113225959</v>
      </c>
      <c r="D319" s="39">
        <f t="shared" si="118"/>
        <v>22.449487554904891</v>
      </c>
      <c r="E319" s="39">
        <f t="shared" si="119"/>
        <v>30.243045387994048</v>
      </c>
      <c r="F319" s="39">
        <f t="shared" si="120"/>
        <v>29.108345534406975</v>
      </c>
      <c r="G319" s="39">
        <f t="shared" si="121"/>
        <v>32.047340165934429</v>
      </c>
      <c r="H319" s="39">
        <f t="shared" si="122"/>
        <v>31.862859931674034</v>
      </c>
      <c r="I319" s="39">
        <f t="shared" si="123"/>
        <v>59.395070766227533</v>
      </c>
      <c r="J319" s="40">
        <f t="shared" si="124"/>
        <v>70.724987798926193</v>
      </c>
      <c r="K319" s="39">
        <f t="shared" si="125"/>
        <v>80.224255734504695</v>
      </c>
      <c r="L319" s="39">
        <f t="shared" si="126"/>
        <v>78.775500244021458</v>
      </c>
      <c r="M319" s="39">
        <f t="shared" si="127"/>
        <v>55.508784773059944</v>
      </c>
      <c r="N319" s="39">
        <f t="shared" si="128"/>
        <v>42.136408003904215</v>
      </c>
      <c r="O319" s="39"/>
      <c r="P319" s="39">
        <f t="shared" si="129"/>
        <v>48.36725231820386</v>
      </c>
      <c r="Q319" s="39">
        <f t="shared" si="130"/>
        <v>48.253782332845326</v>
      </c>
      <c r="R319" s="39">
        <f t="shared" si="131"/>
        <v>44.19594924353347</v>
      </c>
      <c r="S319" s="39">
        <f t="shared" si="132"/>
        <v>43.525866276232307</v>
      </c>
      <c r="T319" s="39">
        <f t="shared" si="133"/>
        <v>45.585895558809298</v>
      </c>
      <c r="U319" s="39">
        <f t="shared" si="134"/>
        <v>39.642752562225404</v>
      </c>
      <c r="V319" s="39">
        <f t="shared" si="135"/>
        <v>54.307223035627182</v>
      </c>
      <c r="W319" s="39">
        <f t="shared" si="136"/>
        <v>55.827476817959905</v>
      </c>
      <c r="X319" s="39">
        <f t="shared" si="137"/>
        <v>47.989019033675163</v>
      </c>
      <c r="Y319" s="39">
        <f t="shared" si="138"/>
        <v>52.11615422157152</v>
      </c>
      <c r="Z319" s="39">
        <f t="shared" si="139"/>
        <v>53.593216203025797</v>
      </c>
      <c r="AA319" s="39">
        <f t="shared" si="140"/>
        <v>55.002440214738911</v>
      </c>
      <c r="AB319" s="38"/>
      <c r="AE319" s="15">
        <v>2.7592592592592596E-2</v>
      </c>
      <c r="AF319" s="11">
        <f t="shared" si="141"/>
        <v>2384</v>
      </c>
      <c r="AG319" s="8">
        <v>2.0613999999999999</v>
      </c>
      <c r="AH319" s="8">
        <v>2.0430999999999999</v>
      </c>
      <c r="AI319" s="8">
        <v>2.0445000000000002</v>
      </c>
      <c r="AJ319" s="8">
        <v>2.0346000000000002</v>
      </c>
      <c r="AK319" s="8">
        <v>2.0388000000000002</v>
      </c>
      <c r="AL319" s="8">
        <v>2.0331000000000001</v>
      </c>
      <c r="AM319" s="8">
        <v>1.9626999999999999</v>
      </c>
      <c r="AN319" s="8">
        <v>1.9396</v>
      </c>
      <c r="AO319" s="8">
        <v>1.9059999999999999</v>
      </c>
      <c r="AP319" s="8">
        <v>1.9233</v>
      </c>
      <c r="AQ319" s="8">
        <v>1.9711000000000001</v>
      </c>
      <c r="AR319" s="8">
        <v>1.9589000000000001</v>
      </c>
      <c r="AS319" s="8">
        <v>2.0097</v>
      </c>
      <c r="AT319" s="8">
        <v>2.0057999999999998</v>
      </c>
      <c r="AU319" s="8">
        <v>2.0284</v>
      </c>
      <c r="AV319" s="8">
        <v>2.0215999999999998</v>
      </c>
      <c r="AW319" s="8">
        <v>2.0215000000000001</v>
      </c>
      <c r="AX319" s="8">
        <v>2.0030000000000001</v>
      </c>
      <c r="AY319" s="8">
        <v>1.9935</v>
      </c>
      <c r="AZ319" s="8">
        <v>1.9904999999999999</v>
      </c>
      <c r="BA319" s="8">
        <v>1.9964999999999999</v>
      </c>
      <c r="BB319" s="8">
        <v>1.9983</v>
      </c>
      <c r="BC319" s="8">
        <v>1.9954000000000001</v>
      </c>
      <c r="BD319" s="8">
        <v>1.9631000000000001</v>
      </c>
    </row>
    <row r="320" spans="2:56" x14ac:dyDescent="0.3">
      <c r="B320" s="35">
        <f t="shared" si="116"/>
        <v>2392</v>
      </c>
      <c r="C320" s="39">
        <f t="shared" si="117"/>
        <v>21.785505124450964</v>
      </c>
      <c r="D320" s="39">
        <f t="shared" si="118"/>
        <v>23.767203513909248</v>
      </c>
      <c r="E320" s="39">
        <f t="shared" si="119"/>
        <v>30.682284040995572</v>
      </c>
      <c r="F320" s="39">
        <f t="shared" si="120"/>
        <v>28.913128355295232</v>
      </c>
      <c r="G320" s="39">
        <f t="shared" si="121"/>
        <v>33.121034651049222</v>
      </c>
      <c r="H320" s="39">
        <f t="shared" si="122"/>
        <v>32.106881405563819</v>
      </c>
      <c r="I320" s="39">
        <f t="shared" si="123"/>
        <v>59.492679355783402</v>
      </c>
      <c r="J320" s="40">
        <f t="shared" si="124"/>
        <v>70.041727672034995</v>
      </c>
      <c r="K320" s="39">
        <f t="shared" si="125"/>
        <v>79.248169838945884</v>
      </c>
      <c r="L320" s="39">
        <f t="shared" si="126"/>
        <v>79.507564665690595</v>
      </c>
      <c r="M320" s="39">
        <f t="shared" si="127"/>
        <v>55.362371888726138</v>
      </c>
      <c r="N320" s="39">
        <f t="shared" si="128"/>
        <v>42.380429477793996</v>
      </c>
      <c r="O320" s="39"/>
      <c r="P320" s="39">
        <f t="shared" si="129"/>
        <v>48.025622254758204</v>
      </c>
      <c r="Q320" s="39">
        <f t="shared" si="130"/>
        <v>48.985846754514242</v>
      </c>
      <c r="R320" s="39">
        <f t="shared" si="131"/>
        <v>44.244753538311286</v>
      </c>
      <c r="S320" s="39">
        <f t="shared" si="132"/>
        <v>44.111517813567531</v>
      </c>
      <c r="T320" s="39">
        <f t="shared" si="133"/>
        <v>45.878721327476903</v>
      </c>
      <c r="U320" s="39">
        <f t="shared" si="134"/>
        <v>39.2035139092241</v>
      </c>
      <c r="V320" s="39">
        <f t="shared" si="135"/>
        <v>54.40483162518305</v>
      </c>
      <c r="W320" s="39">
        <f t="shared" si="136"/>
        <v>55.632259638848161</v>
      </c>
      <c r="X320" s="39">
        <f t="shared" si="137"/>
        <v>47.647388970229507</v>
      </c>
      <c r="Y320" s="39">
        <f t="shared" si="138"/>
        <v>52.45778428501707</v>
      </c>
      <c r="Z320" s="39">
        <f t="shared" si="139"/>
        <v>53.642020497803735</v>
      </c>
      <c r="AA320" s="39">
        <f t="shared" si="140"/>
        <v>54.075158613958031</v>
      </c>
      <c r="AB320" s="38"/>
      <c r="AE320" s="15">
        <v>2.7685185185185188E-2</v>
      </c>
      <c r="AF320" s="11">
        <f t="shared" si="141"/>
        <v>2392</v>
      </c>
      <c r="AG320" s="8">
        <v>2.0596999999999999</v>
      </c>
      <c r="AH320" s="8">
        <v>2.0404</v>
      </c>
      <c r="AI320" s="8">
        <v>2.0436000000000001</v>
      </c>
      <c r="AJ320" s="8">
        <v>2.0350000000000001</v>
      </c>
      <c r="AK320" s="8">
        <v>2.0366</v>
      </c>
      <c r="AL320" s="8">
        <v>2.0326</v>
      </c>
      <c r="AM320" s="8">
        <v>1.9624999999999999</v>
      </c>
      <c r="AN320" s="8">
        <v>1.9410000000000001</v>
      </c>
      <c r="AO320" s="8">
        <v>1.9079999999999999</v>
      </c>
      <c r="AP320" s="8">
        <v>1.9218</v>
      </c>
      <c r="AQ320" s="8">
        <v>1.9714</v>
      </c>
      <c r="AR320" s="8">
        <v>1.9583999999999999</v>
      </c>
      <c r="AS320" s="8">
        <v>2.0104000000000002</v>
      </c>
      <c r="AT320" s="8">
        <v>2.0043000000000002</v>
      </c>
      <c r="AU320" s="8">
        <v>2.0283000000000002</v>
      </c>
      <c r="AV320" s="8">
        <v>2.0204</v>
      </c>
      <c r="AW320" s="8">
        <v>2.0209000000000001</v>
      </c>
      <c r="AX320" s="8">
        <v>2.0038999999999998</v>
      </c>
      <c r="AY320" s="8">
        <v>1.9933000000000001</v>
      </c>
      <c r="AZ320" s="8">
        <v>1.9908999999999999</v>
      </c>
      <c r="BA320" s="8">
        <v>1.9972000000000001</v>
      </c>
      <c r="BB320" s="8">
        <v>1.9976</v>
      </c>
      <c r="BC320" s="8">
        <v>1.9953000000000001</v>
      </c>
      <c r="BD320" s="8">
        <v>1.9650000000000001</v>
      </c>
    </row>
    <row r="321" spans="2:56" x14ac:dyDescent="0.3">
      <c r="B321" s="35">
        <f t="shared" si="116"/>
        <v>2400</v>
      </c>
      <c r="C321" s="39">
        <f t="shared" si="117"/>
        <v>22.712786725231837</v>
      </c>
      <c r="D321" s="39">
        <f t="shared" si="118"/>
        <v>23.620790629575332</v>
      </c>
      <c r="E321" s="39">
        <f t="shared" si="119"/>
        <v>30.38945827232796</v>
      </c>
      <c r="F321" s="39">
        <f t="shared" si="120"/>
        <v>29.059541239629148</v>
      </c>
      <c r="G321" s="39">
        <f t="shared" si="121"/>
        <v>32.779404587603558</v>
      </c>
      <c r="H321" s="39">
        <f t="shared" si="122"/>
        <v>31.130795510004898</v>
      </c>
      <c r="I321" s="39">
        <f t="shared" si="123"/>
        <v>59.883113714006882</v>
      </c>
      <c r="J321" s="40">
        <f t="shared" si="124"/>
        <v>70.041727672034995</v>
      </c>
      <c r="K321" s="39">
        <f t="shared" si="125"/>
        <v>80.370668618838494</v>
      </c>
      <c r="L321" s="39">
        <f t="shared" si="126"/>
        <v>79.507564665690595</v>
      </c>
      <c r="M321" s="39">
        <f t="shared" si="127"/>
        <v>56.045632015617343</v>
      </c>
      <c r="N321" s="39">
        <f t="shared" si="128"/>
        <v>42.380429477793996</v>
      </c>
      <c r="O321" s="39"/>
      <c r="P321" s="39">
        <f t="shared" si="129"/>
        <v>47.586383601756893</v>
      </c>
      <c r="Q321" s="39">
        <f t="shared" si="130"/>
        <v>48.107369448511413</v>
      </c>
      <c r="R321" s="39">
        <f t="shared" si="131"/>
        <v>44.537579306979119</v>
      </c>
      <c r="S321" s="39">
        <f t="shared" si="132"/>
        <v>43.379453391898394</v>
      </c>
      <c r="T321" s="39">
        <f t="shared" si="133"/>
        <v>45.09785261102995</v>
      </c>
      <c r="U321" s="39">
        <f t="shared" si="134"/>
        <v>38.861883845778443</v>
      </c>
      <c r="V321" s="39">
        <f t="shared" si="135"/>
        <v>53.721571498291958</v>
      </c>
      <c r="W321" s="39">
        <f t="shared" si="136"/>
        <v>55.583455344070117</v>
      </c>
      <c r="X321" s="39">
        <f t="shared" si="137"/>
        <v>47.744997559785375</v>
      </c>
      <c r="Y321" s="39">
        <f t="shared" si="138"/>
        <v>52.799414348462719</v>
      </c>
      <c r="Z321" s="39">
        <f t="shared" si="139"/>
        <v>53.739629087359603</v>
      </c>
      <c r="AA321" s="39">
        <f t="shared" si="140"/>
        <v>54.514397266959556</v>
      </c>
      <c r="AB321" s="38"/>
      <c r="AE321" s="15">
        <v>2.7777777777777776E-2</v>
      </c>
      <c r="AF321" s="11">
        <f t="shared" si="141"/>
        <v>2400</v>
      </c>
      <c r="AG321" s="8">
        <v>2.0577999999999999</v>
      </c>
      <c r="AH321" s="8">
        <v>2.0407000000000002</v>
      </c>
      <c r="AI321" s="8">
        <v>2.0442</v>
      </c>
      <c r="AJ321" s="8">
        <v>2.0347</v>
      </c>
      <c r="AK321" s="8">
        <v>2.0373000000000001</v>
      </c>
      <c r="AL321" s="8">
        <v>2.0346000000000002</v>
      </c>
      <c r="AM321" s="8">
        <v>1.9617</v>
      </c>
      <c r="AN321" s="8">
        <v>1.9410000000000001</v>
      </c>
      <c r="AO321" s="8">
        <v>1.9056999999999999</v>
      </c>
      <c r="AP321" s="8">
        <v>1.9218</v>
      </c>
      <c r="AQ321" s="8">
        <v>1.97</v>
      </c>
      <c r="AR321" s="8">
        <v>1.9583999999999999</v>
      </c>
      <c r="AS321" s="8">
        <v>2.0112999999999999</v>
      </c>
      <c r="AT321" s="8">
        <v>2.0061</v>
      </c>
      <c r="AU321" s="8">
        <v>2.0276999999999998</v>
      </c>
      <c r="AV321" s="8">
        <v>2.0219</v>
      </c>
      <c r="AW321" s="8">
        <v>2.0225</v>
      </c>
      <c r="AX321" s="8">
        <v>2.0045999999999999</v>
      </c>
      <c r="AY321" s="8">
        <v>1.9946999999999999</v>
      </c>
      <c r="AZ321" s="8">
        <v>1.9910000000000001</v>
      </c>
      <c r="BA321" s="8">
        <v>1.9970000000000001</v>
      </c>
      <c r="BB321" s="8">
        <v>1.9968999999999999</v>
      </c>
      <c r="BC321" s="8">
        <v>1.9951000000000001</v>
      </c>
      <c r="BD321" s="8">
        <v>1.9641</v>
      </c>
    </row>
    <row r="322" spans="2:56" x14ac:dyDescent="0.3">
      <c r="B322" s="35">
        <f t="shared" si="116"/>
        <v>2408</v>
      </c>
      <c r="C322" s="39">
        <f t="shared" si="117"/>
        <v>22.224743777452272</v>
      </c>
      <c r="D322" s="39">
        <f t="shared" si="118"/>
        <v>23.327964860907723</v>
      </c>
      <c r="E322" s="39">
        <f t="shared" si="119"/>
        <v>29.462176671547084</v>
      </c>
      <c r="F322" s="39">
        <f t="shared" si="120"/>
        <v>29.840409956076108</v>
      </c>
      <c r="G322" s="39">
        <f t="shared" si="121"/>
        <v>32.828208882381603</v>
      </c>
      <c r="H322" s="39">
        <f t="shared" si="122"/>
        <v>31.521229868228598</v>
      </c>
      <c r="I322" s="39">
        <f t="shared" si="123"/>
        <v>59.883113714006882</v>
      </c>
      <c r="J322" s="40">
        <f t="shared" si="124"/>
        <v>70.529770619814457</v>
      </c>
      <c r="K322" s="39">
        <f t="shared" si="125"/>
        <v>80.029038555392845</v>
      </c>
      <c r="L322" s="39">
        <f t="shared" si="126"/>
        <v>79.94680331869202</v>
      </c>
      <c r="M322" s="39">
        <f t="shared" si="127"/>
        <v>56.094436310395274</v>
      </c>
      <c r="N322" s="39">
        <f t="shared" si="128"/>
        <v>41.892386530014534</v>
      </c>
      <c r="O322" s="39"/>
      <c r="P322" s="39">
        <f t="shared" si="129"/>
        <v>49.001708150317121</v>
      </c>
      <c r="Q322" s="39">
        <f t="shared" si="130"/>
        <v>48.839433870180542</v>
      </c>
      <c r="R322" s="39">
        <f t="shared" si="131"/>
        <v>44.293557833089338</v>
      </c>
      <c r="S322" s="39">
        <f t="shared" si="132"/>
        <v>43.33064909712057</v>
      </c>
      <c r="T322" s="39">
        <f t="shared" si="133"/>
        <v>44.95143972669603</v>
      </c>
      <c r="U322" s="39">
        <f t="shared" si="134"/>
        <v>39.496339677891704</v>
      </c>
      <c r="V322" s="39">
        <f t="shared" si="135"/>
        <v>54.160810151293369</v>
      </c>
      <c r="W322" s="39">
        <f t="shared" si="136"/>
        <v>55.095412396290769</v>
      </c>
      <c r="X322" s="39">
        <f t="shared" si="137"/>
        <v>47.940214738897225</v>
      </c>
      <c r="Y322" s="39">
        <f t="shared" si="138"/>
        <v>52.799414348462719</v>
      </c>
      <c r="Z322" s="39">
        <f t="shared" si="139"/>
        <v>54.130063445583197</v>
      </c>
      <c r="AA322" s="39">
        <f t="shared" si="140"/>
        <v>54.465592972181625</v>
      </c>
      <c r="AB322" s="38"/>
      <c r="AE322" s="15">
        <v>2.7870370370370368E-2</v>
      </c>
      <c r="AF322" s="11">
        <f t="shared" si="141"/>
        <v>2408</v>
      </c>
      <c r="AG322" s="8">
        <v>2.0588000000000002</v>
      </c>
      <c r="AH322" s="8">
        <v>2.0413000000000001</v>
      </c>
      <c r="AI322" s="8">
        <v>2.0461</v>
      </c>
      <c r="AJ322" s="8">
        <v>2.0331000000000001</v>
      </c>
      <c r="AK322" s="8">
        <v>2.0371999999999999</v>
      </c>
      <c r="AL322" s="8">
        <v>2.0337999999999998</v>
      </c>
      <c r="AM322" s="8">
        <v>1.9617</v>
      </c>
      <c r="AN322" s="8">
        <v>1.94</v>
      </c>
      <c r="AO322" s="8">
        <v>1.9064000000000001</v>
      </c>
      <c r="AP322" s="8">
        <v>1.9209000000000001</v>
      </c>
      <c r="AQ322" s="8">
        <v>1.9699</v>
      </c>
      <c r="AR322" s="8">
        <v>1.9594</v>
      </c>
      <c r="AS322" s="8">
        <v>2.0084</v>
      </c>
      <c r="AT322" s="8">
        <v>2.0045999999999999</v>
      </c>
      <c r="AU322" s="8">
        <v>2.0282</v>
      </c>
      <c r="AV322" s="8">
        <v>2.0219999999999998</v>
      </c>
      <c r="AW322" s="8">
        <v>2.0228000000000002</v>
      </c>
      <c r="AX322" s="8">
        <v>2.0032999999999999</v>
      </c>
      <c r="AY322" s="8">
        <v>1.9938</v>
      </c>
      <c r="AZ322" s="8">
        <v>1.992</v>
      </c>
      <c r="BA322" s="8">
        <v>1.9965999999999999</v>
      </c>
      <c r="BB322" s="8">
        <v>1.9968999999999999</v>
      </c>
      <c r="BC322" s="8">
        <v>1.9943</v>
      </c>
      <c r="BD322" s="8">
        <v>1.9641999999999999</v>
      </c>
    </row>
    <row r="323" spans="2:56" x14ac:dyDescent="0.3">
      <c r="B323" s="35">
        <f t="shared" si="116"/>
        <v>2416</v>
      </c>
      <c r="C323" s="39">
        <f t="shared" si="117"/>
        <v>21.199853587115527</v>
      </c>
      <c r="D323" s="39">
        <f t="shared" si="118"/>
        <v>23.279160566129896</v>
      </c>
      <c r="E323" s="39">
        <f t="shared" si="119"/>
        <v>29.901415324548609</v>
      </c>
      <c r="F323" s="39">
        <f t="shared" si="120"/>
        <v>28.669106881405664</v>
      </c>
      <c r="G323" s="39">
        <f t="shared" si="121"/>
        <v>33.169838945827038</v>
      </c>
      <c r="H323" s="39">
        <f t="shared" si="122"/>
        <v>32.106881405563819</v>
      </c>
      <c r="I323" s="39">
        <f t="shared" si="123"/>
        <v>59.883113714006882</v>
      </c>
      <c r="J323" s="40">
        <f t="shared" si="124"/>
        <v>70.041727672034995</v>
      </c>
      <c r="K323" s="39">
        <f t="shared" si="125"/>
        <v>80.273060029282632</v>
      </c>
      <c r="L323" s="39">
        <f t="shared" si="126"/>
        <v>79.605173255246456</v>
      </c>
      <c r="M323" s="39">
        <f t="shared" si="127"/>
        <v>54.92313323572472</v>
      </c>
      <c r="N323" s="39">
        <f t="shared" si="128"/>
        <v>42.185212298682153</v>
      </c>
      <c r="O323" s="39"/>
      <c r="P323" s="39">
        <f t="shared" si="129"/>
        <v>48.75768667642734</v>
      </c>
      <c r="Q323" s="39">
        <f t="shared" si="130"/>
        <v>48.888238164958373</v>
      </c>
      <c r="R323" s="39">
        <f t="shared" si="131"/>
        <v>43.561493411420201</v>
      </c>
      <c r="S323" s="39">
        <f t="shared" si="132"/>
        <v>44.257930697901443</v>
      </c>
      <c r="T323" s="39">
        <f t="shared" si="133"/>
        <v>45.049048316251906</v>
      </c>
      <c r="U323" s="39">
        <f t="shared" si="134"/>
        <v>39.2035139092241</v>
      </c>
      <c r="V323" s="39">
        <f t="shared" si="135"/>
        <v>54.453635919960981</v>
      </c>
      <c r="W323" s="39">
        <f t="shared" si="136"/>
        <v>56.266715470961316</v>
      </c>
      <c r="X323" s="39">
        <f t="shared" si="137"/>
        <v>47.891410444119288</v>
      </c>
      <c r="Y323" s="39">
        <f t="shared" si="138"/>
        <v>53.238653001464137</v>
      </c>
      <c r="Z323" s="39">
        <f t="shared" si="139"/>
        <v>54.813323572474395</v>
      </c>
      <c r="AA323" s="39">
        <f t="shared" si="140"/>
        <v>54.270375793069881</v>
      </c>
      <c r="AB323" s="38"/>
      <c r="AE323" s="15">
        <v>2.7962962962962964E-2</v>
      </c>
      <c r="AF323" s="11">
        <f t="shared" si="141"/>
        <v>2416</v>
      </c>
      <c r="AG323" s="8">
        <v>2.0609000000000002</v>
      </c>
      <c r="AH323" s="8">
        <v>2.0413999999999999</v>
      </c>
      <c r="AI323" s="8">
        <v>2.0451999999999999</v>
      </c>
      <c r="AJ323" s="8">
        <v>2.0354999999999999</v>
      </c>
      <c r="AK323" s="8">
        <v>2.0365000000000002</v>
      </c>
      <c r="AL323" s="8">
        <v>2.0326</v>
      </c>
      <c r="AM323" s="8">
        <v>1.9617</v>
      </c>
      <c r="AN323" s="8">
        <v>1.9410000000000001</v>
      </c>
      <c r="AO323" s="8">
        <v>1.9058999999999999</v>
      </c>
      <c r="AP323" s="8">
        <v>1.9216</v>
      </c>
      <c r="AQ323" s="8">
        <v>1.9722999999999999</v>
      </c>
      <c r="AR323" s="8">
        <v>1.9588000000000001</v>
      </c>
      <c r="AS323" s="8">
        <v>2.0089000000000001</v>
      </c>
      <c r="AT323" s="8">
        <v>2.0045000000000002</v>
      </c>
      <c r="AU323" s="8">
        <v>2.0297000000000001</v>
      </c>
      <c r="AV323" s="8">
        <v>2.0200999999999998</v>
      </c>
      <c r="AW323" s="8">
        <v>2.0226000000000002</v>
      </c>
      <c r="AX323" s="8">
        <v>2.0038999999999998</v>
      </c>
      <c r="AY323" s="8">
        <v>1.9932000000000001</v>
      </c>
      <c r="AZ323" s="8">
        <v>1.9896</v>
      </c>
      <c r="BA323" s="8">
        <v>1.9966999999999999</v>
      </c>
      <c r="BB323" s="8">
        <v>1.996</v>
      </c>
      <c r="BC323" s="8">
        <v>1.9928999999999999</v>
      </c>
      <c r="BD323" s="8">
        <v>1.9645999999999999</v>
      </c>
    </row>
    <row r="324" spans="2:56" x14ac:dyDescent="0.3">
      <c r="B324" s="35">
        <f t="shared" si="116"/>
        <v>2424</v>
      </c>
      <c r="C324" s="39">
        <f t="shared" si="117"/>
        <v>21.54148365056118</v>
      </c>
      <c r="D324" s="39">
        <f t="shared" si="118"/>
        <v>23.474377745241636</v>
      </c>
      <c r="E324" s="39">
        <f t="shared" si="119"/>
        <v>29.706198145436868</v>
      </c>
      <c r="F324" s="39">
        <f t="shared" si="120"/>
        <v>29.205954123962844</v>
      </c>
      <c r="G324" s="39">
        <f t="shared" si="121"/>
        <v>33.560273304050739</v>
      </c>
      <c r="H324" s="39">
        <f t="shared" si="122"/>
        <v>32.643728648121211</v>
      </c>
      <c r="I324" s="39">
        <f t="shared" si="123"/>
        <v>59.736700829673076</v>
      </c>
      <c r="J324" s="40">
        <f t="shared" si="124"/>
        <v>70.188140556368793</v>
      </c>
      <c r="K324" s="39">
        <f t="shared" si="125"/>
        <v>80.517081503172307</v>
      </c>
      <c r="L324" s="39">
        <f t="shared" si="126"/>
        <v>79.995607613469957</v>
      </c>
      <c r="M324" s="39">
        <f t="shared" si="127"/>
        <v>55.606393362615812</v>
      </c>
      <c r="N324" s="39">
        <f t="shared" si="128"/>
        <v>42.819668130795414</v>
      </c>
      <c r="O324" s="39"/>
      <c r="P324" s="39">
        <f t="shared" si="129"/>
        <v>48.36725231820386</v>
      </c>
      <c r="Q324" s="39">
        <f t="shared" si="130"/>
        <v>48.790629575402505</v>
      </c>
      <c r="R324" s="39">
        <f t="shared" si="131"/>
        <v>43.805514885309982</v>
      </c>
      <c r="S324" s="39">
        <f t="shared" si="132"/>
        <v>43.769887750121875</v>
      </c>
      <c r="T324" s="39">
        <f t="shared" si="133"/>
        <v>45.781112737921035</v>
      </c>
      <c r="U324" s="39">
        <f t="shared" si="134"/>
        <v>39.057101024890187</v>
      </c>
      <c r="V324" s="39">
        <f t="shared" si="135"/>
        <v>54.79526598340663</v>
      </c>
      <c r="W324" s="39">
        <f t="shared" si="136"/>
        <v>55.632259638848161</v>
      </c>
      <c r="X324" s="39">
        <f t="shared" si="137"/>
        <v>48.281844802342775</v>
      </c>
      <c r="Y324" s="39">
        <f t="shared" si="138"/>
        <v>52.408979990239132</v>
      </c>
      <c r="Z324" s="39">
        <f t="shared" si="139"/>
        <v>54.374084919472871</v>
      </c>
      <c r="AA324" s="39">
        <f t="shared" si="140"/>
        <v>54.807223035627167</v>
      </c>
      <c r="AB324" s="38"/>
      <c r="AE324" s="15">
        <v>2.8055555555555556E-2</v>
      </c>
      <c r="AF324" s="11">
        <f t="shared" si="141"/>
        <v>2424</v>
      </c>
      <c r="AG324" s="8">
        <v>2.0602</v>
      </c>
      <c r="AH324" s="8">
        <v>2.0409999999999999</v>
      </c>
      <c r="AI324" s="8">
        <v>2.0455999999999999</v>
      </c>
      <c r="AJ324" s="8">
        <v>2.0344000000000002</v>
      </c>
      <c r="AK324" s="8">
        <v>2.0356999999999998</v>
      </c>
      <c r="AL324" s="8">
        <v>2.0314999999999999</v>
      </c>
      <c r="AM324" s="8">
        <v>1.962</v>
      </c>
      <c r="AN324" s="8">
        <v>1.9407000000000001</v>
      </c>
      <c r="AO324" s="8">
        <v>1.9054</v>
      </c>
      <c r="AP324" s="8">
        <v>1.9208000000000001</v>
      </c>
      <c r="AQ324" s="8">
        <v>1.9709000000000001</v>
      </c>
      <c r="AR324" s="8">
        <v>1.9575</v>
      </c>
      <c r="AS324" s="8">
        <v>2.0097</v>
      </c>
      <c r="AT324" s="8">
        <v>2.0047000000000001</v>
      </c>
      <c r="AU324" s="8">
        <v>2.0291999999999999</v>
      </c>
      <c r="AV324" s="8">
        <v>2.0211000000000001</v>
      </c>
      <c r="AW324" s="8">
        <v>2.0211000000000001</v>
      </c>
      <c r="AX324" s="8">
        <v>2.0042</v>
      </c>
      <c r="AY324" s="8">
        <v>1.9924999999999999</v>
      </c>
      <c r="AZ324" s="8">
        <v>1.9908999999999999</v>
      </c>
      <c r="BA324" s="8">
        <v>1.9959</v>
      </c>
      <c r="BB324" s="8">
        <v>1.9977</v>
      </c>
      <c r="BC324" s="8">
        <v>1.9938</v>
      </c>
      <c r="BD324" s="8">
        <v>1.9635</v>
      </c>
    </row>
    <row r="325" spans="2:56" x14ac:dyDescent="0.3">
      <c r="B325" s="35">
        <f t="shared" si="116"/>
        <v>2432</v>
      </c>
      <c r="C325" s="39">
        <f t="shared" si="117"/>
        <v>21.590287945339224</v>
      </c>
      <c r="D325" s="39">
        <f t="shared" si="118"/>
        <v>22.839921913128375</v>
      </c>
      <c r="E325" s="39">
        <f t="shared" si="119"/>
        <v>29.852611029770564</v>
      </c>
      <c r="F325" s="39">
        <f t="shared" si="120"/>
        <v>29.157149829185016</v>
      </c>
      <c r="G325" s="39">
        <f t="shared" si="121"/>
        <v>32.974621766715302</v>
      </c>
      <c r="H325" s="39">
        <f t="shared" si="122"/>
        <v>31.960468521229902</v>
      </c>
      <c r="I325" s="39">
        <f t="shared" si="123"/>
        <v>59.98072230356275</v>
      </c>
      <c r="J325" s="40">
        <f t="shared" si="124"/>
        <v>69.79770619814532</v>
      </c>
      <c r="K325" s="39">
        <f t="shared" si="125"/>
        <v>79.296974133723822</v>
      </c>
      <c r="L325" s="39">
        <f t="shared" si="126"/>
        <v>80.142020497803756</v>
      </c>
      <c r="M325" s="39">
        <f t="shared" si="127"/>
        <v>55.801610541727662</v>
      </c>
      <c r="N325" s="39">
        <f t="shared" si="128"/>
        <v>42.62445095168367</v>
      </c>
      <c r="O325" s="39"/>
      <c r="P325" s="39">
        <f t="shared" si="129"/>
        <v>48.562469497315597</v>
      </c>
      <c r="Q325" s="39">
        <f t="shared" si="130"/>
        <v>49.181063933626199</v>
      </c>
      <c r="R325" s="39">
        <f t="shared" si="131"/>
        <v>43.951927769643682</v>
      </c>
      <c r="S325" s="39">
        <f t="shared" si="132"/>
        <v>43.47706198145427</v>
      </c>
      <c r="T325" s="39">
        <f t="shared" si="133"/>
        <v>45.537091264031467</v>
      </c>
      <c r="U325" s="39">
        <f t="shared" si="134"/>
        <v>39.691556857003448</v>
      </c>
      <c r="V325" s="39">
        <f t="shared" si="135"/>
        <v>53.819180087847826</v>
      </c>
      <c r="W325" s="39">
        <f t="shared" si="136"/>
        <v>55.339433870180443</v>
      </c>
      <c r="X325" s="39">
        <f t="shared" si="137"/>
        <v>48.037823328453101</v>
      </c>
      <c r="Y325" s="39">
        <f t="shared" si="138"/>
        <v>52.701805758906744</v>
      </c>
      <c r="Z325" s="39">
        <f t="shared" si="139"/>
        <v>53.788433382137541</v>
      </c>
      <c r="AA325" s="39">
        <f t="shared" si="140"/>
        <v>54.319180087847819</v>
      </c>
      <c r="AB325" s="38"/>
      <c r="AE325" s="15">
        <v>2.8148148148148148E-2</v>
      </c>
      <c r="AF325" s="11">
        <f t="shared" si="141"/>
        <v>2432</v>
      </c>
      <c r="AG325" s="8">
        <v>2.0600999999999998</v>
      </c>
      <c r="AH325" s="8">
        <v>2.0423</v>
      </c>
      <c r="AI325" s="8">
        <v>2.0453000000000001</v>
      </c>
      <c r="AJ325" s="8">
        <v>2.0345</v>
      </c>
      <c r="AK325" s="8">
        <v>2.0369000000000002</v>
      </c>
      <c r="AL325" s="8">
        <v>2.0329000000000002</v>
      </c>
      <c r="AM325" s="8">
        <v>1.9615</v>
      </c>
      <c r="AN325" s="8">
        <v>1.9415</v>
      </c>
      <c r="AO325" s="8">
        <v>1.9078999999999999</v>
      </c>
      <c r="AP325" s="8">
        <v>1.9205000000000001</v>
      </c>
      <c r="AQ325" s="8">
        <v>1.9704999999999999</v>
      </c>
      <c r="AR325" s="8">
        <v>1.9579</v>
      </c>
      <c r="AS325" s="8">
        <v>2.0093000000000001</v>
      </c>
      <c r="AT325" s="8">
        <v>2.0038999999999998</v>
      </c>
      <c r="AU325" s="8">
        <v>2.0289000000000001</v>
      </c>
      <c r="AV325" s="8">
        <v>2.0217000000000001</v>
      </c>
      <c r="AW325" s="8">
        <v>2.0215999999999998</v>
      </c>
      <c r="AX325" s="8">
        <v>2.0028999999999999</v>
      </c>
      <c r="AY325" s="8">
        <v>1.9944999999999999</v>
      </c>
      <c r="AZ325" s="8">
        <v>1.9915</v>
      </c>
      <c r="BA325" s="8">
        <v>1.9964</v>
      </c>
      <c r="BB325" s="8">
        <v>1.9971000000000001</v>
      </c>
      <c r="BC325" s="8">
        <v>1.9950000000000001</v>
      </c>
      <c r="BD325" s="8">
        <v>1.9644999999999999</v>
      </c>
    </row>
    <row r="326" spans="2:56" x14ac:dyDescent="0.3">
      <c r="B326" s="35">
        <f t="shared" si="116"/>
        <v>2440</v>
      </c>
      <c r="C326" s="39">
        <f t="shared" si="117"/>
        <v>22.1271351878964</v>
      </c>
      <c r="D326" s="39">
        <f t="shared" si="118"/>
        <v>24.108833577354901</v>
      </c>
      <c r="E326" s="39">
        <f t="shared" si="119"/>
        <v>30.438262567106001</v>
      </c>
      <c r="F326" s="39">
        <f t="shared" si="120"/>
        <v>29.791605661298281</v>
      </c>
      <c r="G326" s="39">
        <f t="shared" si="121"/>
        <v>33.121034651049222</v>
      </c>
      <c r="H326" s="39">
        <f t="shared" si="122"/>
        <v>31.960468521229902</v>
      </c>
      <c r="I326" s="39">
        <f t="shared" si="123"/>
        <v>59.736700829673076</v>
      </c>
      <c r="J326" s="40">
        <f t="shared" si="124"/>
        <v>70.529770619814457</v>
      </c>
      <c r="K326" s="39">
        <f t="shared" si="125"/>
        <v>80.077842850170782</v>
      </c>
      <c r="L326" s="39">
        <f t="shared" si="126"/>
        <v>79.556368960468518</v>
      </c>
      <c r="M326" s="39">
        <f t="shared" si="127"/>
        <v>55.948023426061468</v>
      </c>
      <c r="N326" s="39">
        <f t="shared" si="128"/>
        <v>42.917276720351289</v>
      </c>
      <c r="O326" s="39"/>
      <c r="P326" s="39">
        <f t="shared" si="129"/>
        <v>49.148121034650821</v>
      </c>
      <c r="Q326" s="39">
        <f t="shared" si="130"/>
        <v>48.595412396290762</v>
      </c>
      <c r="R326" s="39">
        <f t="shared" si="131"/>
        <v>44.83040507564673</v>
      </c>
      <c r="S326" s="39">
        <f t="shared" si="132"/>
        <v>43.916300634455787</v>
      </c>
      <c r="T326" s="39">
        <f t="shared" si="133"/>
        <v>46.122742801366691</v>
      </c>
      <c r="U326" s="39">
        <f t="shared" si="134"/>
        <v>39.642752562225404</v>
      </c>
      <c r="V326" s="39">
        <f t="shared" si="135"/>
        <v>53.47755002440217</v>
      </c>
      <c r="W326" s="39">
        <f t="shared" si="136"/>
        <v>55.437042459736311</v>
      </c>
      <c r="X326" s="39">
        <f t="shared" si="137"/>
        <v>48.037823328453101</v>
      </c>
      <c r="Y326" s="39">
        <f t="shared" si="138"/>
        <v>52.750610053684682</v>
      </c>
      <c r="Z326" s="39">
        <f t="shared" si="139"/>
        <v>55.252562225475806</v>
      </c>
      <c r="AA326" s="39">
        <f t="shared" si="140"/>
        <v>55.002440214738911</v>
      </c>
      <c r="AB326" s="38"/>
      <c r="AE326" s="15">
        <v>2.8240740740740736E-2</v>
      </c>
      <c r="AF326" s="11">
        <f t="shared" si="141"/>
        <v>2440</v>
      </c>
      <c r="AG326" s="8">
        <v>2.0590000000000002</v>
      </c>
      <c r="AH326" s="8">
        <v>2.0396999999999998</v>
      </c>
      <c r="AI326" s="8">
        <v>2.0440999999999998</v>
      </c>
      <c r="AJ326" s="8">
        <v>2.0331999999999999</v>
      </c>
      <c r="AK326" s="8">
        <v>2.0366</v>
      </c>
      <c r="AL326" s="8">
        <v>2.0329000000000002</v>
      </c>
      <c r="AM326" s="8">
        <v>1.962</v>
      </c>
      <c r="AN326" s="8">
        <v>1.94</v>
      </c>
      <c r="AO326" s="8">
        <v>1.9063000000000001</v>
      </c>
      <c r="AP326" s="8">
        <v>1.9217</v>
      </c>
      <c r="AQ326" s="8">
        <v>1.9702</v>
      </c>
      <c r="AR326" s="8">
        <v>1.9573</v>
      </c>
      <c r="AS326" s="8">
        <v>2.0081000000000002</v>
      </c>
      <c r="AT326" s="8">
        <v>2.0051000000000001</v>
      </c>
      <c r="AU326" s="8">
        <v>2.0270999999999999</v>
      </c>
      <c r="AV326" s="8">
        <v>2.0207999999999999</v>
      </c>
      <c r="AW326" s="8">
        <v>2.0204</v>
      </c>
      <c r="AX326" s="8">
        <v>2.0030000000000001</v>
      </c>
      <c r="AY326" s="8">
        <v>1.9952000000000001</v>
      </c>
      <c r="AZ326" s="8">
        <v>1.9913000000000001</v>
      </c>
      <c r="BA326" s="8">
        <v>1.9964</v>
      </c>
      <c r="BB326" s="8">
        <v>1.9970000000000001</v>
      </c>
      <c r="BC326" s="8">
        <v>1.992</v>
      </c>
      <c r="BD326" s="8">
        <v>1.9631000000000001</v>
      </c>
    </row>
    <row r="327" spans="2:56" x14ac:dyDescent="0.3">
      <c r="B327" s="35">
        <f t="shared" si="116"/>
        <v>2448</v>
      </c>
      <c r="C327" s="39">
        <f t="shared" si="117"/>
        <v>21.883113714006836</v>
      </c>
      <c r="D327" s="39">
        <f t="shared" si="118"/>
        <v>23.718399219131204</v>
      </c>
      <c r="E327" s="39">
        <f t="shared" si="119"/>
        <v>30.096632503660349</v>
      </c>
      <c r="F327" s="39">
        <f t="shared" si="120"/>
        <v>30.084431429965893</v>
      </c>
      <c r="G327" s="39">
        <f t="shared" si="121"/>
        <v>33.462664714494871</v>
      </c>
      <c r="H327" s="39">
        <f t="shared" si="122"/>
        <v>32.448511469009468</v>
      </c>
      <c r="I327" s="39">
        <f t="shared" si="123"/>
        <v>60.419960956564275</v>
      </c>
      <c r="J327" s="40">
        <f t="shared" si="124"/>
        <v>70.627379209370318</v>
      </c>
      <c r="K327" s="39">
        <f t="shared" si="125"/>
        <v>80.175451439726757</v>
      </c>
      <c r="L327" s="39">
        <f t="shared" si="126"/>
        <v>79.94680331869202</v>
      </c>
      <c r="M327" s="39">
        <f t="shared" si="127"/>
        <v>56.582479258174622</v>
      </c>
      <c r="N327" s="39">
        <f t="shared" si="128"/>
        <v>42.917276720351289</v>
      </c>
      <c r="O327" s="39"/>
      <c r="P327" s="39">
        <f t="shared" si="129"/>
        <v>48.269643728647992</v>
      </c>
      <c r="Q327" s="39">
        <f t="shared" si="130"/>
        <v>49.376281112737942</v>
      </c>
      <c r="R327" s="39">
        <f t="shared" si="131"/>
        <v>43.707906295754114</v>
      </c>
      <c r="S327" s="39">
        <f t="shared" si="132"/>
        <v>44.062713518789486</v>
      </c>
      <c r="T327" s="39">
        <f t="shared" si="133"/>
        <v>45.878721327476903</v>
      </c>
      <c r="U327" s="39">
        <f t="shared" si="134"/>
        <v>39.886774036115192</v>
      </c>
      <c r="V327" s="39">
        <f t="shared" si="135"/>
        <v>53.916788677403694</v>
      </c>
      <c r="W327" s="39">
        <f t="shared" si="136"/>
        <v>55.534651049292179</v>
      </c>
      <c r="X327" s="39">
        <f t="shared" si="137"/>
        <v>48.135431918008969</v>
      </c>
      <c r="Y327" s="39">
        <f t="shared" si="138"/>
        <v>53.482674475353811</v>
      </c>
      <c r="Z327" s="39">
        <f t="shared" si="139"/>
        <v>54.227672035139065</v>
      </c>
      <c r="AA327" s="39">
        <f t="shared" si="140"/>
        <v>55.148853099072717</v>
      </c>
      <c r="AB327" s="38"/>
      <c r="AE327" s="15">
        <v>2.8333333333333332E-2</v>
      </c>
      <c r="AF327" s="11">
        <f t="shared" si="141"/>
        <v>2448</v>
      </c>
      <c r="AG327" s="8">
        <v>2.0594999999999999</v>
      </c>
      <c r="AH327" s="8">
        <v>2.0405000000000002</v>
      </c>
      <c r="AI327" s="8">
        <v>2.0448</v>
      </c>
      <c r="AJ327" s="8">
        <v>2.0326</v>
      </c>
      <c r="AK327" s="8">
        <v>2.0358999999999998</v>
      </c>
      <c r="AL327" s="8">
        <v>2.0318999999999998</v>
      </c>
      <c r="AM327" s="8">
        <v>1.9605999999999999</v>
      </c>
      <c r="AN327" s="8">
        <v>1.9398</v>
      </c>
      <c r="AO327" s="8">
        <v>1.9060999999999999</v>
      </c>
      <c r="AP327" s="8">
        <v>1.9209000000000001</v>
      </c>
      <c r="AQ327" s="8">
        <v>1.9689000000000001</v>
      </c>
      <c r="AR327" s="8">
        <v>1.9573</v>
      </c>
      <c r="AS327" s="8">
        <v>2.0099</v>
      </c>
      <c r="AT327" s="8">
        <v>2.0034999999999998</v>
      </c>
      <c r="AU327" s="8">
        <v>2.0293999999999999</v>
      </c>
      <c r="AV327" s="8">
        <v>2.0205000000000002</v>
      </c>
      <c r="AW327" s="8">
        <v>2.0209000000000001</v>
      </c>
      <c r="AX327" s="8">
        <v>2.0024999999999999</v>
      </c>
      <c r="AY327" s="8">
        <v>1.9943</v>
      </c>
      <c r="AZ327" s="8">
        <v>1.9911000000000001</v>
      </c>
      <c r="BA327" s="8">
        <v>1.9962</v>
      </c>
      <c r="BB327" s="8">
        <v>1.9955000000000001</v>
      </c>
      <c r="BC327" s="8">
        <v>1.9941</v>
      </c>
      <c r="BD327" s="8">
        <v>1.9628000000000001</v>
      </c>
    </row>
    <row r="328" spans="2:56" x14ac:dyDescent="0.3">
      <c r="B328" s="35">
        <f t="shared" si="116"/>
        <v>2456</v>
      </c>
      <c r="C328" s="39">
        <f t="shared" si="117"/>
        <v>21.785505124450964</v>
      </c>
      <c r="D328" s="39">
        <f t="shared" si="118"/>
        <v>23.91361639824316</v>
      </c>
      <c r="E328" s="39">
        <f t="shared" si="119"/>
        <v>29.510980966325128</v>
      </c>
      <c r="F328" s="39">
        <f t="shared" si="120"/>
        <v>29.059541239629148</v>
      </c>
      <c r="G328" s="39">
        <f t="shared" si="121"/>
        <v>33.609077598828563</v>
      </c>
      <c r="H328" s="39">
        <f t="shared" si="122"/>
        <v>31.765251342118162</v>
      </c>
      <c r="I328" s="39">
        <f t="shared" si="123"/>
        <v>59.590287945339277</v>
      </c>
      <c r="J328" s="40">
        <f t="shared" si="124"/>
        <v>69.895314787701182</v>
      </c>
      <c r="K328" s="39">
        <f t="shared" si="125"/>
        <v>80.077842850170782</v>
      </c>
      <c r="L328" s="39">
        <f t="shared" si="126"/>
        <v>79.409956076134719</v>
      </c>
      <c r="M328" s="39">
        <f t="shared" si="127"/>
        <v>56.24084919472908</v>
      </c>
      <c r="N328" s="39">
        <f t="shared" si="128"/>
        <v>42.380429477793996</v>
      </c>
      <c r="O328" s="39"/>
      <c r="P328" s="39">
        <f t="shared" si="129"/>
        <v>48.220839433870161</v>
      </c>
      <c r="Q328" s="39">
        <f t="shared" si="130"/>
        <v>49.864324060517291</v>
      </c>
      <c r="R328" s="39">
        <f t="shared" si="131"/>
        <v>44.19594924353347</v>
      </c>
      <c r="S328" s="39">
        <f t="shared" si="132"/>
        <v>43.47706198145427</v>
      </c>
      <c r="T328" s="39">
        <f t="shared" si="133"/>
        <v>45.683504148365166</v>
      </c>
      <c r="U328" s="39">
        <f t="shared" si="134"/>
        <v>39.83796974133714</v>
      </c>
      <c r="V328" s="39">
        <f t="shared" si="135"/>
        <v>53.819180087847826</v>
      </c>
      <c r="W328" s="39">
        <f t="shared" si="136"/>
        <v>55.046608101512831</v>
      </c>
      <c r="X328" s="39">
        <f t="shared" si="137"/>
        <v>48.135431918008969</v>
      </c>
      <c r="Y328" s="39">
        <f t="shared" si="138"/>
        <v>53.189848706686206</v>
      </c>
      <c r="Z328" s="39">
        <f t="shared" si="139"/>
        <v>54.032454856027329</v>
      </c>
      <c r="AA328" s="39">
        <f t="shared" si="140"/>
        <v>54.856027330405098</v>
      </c>
      <c r="AB328" s="38"/>
      <c r="AE328" s="15">
        <v>2.8425925925925924E-2</v>
      </c>
      <c r="AF328" s="11">
        <f t="shared" si="141"/>
        <v>2456</v>
      </c>
      <c r="AG328" s="8">
        <v>2.0596999999999999</v>
      </c>
      <c r="AH328" s="8">
        <v>2.0400999999999998</v>
      </c>
      <c r="AI328" s="8">
        <v>2.0459999999999998</v>
      </c>
      <c r="AJ328" s="8">
        <v>2.0347</v>
      </c>
      <c r="AK328" s="8">
        <v>2.0356000000000001</v>
      </c>
      <c r="AL328" s="8">
        <v>2.0333000000000001</v>
      </c>
      <c r="AM328" s="8">
        <v>1.9622999999999999</v>
      </c>
      <c r="AN328" s="8">
        <v>1.9413</v>
      </c>
      <c r="AO328" s="8">
        <v>1.9063000000000001</v>
      </c>
      <c r="AP328" s="8">
        <v>1.9219999999999999</v>
      </c>
      <c r="AQ328" s="8">
        <v>1.9696</v>
      </c>
      <c r="AR328" s="8">
        <v>1.9583999999999999</v>
      </c>
      <c r="AS328" s="8">
        <v>2.0099999999999998</v>
      </c>
      <c r="AT328" s="8">
        <v>2.0024999999999999</v>
      </c>
      <c r="AU328" s="8">
        <v>2.0284</v>
      </c>
      <c r="AV328" s="8">
        <v>2.0217000000000001</v>
      </c>
      <c r="AW328" s="8">
        <v>2.0213000000000001</v>
      </c>
      <c r="AX328" s="8">
        <v>2.0026000000000002</v>
      </c>
      <c r="AY328" s="8">
        <v>1.9944999999999999</v>
      </c>
      <c r="AZ328" s="8">
        <v>1.9921</v>
      </c>
      <c r="BA328" s="8">
        <v>1.9962</v>
      </c>
      <c r="BB328" s="8">
        <v>1.9961</v>
      </c>
      <c r="BC328" s="8">
        <v>1.9944999999999999</v>
      </c>
      <c r="BD328" s="8">
        <v>1.9634</v>
      </c>
    </row>
    <row r="329" spans="2:56" x14ac:dyDescent="0.3">
      <c r="B329" s="35">
        <f t="shared" si="116"/>
        <v>2464</v>
      </c>
      <c r="C329" s="39">
        <f t="shared" si="117"/>
        <v>21.687896534895096</v>
      </c>
      <c r="D329" s="39">
        <f t="shared" si="118"/>
        <v>23.816007808687292</v>
      </c>
      <c r="E329" s="39">
        <f t="shared" si="119"/>
        <v>29.559785261102956</v>
      </c>
      <c r="F329" s="39">
        <f t="shared" si="120"/>
        <v>29.401171303074801</v>
      </c>
      <c r="G329" s="39">
        <f t="shared" si="121"/>
        <v>33.365056124938995</v>
      </c>
      <c r="H329" s="39">
        <f t="shared" si="122"/>
        <v>31.862859931674034</v>
      </c>
      <c r="I329" s="39">
        <f t="shared" si="123"/>
        <v>59.541483650561339</v>
      </c>
      <c r="J329" s="40">
        <f t="shared" si="124"/>
        <v>70.285749145924768</v>
      </c>
      <c r="K329" s="39">
        <f t="shared" si="125"/>
        <v>79.980234260614907</v>
      </c>
      <c r="L329" s="39">
        <f t="shared" si="126"/>
        <v>80.38604197169353</v>
      </c>
      <c r="M329" s="39">
        <f t="shared" si="127"/>
        <v>55.899219131283537</v>
      </c>
      <c r="N329" s="39">
        <f t="shared" si="128"/>
        <v>42.575646656905732</v>
      </c>
      <c r="O329" s="39"/>
      <c r="P329" s="39">
        <f t="shared" si="129"/>
        <v>48.75768667642734</v>
      </c>
      <c r="Q329" s="39">
        <f t="shared" si="130"/>
        <v>48.546608101512938</v>
      </c>
      <c r="R329" s="39">
        <f t="shared" si="131"/>
        <v>44.000732064421719</v>
      </c>
      <c r="S329" s="39">
        <f t="shared" si="132"/>
        <v>44.013909224011663</v>
      </c>
      <c r="T329" s="39">
        <f t="shared" si="133"/>
        <v>45.878721327476903</v>
      </c>
      <c r="U329" s="39">
        <f t="shared" si="134"/>
        <v>40.033186920448884</v>
      </c>
      <c r="V329" s="39">
        <f t="shared" si="135"/>
        <v>54.014397266959563</v>
      </c>
      <c r="W329" s="39">
        <f t="shared" si="136"/>
        <v>55.290629575402505</v>
      </c>
      <c r="X329" s="39">
        <f t="shared" si="137"/>
        <v>47.84260614934135</v>
      </c>
      <c r="Y329" s="39">
        <f t="shared" si="138"/>
        <v>52.653001464128806</v>
      </c>
      <c r="Z329" s="39">
        <f t="shared" si="139"/>
        <v>54.569302098584615</v>
      </c>
      <c r="AA329" s="39">
        <f t="shared" si="140"/>
        <v>54.807223035627167</v>
      </c>
      <c r="AB329" s="38"/>
      <c r="AE329" s="15">
        <v>2.8518518518518523E-2</v>
      </c>
      <c r="AF329" s="11">
        <f t="shared" si="141"/>
        <v>2464</v>
      </c>
      <c r="AG329" s="8">
        <v>2.0598999999999998</v>
      </c>
      <c r="AH329" s="8">
        <v>2.0402999999999998</v>
      </c>
      <c r="AI329" s="8">
        <v>2.0459000000000001</v>
      </c>
      <c r="AJ329" s="8">
        <v>2.0339999999999998</v>
      </c>
      <c r="AK329" s="8">
        <v>2.0360999999999998</v>
      </c>
      <c r="AL329" s="8">
        <v>2.0331000000000001</v>
      </c>
      <c r="AM329" s="8">
        <v>1.9623999999999999</v>
      </c>
      <c r="AN329" s="8">
        <v>1.9404999999999999</v>
      </c>
      <c r="AO329" s="8">
        <v>1.9065000000000001</v>
      </c>
      <c r="AP329" s="8">
        <v>1.92</v>
      </c>
      <c r="AQ329" s="8">
        <v>1.9702999999999999</v>
      </c>
      <c r="AR329" s="8">
        <v>1.958</v>
      </c>
      <c r="AS329" s="8">
        <v>2.0089000000000001</v>
      </c>
      <c r="AT329" s="8">
        <v>2.0051999999999999</v>
      </c>
      <c r="AU329" s="8">
        <v>2.0287999999999999</v>
      </c>
      <c r="AV329" s="8">
        <v>2.0206</v>
      </c>
      <c r="AW329" s="8">
        <v>2.0209000000000001</v>
      </c>
      <c r="AX329" s="8">
        <v>2.0022000000000002</v>
      </c>
      <c r="AY329" s="8">
        <v>1.9941</v>
      </c>
      <c r="AZ329" s="8">
        <v>1.9916</v>
      </c>
      <c r="BA329" s="8">
        <v>1.9967999999999999</v>
      </c>
      <c r="BB329" s="8">
        <v>1.9972000000000001</v>
      </c>
      <c r="BC329" s="8">
        <v>1.9934000000000001</v>
      </c>
      <c r="BD329" s="8">
        <v>1.9635</v>
      </c>
    </row>
    <row r="330" spans="2:56" x14ac:dyDescent="0.3">
      <c r="B330" s="35">
        <f t="shared" si="116"/>
        <v>2472</v>
      </c>
      <c r="C330" s="39">
        <f t="shared" si="117"/>
        <v>21.883113714006836</v>
      </c>
      <c r="D330" s="39">
        <f t="shared" si="118"/>
        <v>22.839921913128375</v>
      </c>
      <c r="E330" s="39">
        <f t="shared" si="119"/>
        <v>30.682284040995572</v>
      </c>
      <c r="F330" s="39">
        <f t="shared" si="120"/>
        <v>29.059541239629148</v>
      </c>
      <c r="G330" s="39">
        <f t="shared" si="121"/>
        <v>33.901903367496175</v>
      </c>
      <c r="H330" s="39">
        <f t="shared" si="122"/>
        <v>31.765251342118162</v>
      </c>
      <c r="I330" s="39">
        <f t="shared" si="123"/>
        <v>59.785505124451014</v>
      </c>
      <c r="J330" s="40">
        <f t="shared" si="124"/>
        <v>70.188140556368793</v>
      </c>
      <c r="K330" s="39">
        <f t="shared" si="125"/>
        <v>79.638604197169371</v>
      </c>
      <c r="L330" s="39">
        <f t="shared" si="126"/>
        <v>80.630063445583218</v>
      </c>
      <c r="M330" s="39">
        <f t="shared" si="127"/>
        <v>56.338457784284948</v>
      </c>
      <c r="N330" s="39">
        <f t="shared" si="128"/>
        <v>43.063689604685088</v>
      </c>
      <c r="O330" s="39"/>
      <c r="P330" s="39">
        <f t="shared" si="129"/>
        <v>48.269643728647992</v>
      </c>
      <c r="Q330" s="39">
        <f t="shared" si="130"/>
        <v>48.448999511957069</v>
      </c>
      <c r="R330" s="39">
        <f t="shared" si="131"/>
        <v>44.928013665202599</v>
      </c>
      <c r="S330" s="39">
        <f t="shared" si="132"/>
        <v>43.965104929233611</v>
      </c>
      <c r="T330" s="39">
        <f t="shared" si="133"/>
        <v>45.878721327476903</v>
      </c>
      <c r="U330" s="39">
        <f t="shared" si="134"/>
        <v>40.130795510004972</v>
      </c>
      <c r="V330" s="39">
        <f t="shared" si="135"/>
        <v>53.916788677403694</v>
      </c>
      <c r="W330" s="39">
        <f t="shared" si="136"/>
        <v>54.607369448511307</v>
      </c>
      <c r="X330" s="39">
        <f t="shared" si="137"/>
        <v>48.916300634456036</v>
      </c>
      <c r="Y330" s="39">
        <f t="shared" si="138"/>
        <v>52.994631527574455</v>
      </c>
      <c r="Z330" s="39">
        <f t="shared" si="139"/>
        <v>54.422889214250802</v>
      </c>
      <c r="AA330" s="39">
        <f t="shared" si="140"/>
        <v>55.100048804294779</v>
      </c>
      <c r="AB330" s="38"/>
      <c r="AE330" s="15">
        <v>2.8611111111111115E-2</v>
      </c>
      <c r="AF330" s="11">
        <f t="shared" si="141"/>
        <v>2472</v>
      </c>
      <c r="AG330" s="8">
        <v>2.0594999999999999</v>
      </c>
      <c r="AH330" s="8">
        <v>2.0423</v>
      </c>
      <c r="AI330" s="8">
        <v>2.0436000000000001</v>
      </c>
      <c r="AJ330" s="8">
        <v>2.0347</v>
      </c>
      <c r="AK330" s="8">
        <v>2.0350000000000001</v>
      </c>
      <c r="AL330" s="8">
        <v>2.0333000000000001</v>
      </c>
      <c r="AM330" s="8">
        <v>1.9619</v>
      </c>
      <c r="AN330" s="8">
        <v>1.9407000000000001</v>
      </c>
      <c r="AO330" s="8">
        <v>1.9072</v>
      </c>
      <c r="AP330" s="8">
        <v>1.9195</v>
      </c>
      <c r="AQ330" s="8">
        <v>1.9694</v>
      </c>
      <c r="AR330" s="8">
        <v>1.9570000000000001</v>
      </c>
      <c r="AS330" s="8">
        <v>2.0099</v>
      </c>
      <c r="AT330" s="8">
        <v>2.0053999999999998</v>
      </c>
      <c r="AU330" s="8">
        <v>2.0268999999999999</v>
      </c>
      <c r="AV330" s="8">
        <v>2.0207000000000002</v>
      </c>
      <c r="AW330" s="8">
        <v>2.0209000000000001</v>
      </c>
      <c r="AX330" s="8">
        <v>2.0019999999999998</v>
      </c>
      <c r="AY330" s="8">
        <v>1.9943</v>
      </c>
      <c r="AZ330" s="8">
        <v>1.9930000000000001</v>
      </c>
      <c r="BA330" s="8">
        <v>1.9945999999999999</v>
      </c>
      <c r="BB330" s="8">
        <v>1.9964999999999999</v>
      </c>
      <c r="BC330" s="8">
        <v>1.9937</v>
      </c>
      <c r="BD330" s="8">
        <v>1.9629000000000001</v>
      </c>
    </row>
    <row r="331" spans="2:56" x14ac:dyDescent="0.3">
      <c r="B331" s="35">
        <f t="shared" si="116"/>
        <v>2480</v>
      </c>
      <c r="C331" s="39">
        <f t="shared" si="117"/>
        <v>20.760614934114219</v>
      </c>
      <c r="D331" s="39">
        <f t="shared" si="118"/>
        <v>22.693509028794459</v>
      </c>
      <c r="E331" s="39">
        <f t="shared" si="119"/>
        <v>30.096632503660349</v>
      </c>
      <c r="F331" s="39">
        <f t="shared" si="120"/>
        <v>28.327476817960012</v>
      </c>
      <c r="G331" s="39">
        <f t="shared" si="121"/>
        <v>33.413860419716826</v>
      </c>
      <c r="H331" s="39">
        <f t="shared" si="122"/>
        <v>32.302098584675555</v>
      </c>
      <c r="I331" s="39">
        <f t="shared" si="123"/>
        <v>59.736700829673076</v>
      </c>
      <c r="J331" s="40">
        <f t="shared" si="124"/>
        <v>69.895314787701182</v>
      </c>
      <c r="K331" s="39">
        <f t="shared" si="125"/>
        <v>79.78501708150317</v>
      </c>
      <c r="L331" s="39">
        <f t="shared" si="126"/>
        <v>80.776476329917017</v>
      </c>
      <c r="M331" s="39">
        <f t="shared" si="127"/>
        <v>56.094436310395274</v>
      </c>
      <c r="N331" s="39">
        <f t="shared" si="128"/>
        <v>41.989995119570409</v>
      </c>
      <c r="O331" s="39"/>
      <c r="P331" s="39">
        <f t="shared" si="129"/>
        <v>48.708882381649516</v>
      </c>
      <c r="Q331" s="39">
        <f t="shared" si="130"/>
        <v>48.985846754514242</v>
      </c>
      <c r="R331" s="39">
        <f t="shared" si="131"/>
        <v>44.976817959980423</v>
      </c>
      <c r="S331" s="39">
        <f t="shared" si="132"/>
        <v>45.038799414348404</v>
      </c>
      <c r="T331" s="39">
        <f t="shared" si="133"/>
        <v>45.48828696925343</v>
      </c>
      <c r="U331" s="39">
        <f t="shared" si="134"/>
        <v>40.716447047340196</v>
      </c>
      <c r="V331" s="39">
        <f t="shared" si="135"/>
        <v>54.941678867740436</v>
      </c>
      <c r="W331" s="39">
        <f t="shared" si="136"/>
        <v>56.266715470961316</v>
      </c>
      <c r="X331" s="39">
        <f t="shared" si="137"/>
        <v>48.672279160566248</v>
      </c>
      <c r="Y331" s="39">
        <f t="shared" si="138"/>
        <v>54.117130307467079</v>
      </c>
      <c r="Z331" s="39">
        <f t="shared" si="139"/>
        <v>54.325280624694933</v>
      </c>
      <c r="AA331" s="39">
        <f t="shared" si="140"/>
        <v>55.197657393850754</v>
      </c>
      <c r="AB331" s="38"/>
      <c r="AE331" s="15">
        <v>2.8703703703703703E-2</v>
      </c>
      <c r="AF331" s="11">
        <f t="shared" si="141"/>
        <v>2480</v>
      </c>
      <c r="AG331" s="8">
        <v>2.0617999999999999</v>
      </c>
      <c r="AH331" s="8">
        <v>2.0426000000000002</v>
      </c>
      <c r="AI331" s="8">
        <v>2.0448</v>
      </c>
      <c r="AJ331" s="8">
        <v>2.0362</v>
      </c>
      <c r="AK331" s="8">
        <v>2.036</v>
      </c>
      <c r="AL331" s="8">
        <v>2.0322</v>
      </c>
      <c r="AM331" s="8">
        <v>1.962</v>
      </c>
      <c r="AN331" s="8">
        <v>1.9413</v>
      </c>
      <c r="AO331" s="8">
        <v>1.9069</v>
      </c>
      <c r="AP331" s="8">
        <v>1.9192</v>
      </c>
      <c r="AQ331" s="8">
        <v>1.9699</v>
      </c>
      <c r="AR331" s="8">
        <v>1.9592000000000001</v>
      </c>
      <c r="AS331" s="8">
        <v>2.0089999999999999</v>
      </c>
      <c r="AT331" s="8">
        <v>2.0043000000000002</v>
      </c>
      <c r="AU331" s="8">
        <v>2.0268000000000002</v>
      </c>
      <c r="AV331" s="8">
        <v>2.0185</v>
      </c>
      <c r="AW331" s="8">
        <v>2.0217000000000001</v>
      </c>
      <c r="AX331" s="8">
        <v>2.0007999999999999</v>
      </c>
      <c r="AY331" s="8">
        <v>1.9922</v>
      </c>
      <c r="AZ331" s="8">
        <v>1.9896</v>
      </c>
      <c r="BA331" s="8">
        <v>1.9951000000000001</v>
      </c>
      <c r="BB331" s="8">
        <v>1.9942</v>
      </c>
      <c r="BC331" s="8">
        <v>1.9939</v>
      </c>
      <c r="BD331" s="8">
        <v>1.9626999999999999</v>
      </c>
    </row>
    <row r="332" spans="2:56" x14ac:dyDescent="0.3">
      <c r="B332" s="35">
        <f t="shared" si="116"/>
        <v>2488</v>
      </c>
      <c r="C332" s="39">
        <f t="shared" si="117"/>
        <v>21.639092240117051</v>
      </c>
      <c r="D332" s="39">
        <f t="shared" si="118"/>
        <v>22.839921913128375</v>
      </c>
      <c r="E332" s="39">
        <f t="shared" si="119"/>
        <v>30.682284040995572</v>
      </c>
      <c r="F332" s="39">
        <f t="shared" si="120"/>
        <v>28.815519765739364</v>
      </c>
      <c r="G332" s="39">
        <f t="shared" si="121"/>
        <v>33.853099072718351</v>
      </c>
      <c r="H332" s="39">
        <f t="shared" si="122"/>
        <v>30.88677403611533</v>
      </c>
      <c r="I332" s="39">
        <f t="shared" si="123"/>
        <v>59.834309419228944</v>
      </c>
      <c r="J332" s="40">
        <f t="shared" si="124"/>
        <v>69.944119082479119</v>
      </c>
      <c r="K332" s="39">
        <f t="shared" si="125"/>
        <v>80.077842850170782</v>
      </c>
      <c r="L332" s="39">
        <f t="shared" si="126"/>
        <v>81.020497803806691</v>
      </c>
      <c r="M332" s="39">
        <f t="shared" si="127"/>
        <v>55.899219131283537</v>
      </c>
      <c r="N332" s="39">
        <f t="shared" si="128"/>
        <v>43.356515373352806</v>
      </c>
      <c r="O332" s="39"/>
      <c r="P332" s="39">
        <f t="shared" si="129"/>
        <v>48.416056612981897</v>
      </c>
      <c r="Q332" s="39">
        <f t="shared" si="130"/>
        <v>48.546608101512938</v>
      </c>
      <c r="R332" s="39">
        <f t="shared" si="131"/>
        <v>45.952903855539347</v>
      </c>
      <c r="S332" s="39">
        <f t="shared" si="132"/>
        <v>44.843582235236667</v>
      </c>
      <c r="T332" s="39">
        <f t="shared" si="133"/>
        <v>45.976329917032778</v>
      </c>
      <c r="U332" s="39">
        <f t="shared" si="134"/>
        <v>39.496339677891704</v>
      </c>
      <c r="V332" s="39">
        <f t="shared" si="135"/>
        <v>53.575158613958045</v>
      </c>
      <c r="W332" s="39">
        <f t="shared" si="136"/>
        <v>55.095412396290769</v>
      </c>
      <c r="X332" s="39">
        <f t="shared" si="137"/>
        <v>48.672279160566248</v>
      </c>
      <c r="Y332" s="39">
        <f t="shared" si="138"/>
        <v>53.238653001464137</v>
      </c>
      <c r="Z332" s="39">
        <f t="shared" si="139"/>
        <v>53.983650561249391</v>
      </c>
      <c r="AA332" s="39">
        <f t="shared" si="140"/>
        <v>54.904831625183043</v>
      </c>
      <c r="AB332" s="38"/>
      <c r="AE332" s="15">
        <v>2.8796296296296296E-2</v>
      </c>
      <c r="AF332" s="11">
        <f t="shared" si="141"/>
        <v>2488</v>
      </c>
      <c r="AG332" s="8">
        <v>2.06</v>
      </c>
      <c r="AH332" s="8">
        <v>2.0423</v>
      </c>
      <c r="AI332" s="8">
        <v>2.0436000000000001</v>
      </c>
      <c r="AJ332" s="8">
        <v>2.0352000000000001</v>
      </c>
      <c r="AK332" s="8">
        <v>2.0350999999999999</v>
      </c>
      <c r="AL332" s="8">
        <v>2.0350999999999999</v>
      </c>
      <c r="AM332" s="8">
        <v>1.9618</v>
      </c>
      <c r="AN332" s="8">
        <v>1.9412</v>
      </c>
      <c r="AO332" s="8">
        <v>1.9063000000000001</v>
      </c>
      <c r="AP332" s="8">
        <v>1.9187000000000001</v>
      </c>
      <c r="AQ332" s="8">
        <v>1.9702999999999999</v>
      </c>
      <c r="AR332" s="8">
        <v>1.9563999999999999</v>
      </c>
      <c r="AS332" s="8">
        <v>2.0095999999999998</v>
      </c>
      <c r="AT332" s="8">
        <v>2.0051999999999999</v>
      </c>
      <c r="AU332" s="8">
        <v>2.0247999999999999</v>
      </c>
      <c r="AV332" s="8">
        <v>2.0188999999999999</v>
      </c>
      <c r="AW332" s="8">
        <v>2.0207000000000002</v>
      </c>
      <c r="AX332" s="8">
        <v>2.0032999999999999</v>
      </c>
      <c r="AY332" s="8">
        <v>1.9950000000000001</v>
      </c>
      <c r="AZ332" s="8">
        <v>1.992</v>
      </c>
      <c r="BA332" s="8">
        <v>1.9951000000000001</v>
      </c>
      <c r="BB332" s="8">
        <v>1.996</v>
      </c>
      <c r="BC332" s="8">
        <v>1.9945999999999999</v>
      </c>
      <c r="BD332" s="8">
        <v>1.9633</v>
      </c>
    </row>
    <row r="333" spans="2:56" x14ac:dyDescent="0.3">
      <c r="B333" s="35">
        <f t="shared" si="116"/>
        <v>2496</v>
      </c>
      <c r="C333" s="39">
        <f t="shared" si="117"/>
        <v>22.1271351878964</v>
      </c>
      <c r="D333" s="39">
        <f t="shared" si="118"/>
        <v>22.644704734016631</v>
      </c>
      <c r="E333" s="39">
        <f t="shared" si="119"/>
        <v>29.950219619326436</v>
      </c>
      <c r="F333" s="39">
        <f t="shared" si="120"/>
        <v>29.108345534406975</v>
      </c>
      <c r="G333" s="39">
        <f t="shared" si="121"/>
        <v>33.901903367496175</v>
      </c>
      <c r="H333" s="39">
        <f t="shared" si="122"/>
        <v>31.814055636896203</v>
      </c>
      <c r="I333" s="39">
        <f t="shared" si="123"/>
        <v>59.590287945339277</v>
      </c>
      <c r="J333" s="40">
        <f t="shared" si="124"/>
        <v>70.529770619814457</v>
      </c>
      <c r="K333" s="39">
        <f t="shared" si="125"/>
        <v>81.005124450951655</v>
      </c>
      <c r="L333" s="39">
        <f t="shared" si="126"/>
        <v>81.508540751586153</v>
      </c>
      <c r="M333" s="39">
        <f t="shared" si="127"/>
        <v>56.045632015617343</v>
      </c>
      <c r="N333" s="39">
        <f t="shared" si="128"/>
        <v>43.063689604685088</v>
      </c>
      <c r="O333" s="39"/>
      <c r="P333" s="39">
        <f t="shared" si="129"/>
        <v>48.36725231820386</v>
      </c>
      <c r="Q333" s="39">
        <f t="shared" si="130"/>
        <v>49.571498291849679</v>
      </c>
      <c r="R333" s="39">
        <f t="shared" si="131"/>
        <v>44.635187896534987</v>
      </c>
      <c r="S333" s="39">
        <f t="shared" si="132"/>
        <v>45.087603709126235</v>
      </c>
      <c r="T333" s="39">
        <f t="shared" si="133"/>
        <v>47.050024402147564</v>
      </c>
      <c r="U333" s="39">
        <f t="shared" si="134"/>
        <v>40.081991215226928</v>
      </c>
      <c r="V333" s="39">
        <f t="shared" si="135"/>
        <v>53.770375793069888</v>
      </c>
      <c r="W333" s="39">
        <f t="shared" si="136"/>
        <v>55.095412396290769</v>
      </c>
      <c r="X333" s="39">
        <f t="shared" si="137"/>
        <v>48.477061981454511</v>
      </c>
      <c r="Y333" s="39">
        <f t="shared" si="138"/>
        <v>53.580283064909679</v>
      </c>
      <c r="Z333" s="39">
        <f t="shared" si="139"/>
        <v>55.398975109809619</v>
      </c>
      <c r="AA333" s="39">
        <f t="shared" si="140"/>
        <v>55.392874572962498</v>
      </c>
      <c r="AB333" s="38"/>
      <c r="AE333" s="15">
        <v>2.8888888888888891E-2</v>
      </c>
      <c r="AF333" s="11">
        <f t="shared" si="141"/>
        <v>2496</v>
      </c>
      <c r="AG333" s="8">
        <v>2.0590000000000002</v>
      </c>
      <c r="AH333" s="8">
        <v>2.0427</v>
      </c>
      <c r="AI333" s="8">
        <v>2.0451000000000001</v>
      </c>
      <c r="AJ333" s="8">
        <v>2.0346000000000002</v>
      </c>
      <c r="AK333" s="8">
        <v>2.0350000000000001</v>
      </c>
      <c r="AL333" s="8">
        <v>2.0331999999999999</v>
      </c>
      <c r="AM333" s="8">
        <v>1.9622999999999999</v>
      </c>
      <c r="AN333" s="8">
        <v>1.94</v>
      </c>
      <c r="AO333" s="8">
        <v>1.9044000000000001</v>
      </c>
      <c r="AP333" s="8">
        <v>1.9177</v>
      </c>
      <c r="AQ333" s="8">
        <v>1.97</v>
      </c>
      <c r="AR333" s="8">
        <v>1.9570000000000001</v>
      </c>
      <c r="AS333" s="8">
        <v>2.0097</v>
      </c>
      <c r="AT333" s="8">
        <v>2.0030999999999999</v>
      </c>
      <c r="AU333" s="8">
        <v>2.0274999999999999</v>
      </c>
      <c r="AV333" s="8">
        <v>2.0184000000000002</v>
      </c>
      <c r="AW333" s="8">
        <v>2.0185</v>
      </c>
      <c r="AX333" s="8">
        <v>2.0021</v>
      </c>
      <c r="AY333" s="8">
        <v>1.9945999999999999</v>
      </c>
      <c r="AZ333" s="8">
        <v>1.992</v>
      </c>
      <c r="BA333" s="8">
        <v>1.9955000000000001</v>
      </c>
      <c r="BB333" s="8">
        <v>1.9953000000000001</v>
      </c>
      <c r="BC333" s="8">
        <v>1.9917</v>
      </c>
      <c r="BD333" s="8">
        <v>1.9622999999999999</v>
      </c>
    </row>
    <row r="334" spans="2:56" x14ac:dyDescent="0.3">
      <c r="B334" s="35">
        <f t="shared" si="116"/>
        <v>2504</v>
      </c>
      <c r="C334" s="39">
        <f t="shared" si="117"/>
        <v>20.907027818447915</v>
      </c>
      <c r="D334" s="39">
        <f t="shared" si="118"/>
        <v>23.132747681795983</v>
      </c>
      <c r="E334" s="39">
        <f t="shared" si="119"/>
        <v>30.438262567106001</v>
      </c>
      <c r="F334" s="39">
        <f t="shared" si="120"/>
        <v>28.571498291849796</v>
      </c>
      <c r="G334" s="39">
        <f t="shared" si="121"/>
        <v>33.950707662274219</v>
      </c>
      <c r="H334" s="39">
        <f t="shared" si="122"/>
        <v>31.47242557345055</v>
      </c>
      <c r="I334" s="39">
        <f t="shared" si="123"/>
        <v>59.93191800878482</v>
      </c>
      <c r="J334" s="40">
        <f t="shared" si="124"/>
        <v>70.188140556368793</v>
      </c>
      <c r="K334" s="39">
        <f t="shared" si="125"/>
        <v>80.419472913616431</v>
      </c>
      <c r="L334" s="39">
        <f t="shared" si="126"/>
        <v>81.313323572474403</v>
      </c>
      <c r="M334" s="39">
        <f t="shared" si="127"/>
        <v>56.533674963396685</v>
      </c>
      <c r="N334" s="39">
        <f t="shared" si="128"/>
        <v>43.258906783796938</v>
      </c>
      <c r="O334" s="39"/>
      <c r="P334" s="39">
        <f t="shared" si="129"/>
        <v>48.75768667642734</v>
      </c>
      <c r="Q334" s="39">
        <f t="shared" si="130"/>
        <v>49.034651049292286</v>
      </c>
      <c r="R334" s="39">
        <f t="shared" si="131"/>
        <v>46.001708150317171</v>
      </c>
      <c r="S334" s="39">
        <f t="shared" si="132"/>
        <v>44.45314787701318</v>
      </c>
      <c r="T334" s="39">
        <f t="shared" si="133"/>
        <v>46.220351390922566</v>
      </c>
      <c r="U334" s="39">
        <f t="shared" si="134"/>
        <v>40.081991215226928</v>
      </c>
      <c r="V334" s="39">
        <f t="shared" si="135"/>
        <v>54.40483162518305</v>
      </c>
      <c r="W334" s="39">
        <f t="shared" si="136"/>
        <v>56.364324060517191</v>
      </c>
      <c r="X334" s="39">
        <f t="shared" si="137"/>
        <v>48.281844802342775</v>
      </c>
      <c r="Y334" s="39">
        <f t="shared" si="138"/>
        <v>53.726695949243485</v>
      </c>
      <c r="Z334" s="39">
        <f t="shared" si="139"/>
        <v>54.666910688140483</v>
      </c>
      <c r="AA334" s="39">
        <f t="shared" si="140"/>
        <v>55.100048804294779</v>
      </c>
      <c r="AB334" s="38"/>
      <c r="AE334" s="15">
        <v>2.8981481481481483E-2</v>
      </c>
      <c r="AF334" s="11">
        <f t="shared" si="141"/>
        <v>2504</v>
      </c>
      <c r="AG334" s="8">
        <v>2.0615000000000001</v>
      </c>
      <c r="AH334" s="8">
        <v>2.0417000000000001</v>
      </c>
      <c r="AI334" s="8">
        <v>2.0440999999999998</v>
      </c>
      <c r="AJ334" s="8">
        <v>2.0356999999999998</v>
      </c>
      <c r="AK334" s="8">
        <v>2.0348999999999999</v>
      </c>
      <c r="AL334" s="8">
        <v>2.0339</v>
      </c>
      <c r="AM334" s="8">
        <v>1.9616</v>
      </c>
      <c r="AN334" s="8">
        <v>1.9407000000000001</v>
      </c>
      <c r="AO334" s="8">
        <v>1.9056</v>
      </c>
      <c r="AP334" s="8">
        <v>1.9180999999999999</v>
      </c>
      <c r="AQ334" s="8">
        <v>1.9690000000000001</v>
      </c>
      <c r="AR334" s="8">
        <v>1.9565999999999999</v>
      </c>
      <c r="AS334" s="8">
        <v>2.0089000000000001</v>
      </c>
      <c r="AT334" s="8">
        <v>2.0042</v>
      </c>
      <c r="AU334" s="8">
        <v>2.0247000000000002</v>
      </c>
      <c r="AV334" s="8">
        <v>2.0196999999999998</v>
      </c>
      <c r="AW334" s="8">
        <v>2.0202</v>
      </c>
      <c r="AX334" s="8">
        <v>2.0021</v>
      </c>
      <c r="AY334" s="8">
        <v>1.9933000000000001</v>
      </c>
      <c r="AZ334" s="8">
        <v>1.9894000000000001</v>
      </c>
      <c r="BA334" s="8">
        <v>1.9959</v>
      </c>
      <c r="BB334" s="8">
        <v>1.9950000000000001</v>
      </c>
      <c r="BC334" s="8">
        <v>1.9932000000000001</v>
      </c>
      <c r="BD334" s="8">
        <v>1.9629000000000001</v>
      </c>
    </row>
    <row r="335" spans="2:56" x14ac:dyDescent="0.3">
      <c r="B335" s="35">
        <f t="shared" si="116"/>
        <v>2512</v>
      </c>
      <c r="C335" s="39">
        <f t="shared" si="117"/>
        <v>23.10322108345532</v>
      </c>
      <c r="D335" s="39">
        <f t="shared" si="118"/>
        <v>23.523182040019464</v>
      </c>
      <c r="E335" s="39">
        <f t="shared" si="119"/>
        <v>29.901415324548609</v>
      </c>
      <c r="F335" s="39">
        <f t="shared" si="120"/>
        <v>28.961932650073276</v>
      </c>
      <c r="G335" s="39">
        <f t="shared" si="121"/>
        <v>33.560273304050739</v>
      </c>
      <c r="H335" s="39">
        <f t="shared" si="122"/>
        <v>32.00927281600795</v>
      </c>
      <c r="I335" s="39">
        <f t="shared" si="123"/>
        <v>59.639092240117208</v>
      </c>
      <c r="J335" s="40">
        <f t="shared" si="124"/>
        <v>70.139336261590856</v>
      </c>
      <c r="K335" s="39">
        <f t="shared" si="125"/>
        <v>79.589799902391434</v>
      </c>
      <c r="L335" s="39">
        <f t="shared" si="126"/>
        <v>81.020497803806691</v>
      </c>
      <c r="M335" s="39">
        <f t="shared" si="127"/>
        <v>56.045632015617343</v>
      </c>
      <c r="N335" s="39">
        <f t="shared" si="128"/>
        <v>43.307711078574869</v>
      </c>
      <c r="O335" s="39"/>
      <c r="P335" s="39">
        <f t="shared" si="129"/>
        <v>48.75768667642734</v>
      </c>
      <c r="Q335" s="39">
        <f t="shared" si="130"/>
        <v>48.888238164958373</v>
      </c>
      <c r="R335" s="39">
        <f t="shared" si="131"/>
        <v>44.976817959980423</v>
      </c>
      <c r="S335" s="39">
        <f t="shared" si="132"/>
        <v>45.575646656905803</v>
      </c>
      <c r="T335" s="39">
        <f t="shared" si="133"/>
        <v>47.001220107369527</v>
      </c>
      <c r="U335" s="39">
        <f t="shared" si="134"/>
        <v>40.081991215226928</v>
      </c>
      <c r="V335" s="39">
        <f t="shared" si="135"/>
        <v>53.770375793069888</v>
      </c>
      <c r="W335" s="39">
        <f t="shared" si="136"/>
        <v>55.437042459736311</v>
      </c>
      <c r="X335" s="39">
        <f t="shared" si="137"/>
        <v>48.330649097120705</v>
      </c>
      <c r="Y335" s="39">
        <f t="shared" si="138"/>
        <v>53.726695949243485</v>
      </c>
      <c r="Z335" s="39">
        <f t="shared" si="139"/>
        <v>54.959736456808201</v>
      </c>
      <c r="AA335" s="39">
        <f t="shared" si="140"/>
        <v>55.929721815519784</v>
      </c>
      <c r="AB335" s="38"/>
      <c r="AE335" s="15">
        <v>2.9074074074074075E-2</v>
      </c>
      <c r="AF335" s="11">
        <f t="shared" si="141"/>
        <v>2512</v>
      </c>
      <c r="AG335" s="8">
        <v>2.0569999999999999</v>
      </c>
      <c r="AH335" s="8">
        <v>2.0409000000000002</v>
      </c>
      <c r="AI335" s="8">
        <v>2.0451999999999999</v>
      </c>
      <c r="AJ335" s="8">
        <v>2.0348999999999999</v>
      </c>
      <c r="AK335" s="8">
        <v>2.0356999999999998</v>
      </c>
      <c r="AL335" s="8">
        <v>2.0327999999999999</v>
      </c>
      <c r="AM335" s="8">
        <v>1.9621999999999999</v>
      </c>
      <c r="AN335" s="8">
        <v>1.9408000000000001</v>
      </c>
      <c r="AO335" s="8">
        <v>1.9073</v>
      </c>
      <c r="AP335" s="8">
        <v>1.9187000000000001</v>
      </c>
      <c r="AQ335" s="8">
        <v>1.97</v>
      </c>
      <c r="AR335" s="8">
        <v>1.9564999999999999</v>
      </c>
      <c r="AS335" s="8">
        <v>2.0089000000000001</v>
      </c>
      <c r="AT335" s="8">
        <v>2.0045000000000002</v>
      </c>
      <c r="AU335" s="8">
        <v>2.0268000000000002</v>
      </c>
      <c r="AV335" s="8">
        <v>2.0173999999999999</v>
      </c>
      <c r="AW335" s="8">
        <v>2.0186000000000002</v>
      </c>
      <c r="AX335" s="8">
        <v>2.0021</v>
      </c>
      <c r="AY335" s="8">
        <v>1.9945999999999999</v>
      </c>
      <c r="AZ335" s="8">
        <v>1.9913000000000001</v>
      </c>
      <c r="BA335" s="8">
        <v>1.9958</v>
      </c>
      <c r="BB335" s="8">
        <v>1.9950000000000001</v>
      </c>
      <c r="BC335" s="8">
        <v>1.9925999999999999</v>
      </c>
      <c r="BD335" s="8">
        <v>1.9612000000000001</v>
      </c>
    </row>
    <row r="336" spans="2:56" x14ac:dyDescent="0.3">
      <c r="B336" s="35">
        <f t="shared" si="116"/>
        <v>2520</v>
      </c>
      <c r="C336" s="39">
        <f t="shared" si="117"/>
        <v>22.1271351878964</v>
      </c>
      <c r="D336" s="39">
        <f t="shared" si="118"/>
        <v>23.376769155685764</v>
      </c>
      <c r="E336" s="39">
        <f t="shared" si="119"/>
        <v>29.657393850658828</v>
      </c>
      <c r="F336" s="39">
        <f t="shared" si="120"/>
        <v>29.010736944851107</v>
      </c>
      <c r="G336" s="39">
        <f t="shared" si="121"/>
        <v>33.706686188384438</v>
      </c>
      <c r="H336" s="39">
        <f t="shared" si="122"/>
        <v>30.83796974133729</v>
      </c>
      <c r="I336" s="39">
        <f t="shared" si="123"/>
        <v>60.078330893118618</v>
      </c>
      <c r="J336" s="40">
        <f t="shared" si="124"/>
        <v>69.700097608589431</v>
      </c>
      <c r="K336" s="39">
        <f t="shared" si="125"/>
        <v>80.32186432406057</v>
      </c>
      <c r="L336" s="39">
        <f t="shared" si="126"/>
        <v>81.508540751586153</v>
      </c>
      <c r="M336" s="39">
        <f t="shared" si="127"/>
        <v>56.680087847730604</v>
      </c>
      <c r="N336" s="39">
        <f t="shared" si="128"/>
        <v>43.161298194240956</v>
      </c>
      <c r="O336" s="39"/>
      <c r="P336" s="39">
        <f t="shared" si="129"/>
        <v>49.392142508540601</v>
      </c>
      <c r="Q336" s="39">
        <f t="shared" si="130"/>
        <v>48.595412396290762</v>
      </c>
      <c r="R336" s="39">
        <f t="shared" si="131"/>
        <v>45.757686676427603</v>
      </c>
      <c r="S336" s="39">
        <f t="shared" si="132"/>
        <v>44.697169350902747</v>
      </c>
      <c r="T336" s="39">
        <f t="shared" si="133"/>
        <v>46.220351390922566</v>
      </c>
      <c r="U336" s="39">
        <f t="shared" si="134"/>
        <v>39.935578330893016</v>
      </c>
      <c r="V336" s="39">
        <f t="shared" si="135"/>
        <v>53.770375793069888</v>
      </c>
      <c r="W336" s="39">
        <f t="shared" si="136"/>
        <v>55.534651049292179</v>
      </c>
      <c r="X336" s="39">
        <f t="shared" si="137"/>
        <v>50.087603709126583</v>
      </c>
      <c r="Y336" s="39">
        <f t="shared" si="138"/>
        <v>53.482674475353811</v>
      </c>
      <c r="Z336" s="39">
        <f t="shared" si="139"/>
        <v>54.959736456808201</v>
      </c>
      <c r="AA336" s="39">
        <f t="shared" si="140"/>
        <v>56.07613469985359</v>
      </c>
      <c r="AB336" s="38"/>
      <c r="AE336" s="15">
        <v>2.9166666666666664E-2</v>
      </c>
      <c r="AF336" s="11">
        <f t="shared" si="141"/>
        <v>2520</v>
      </c>
      <c r="AG336" s="8">
        <v>2.0590000000000002</v>
      </c>
      <c r="AH336" s="8">
        <v>2.0411999999999999</v>
      </c>
      <c r="AI336" s="8">
        <v>2.0457000000000001</v>
      </c>
      <c r="AJ336" s="8">
        <v>2.0348000000000002</v>
      </c>
      <c r="AK336" s="8">
        <v>2.0354000000000001</v>
      </c>
      <c r="AL336" s="8">
        <v>2.0352000000000001</v>
      </c>
      <c r="AM336" s="8">
        <v>1.9613</v>
      </c>
      <c r="AN336" s="8">
        <v>1.9417</v>
      </c>
      <c r="AO336" s="8">
        <v>1.9057999999999999</v>
      </c>
      <c r="AP336" s="8">
        <v>1.9177</v>
      </c>
      <c r="AQ336" s="8">
        <v>1.9686999999999999</v>
      </c>
      <c r="AR336" s="8">
        <v>1.9568000000000001</v>
      </c>
      <c r="AS336" s="8">
        <v>2.0076000000000001</v>
      </c>
      <c r="AT336" s="8">
        <v>2.0051000000000001</v>
      </c>
      <c r="AU336" s="8">
        <v>2.0251999999999999</v>
      </c>
      <c r="AV336" s="8">
        <v>2.0192000000000001</v>
      </c>
      <c r="AW336" s="8">
        <v>2.0202</v>
      </c>
      <c r="AX336" s="8">
        <v>2.0024000000000002</v>
      </c>
      <c r="AY336" s="8">
        <v>1.9945999999999999</v>
      </c>
      <c r="AZ336" s="8">
        <v>1.9911000000000001</v>
      </c>
      <c r="BA336" s="8">
        <v>1.9922</v>
      </c>
      <c r="BB336" s="8">
        <v>1.9955000000000001</v>
      </c>
      <c r="BC336" s="8">
        <v>1.9925999999999999</v>
      </c>
      <c r="BD336" s="8">
        <v>1.9609000000000001</v>
      </c>
    </row>
    <row r="337" spans="2:56" x14ac:dyDescent="0.3">
      <c r="B337" s="35">
        <f t="shared" si="116"/>
        <v>2528</v>
      </c>
      <c r="C337" s="39">
        <f t="shared" si="117"/>
        <v>21.639092240117051</v>
      </c>
      <c r="D337" s="39">
        <f t="shared" si="118"/>
        <v>23.767203513909248</v>
      </c>
      <c r="E337" s="39">
        <f t="shared" si="119"/>
        <v>30.340653977550133</v>
      </c>
      <c r="F337" s="39">
        <f t="shared" si="120"/>
        <v>30.523670082967417</v>
      </c>
      <c r="G337" s="39">
        <f t="shared" si="121"/>
        <v>34.048316251830094</v>
      </c>
      <c r="H337" s="39">
        <f t="shared" si="122"/>
        <v>31.47242557345055</v>
      </c>
      <c r="I337" s="39">
        <f t="shared" si="123"/>
        <v>59.883113714006882</v>
      </c>
      <c r="J337" s="40">
        <f t="shared" si="124"/>
        <v>70.480966325036505</v>
      </c>
      <c r="K337" s="39">
        <f t="shared" si="125"/>
        <v>80.077842850170782</v>
      </c>
      <c r="L337" s="39">
        <f t="shared" si="126"/>
        <v>81.508540751586153</v>
      </c>
      <c r="M337" s="39">
        <f t="shared" si="127"/>
        <v>57.265739385065821</v>
      </c>
      <c r="N337" s="39">
        <f t="shared" si="128"/>
        <v>42.868472425573351</v>
      </c>
      <c r="O337" s="39"/>
      <c r="P337" s="39">
        <f t="shared" si="129"/>
        <v>48.660078086871465</v>
      </c>
      <c r="Q337" s="39">
        <f t="shared" si="130"/>
        <v>49.47388970229381</v>
      </c>
      <c r="R337" s="39">
        <f t="shared" si="131"/>
        <v>45.952903855539347</v>
      </c>
      <c r="S337" s="39">
        <f t="shared" si="132"/>
        <v>45.136408003904272</v>
      </c>
      <c r="T337" s="39">
        <f t="shared" si="133"/>
        <v>46.561981454368222</v>
      </c>
      <c r="U337" s="39">
        <f t="shared" si="134"/>
        <v>40.326012689116709</v>
      </c>
      <c r="V337" s="39">
        <f t="shared" si="135"/>
        <v>53.575158613958045</v>
      </c>
      <c r="W337" s="39">
        <f t="shared" si="136"/>
        <v>56.364324060517191</v>
      </c>
      <c r="X337" s="39">
        <f t="shared" si="137"/>
        <v>48.428257686676574</v>
      </c>
      <c r="Y337" s="39">
        <f t="shared" si="138"/>
        <v>53.970717423133273</v>
      </c>
      <c r="Z337" s="39">
        <f t="shared" si="139"/>
        <v>55.05734504636407</v>
      </c>
      <c r="AA337" s="39">
        <f t="shared" si="140"/>
        <v>55.783308931185978</v>
      </c>
      <c r="AB337" s="38"/>
      <c r="AE337" s="15">
        <v>2.9259259259259259E-2</v>
      </c>
      <c r="AF337" s="11">
        <f t="shared" si="141"/>
        <v>2528</v>
      </c>
      <c r="AG337" s="8">
        <v>2.06</v>
      </c>
      <c r="AH337" s="8">
        <v>2.0404</v>
      </c>
      <c r="AI337" s="8">
        <v>2.0442999999999998</v>
      </c>
      <c r="AJ337" s="8">
        <v>2.0316999999999998</v>
      </c>
      <c r="AK337" s="8">
        <v>2.0347</v>
      </c>
      <c r="AL337" s="8">
        <v>2.0339</v>
      </c>
      <c r="AM337" s="8">
        <v>1.9617</v>
      </c>
      <c r="AN337" s="8">
        <v>1.9400999999999999</v>
      </c>
      <c r="AO337" s="8">
        <v>1.9063000000000001</v>
      </c>
      <c r="AP337" s="8">
        <v>1.9177</v>
      </c>
      <c r="AQ337" s="8">
        <v>1.9675</v>
      </c>
      <c r="AR337" s="8">
        <v>1.9574</v>
      </c>
      <c r="AS337" s="8">
        <v>2.0091000000000001</v>
      </c>
      <c r="AT337" s="8">
        <v>2.0032999999999999</v>
      </c>
      <c r="AU337" s="8">
        <v>2.0247999999999999</v>
      </c>
      <c r="AV337" s="8">
        <v>2.0183</v>
      </c>
      <c r="AW337" s="8">
        <v>2.0194999999999999</v>
      </c>
      <c r="AX337" s="8">
        <v>2.0015999999999998</v>
      </c>
      <c r="AY337" s="8">
        <v>1.9950000000000001</v>
      </c>
      <c r="AZ337" s="8">
        <v>1.9894000000000001</v>
      </c>
      <c r="BA337" s="8">
        <v>1.9956</v>
      </c>
      <c r="BB337" s="8">
        <v>1.9944999999999999</v>
      </c>
      <c r="BC337" s="8">
        <v>1.9923999999999999</v>
      </c>
      <c r="BD337" s="8">
        <v>1.9615</v>
      </c>
    </row>
    <row r="338" spans="2:56" x14ac:dyDescent="0.3">
      <c r="B338" s="35">
        <f t="shared" si="116"/>
        <v>2536</v>
      </c>
      <c r="C338" s="39">
        <f t="shared" si="117"/>
        <v>21.73670082967292</v>
      </c>
      <c r="D338" s="39">
        <f t="shared" si="118"/>
        <v>23.181551976574028</v>
      </c>
      <c r="E338" s="39">
        <f t="shared" si="119"/>
        <v>29.80380673499274</v>
      </c>
      <c r="F338" s="39">
        <f t="shared" si="120"/>
        <v>30.230844314299592</v>
      </c>
      <c r="G338" s="39">
        <f t="shared" si="121"/>
        <v>34.341142020497699</v>
      </c>
      <c r="H338" s="39">
        <f t="shared" si="122"/>
        <v>32.741337237677087</v>
      </c>
      <c r="I338" s="39">
        <f t="shared" si="123"/>
        <v>59.785505124451014</v>
      </c>
      <c r="J338" s="40">
        <f t="shared" si="124"/>
        <v>69.60248901903357</v>
      </c>
      <c r="K338" s="39">
        <f t="shared" si="125"/>
        <v>79.394582723279697</v>
      </c>
      <c r="L338" s="39">
        <f t="shared" si="126"/>
        <v>81.362127867252354</v>
      </c>
      <c r="M338" s="39">
        <f t="shared" si="127"/>
        <v>56.28965348950701</v>
      </c>
      <c r="N338" s="39">
        <f t="shared" si="128"/>
        <v>43.112493899463026</v>
      </c>
      <c r="O338" s="39"/>
      <c r="P338" s="39">
        <f t="shared" si="129"/>
        <v>49.196925329428865</v>
      </c>
      <c r="Q338" s="39">
        <f t="shared" si="130"/>
        <v>49.22986822840403</v>
      </c>
      <c r="R338" s="39">
        <f t="shared" si="131"/>
        <v>45.172035139092166</v>
      </c>
      <c r="S338" s="39">
        <f t="shared" si="132"/>
        <v>45.185212298682103</v>
      </c>
      <c r="T338" s="39">
        <f t="shared" si="133"/>
        <v>46.073938506588654</v>
      </c>
      <c r="U338" s="39">
        <f t="shared" si="134"/>
        <v>41.058077110785632</v>
      </c>
      <c r="V338" s="39">
        <f t="shared" si="135"/>
        <v>54.79526598340663</v>
      </c>
      <c r="W338" s="39">
        <f t="shared" si="136"/>
        <v>55.339433870180443</v>
      </c>
      <c r="X338" s="39">
        <f t="shared" si="137"/>
        <v>48.672279160566248</v>
      </c>
      <c r="Y338" s="39">
        <f t="shared" si="138"/>
        <v>53.824304538799467</v>
      </c>
      <c r="Z338" s="39">
        <f t="shared" si="139"/>
        <v>55.545387994143425</v>
      </c>
      <c r="AA338" s="39">
        <f t="shared" si="140"/>
        <v>56.271351878965433</v>
      </c>
      <c r="AB338" s="38"/>
      <c r="AE338" s="15">
        <v>2.9351851851851851E-2</v>
      </c>
      <c r="AF338" s="11">
        <f t="shared" si="141"/>
        <v>2536</v>
      </c>
      <c r="AG338" s="8">
        <v>2.0598000000000001</v>
      </c>
      <c r="AH338" s="8">
        <v>2.0415999999999999</v>
      </c>
      <c r="AI338" s="8">
        <v>2.0453999999999999</v>
      </c>
      <c r="AJ338" s="8">
        <v>2.0323000000000002</v>
      </c>
      <c r="AK338" s="8">
        <v>2.0341</v>
      </c>
      <c r="AL338" s="8">
        <v>2.0312999999999999</v>
      </c>
      <c r="AM338" s="8">
        <v>1.9619</v>
      </c>
      <c r="AN338" s="8">
        <v>1.9419</v>
      </c>
      <c r="AO338" s="8">
        <v>1.9077</v>
      </c>
      <c r="AP338" s="8">
        <v>1.9179999999999999</v>
      </c>
      <c r="AQ338" s="8">
        <v>1.9695</v>
      </c>
      <c r="AR338" s="8">
        <v>1.9569000000000001</v>
      </c>
      <c r="AS338" s="8">
        <v>2.008</v>
      </c>
      <c r="AT338" s="8">
        <v>2.0038</v>
      </c>
      <c r="AU338" s="8">
        <v>2.0264000000000002</v>
      </c>
      <c r="AV338" s="8">
        <v>2.0182000000000002</v>
      </c>
      <c r="AW338" s="8">
        <v>2.0205000000000002</v>
      </c>
      <c r="AX338" s="8">
        <v>2.0001000000000002</v>
      </c>
      <c r="AY338" s="8">
        <v>1.9924999999999999</v>
      </c>
      <c r="AZ338" s="8">
        <v>1.9915</v>
      </c>
      <c r="BA338" s="8">
        <v>1.9951000000000001</v>
      </c>
      <c r="BB338" s="8">
        <v>1.9947999999999999</v>
      </c>
      <c r="BC338" s="8">
        <v>1.9914000000000001</v>
      </c>
      <c r="BD338" s="8">
        <v>1.9604999999999999</v>
      </c>
    </row>
    <row r="339" spans="2:56" x14ac:dyDescent="0.3">
      <c r="B339" s="35">
        <f t="shared" si="116"/>
        <v>2544</v>
      </c>
      <c r="C339" s="39">
        <f t="shared" si="117"/>
        <v>21.492679355783352</v>
      </c>
      <c r="D339" s="39">
        <f t="shared" si="118"/>
        <v>22.449487554904891</v>
      </c>
      <c r="E339" s="39">
        <f t="shared" si="119"/>
        <v>29.755002440214696</v>
      </c>
      <c r="F339" s="39">
        <f t="shared" si="120"/>
        <v>30.523670082967417</v>
      </c>
      <c r="G339" s="39">
        <f t="shared" si="121"/>
        <v>34.097120546607918</v>
      </c>
      <c r="H339" s="39">
        <f t="shared" si="122"/>
        <v>31.911664226452078</v>
      </c>
      <c r="I339" s="39">
        <f t="shared" si="123"/>
        <v>59.834309419228944</v>
      </c>
      <c r="J339" s="40">
        <f t="shared" si="124"/>
        <v>69.700097608589431</v>
      </c>
      <c r="K339" s="39">
        <f t="shared" si="125"/>
        <v>79.004148365056096</v>
      </c>
      <c r="L339" s="39">
        <f t="shared" si="126"/>
        <v>81.947779404587564</v>
      </c>
      <c r="M339" s="39">
        <f t="shared" si="127"/>
        <v>56.387262079062886</v>
      </c>
      <c r="N339" s="39">
        <f t="shared" si="128"/>
        <v>43.55173255246455</v>
      </c>
      <c r="O339" s="39"/>
      <c r="P339" s="39">
        <f t="shared" si="129"/>
        <v>50.221815519765606</v>
      </c>
      <c r="Q339" s="39">
        <f t="shared" si="130"/>
        <v>49.132259638848154</v>
      </c>
      <c r="R339" s="39">
        <f t="shared" si="131"/>
        <v>45.416056612981947</v>
      </c>
      <c r="S339" s="39">
        <f t="shared" si="132"/>
        <v>44.892386530014491</v>
      </c>
      <c r="T339" s="39">
        <f t="shared" si="133"/>
        <v>46.415568570034303</v>
      </c>
      <c r="U339" s="39">
        <f t="shared" si="134"/>
        <v>40.472425573450408</v>
      </c>
      <c r="V339" s="39">
        <f t="shared" si="135"/>
        <v>53.965592972181625</v>
      </c>
      <c r="W339" s="39">
        <f t="shared" si="136"/>
        <v>55.193020985846637</v>
      </c>
      <c r="X339" s="39">
        <f t="shared" si="137"/>
        <v>48.965104929233974</v>
      </c>
      <c r="Y339" s="39">
        <f t="shared" si="138"/>
        <v>55.044411908247952</v>
      </c>
      <c r="Z339" s="39">
        <f t="shared" si="139"/>
        <v>54.813323572474395</v>
      </c>
      <c r="AA339" s="39">
        <f t="shared" si="140"/>
        <v>55.68570034163011</v>
      </c>
      <c r="AB339" s="38"/>
      <c r="AE339" s="15">
        <v>2.9444444444444443E-2</v>
      </c>
      <c r="AF339" s="11">
        <f t="shared" si="141"/>
        <v>2544</v>
      </c>
      <c r="AG339" s="8">
        <v>2.0602999999999998</v>
      </c>
      <c r="AH339" s="8">
        <v>2.0430999999999999</v>
      </c>
      <c r="AI339" s="8">
        <v>2.0455000000000001</v>
      </c>
      <c r="AJ339" s="8">
        <v>2.0316999999999998</v>
      </c>
      <c r="AK339" s="8">
        <v>2.0346000000000002</v>
      </c>
      <c r="AL339" s="8">
        <v>2.0329999999999999</v>
      </c>
      <c r="AM339" s="8">
        <v>1.9618</v>
      </c>
      <c r="AN339" s="8">
        <v>1.9417</v>
      </c>
      <c r="AO339" s="8">
        <v>1.9085000000000001</v>
      </c>
      <c r="AP339" s="8">
        <v>1.9168000000000001</v>
      </c>
      <c r="AQ339" s="8">
        <v>1.9693000000000001</v>
      </c>
      <c r="AR339" s="8">
        <v>1.956</v>
      </c>
      <c r="AS339" s="8">
        <v>2.0059</v>
      </c>
      <c r="AT339" s="8">
        <v>2.004</v>
      </c>
      <c r="AU339" s="8">
        <v>2.0259</v>
      </c>
      <c r="AV339" s="8">
        <v>2.0188000000000001</v>
      </c>
      <c r="AW339" s="8">
        <v>2.0198</v>
      </c>
      <c r="AX339" s="8">
        <v>2.0013000000000001</v>
      </c>
      <c r="AY339" s="8">
        <v>1.9942</v>
      </c>
      <c r="AZ339" s="8">
        <v>1.9918</v>
      </c>
      <c r="BA339" s="8">
        <v>1.9944999999999999</v>
      </c>
      <c r="BB339" s="8">
        <v>1.9923</v>
      </c>
      <c r="BC339" s="8">
        <v>1.9928999999999999</v>
      </c>
      <c r="BD339" s="8">
        <v>1.9617</v>
      </c>
    </row>
    <row r="340" spans="2:56" x14ac:dyDescent="0.3">
      <c r="B340" s="35">
        <f t="shared" ref="B340:B403" si="142">AF340</f>
        <v>2552</v>
      </c>
      <c r="C340" s="39">
        <f t="shared" si="117"/>
        <v>21.639092240117051</v>
      </c>
      <c r="D340" s="39">
        <f t="shared" si="118"/>
        <v>23.816007808687292</v>
      </c>
      <c r="E340" s="39">
        <f t="shared" si="119"/>
        <v>30.194241093216217</v>
      </c>
      <c r="F340" s="39">
        <f t="shared" si="120"/>
        <v>30.182040019521764</v>
      </c>
      <c r="G340" s="39">
        <f t="shared" si="121"/>
        <v>34.048316251830094</v>
      </c>
      <c r="H340" s="39">
        <f t="shared" si="122"/>
        <v>32.594924353343167</v>
      </c>
      <c r="I340" s="39">
        <f t="shared" si="123"/>
        <v>59.785505124451014</v>
      </c>
      <c r="J340" s="40">
        <f t="shared" si="124"/>
        <v>69.992923377257057</v>
      </c>
      <c r="K340" s="39">
        <f t="shared" si="125"/>
        <v>80.077842850170782</v>
      </c>
      <c r="L340" s="39">
        <f t="shared" si="126"/>
        <v>81.508540751586153</v>
      </c>
      <c r="M340" s="39">
        <f t="shared" si="127"/>
        <v>57.070522205954084</v>
      </c>
      <c r="N340" s="39">
        <f t="shared" si="128"/>
        <v>43.063689604685088</v>
      </c>
      <c r="O340" s="39"/>
      <c r="P340" s="39">
        <f t="shared" si="129"/>
        <v>49.196925329428865</v>
      </c>
      <c r="Q340" s="39">
        <f t="shared" si="130"/>
        <v>48.839433870180542</v>
      </c>
      <c r="R340" s="39">
        <f t="shared" si="131"/>
        <v>45.904099560761303</v>
      </c>
      <c r="S340" s="39">
        <f t="shared" si="132"/>
        <v>44.45314787701318</v>
      </c>
      <c r="T340" s="39">
        <f t="shared" si="133"/>
        <v>46.903611517813658</v>
      </c>
      <c r="U340" s="39">
        <f t="shared" si="134"/>
        <v>40.37481698389454</v>
      </c>
      <c r="V340" s="39">
        <f t="shared" si="135"/>
        <v>54.40483162518305</v>
      </c>
      <c r="W340" s="39">
        <f t="shared" si="136"/>
        <v>55.437042459736311</v>
      </c>
      <c r="X340" s="39">
        <f t="shared" si="137"/>
        <v>48.76988775012223</v>
      </c>
      <c r="Y340" s="39">
        <f t="shared" si="138"/>
        <v>54.068326012689141</v>
      </c>
      <c r="Z340" s="39">
        <f t="shared" si="139"/>
        <v>55.05734504636407</v>
      </c>
      <c r="AA340" s="39">
        <f t="shared" si="140"/>
        <v>57.296242069302181</v>
      </c>
      <c r="AB340" s="38"/>
      <c r="AE340" s="15">
        <v>2.9537037037037039E-2</v>
      </c>
      <c r="AF340" s="11">
        <f t="shared" si="141"/>
        <v>2552</v>
      </c>
      <c r="AG340" s="8">
        <v>2.06</v>
      </c>
      <c r="AH340" s="8">
        <v>2.0402999999999998</v>
      </c>
      <c r="AI340" s="8">
        <v>2.0446</v>
      </c>
      <c r="AJ340" s="8">
        <v>2.0324</v>
      </c>
      <c r="AK340" s="8">
        <v>2.0347</v>
      </c>
      <c r="AL340" s="8">
        <v>2.0316000000000001</v>
      </c>
      <c r="AM340" s="8">
        <v>1.9619</v>
      </c>
      <c r="AN340" s="8">
        <v>1.9411</v>
      </c>
      <c r="AO340" s="8">
        <v>1.9063000000000001</v>
      </c>
      <c r="AP340" s="8">
        <v>1.9177</v>
      </c>
      <c r="AQ340" s="8">
        <v>1.9679</v>
      </c>
      <c r="AR340" s="8">
        <v>1.9570000000000001</v>
      </c>
      <c r="AS340" s="8">
        <v>2.008</v>
      </c>
      <c r="AT340" s="8">
        <v>2.0045999999999999</v>
      </c>
      <c r="AU340" s="8">
        <v>2.0249000000000001</v>
      </c>
      <c r="AV340" s="8">
        <v>2.0196999999999998</v>
      </c>
      <c r="AW340" s="8">
        <v>2.0188000000000001</v>
      </c>
      <c r="AX340" s="8">
        <v>2.0015000000000001</v>
      </c>
      <c r="AY340" s="8">
        <v>1.9933000000000001</v>
      </c>
      <c r="AZ340" s="8">
        <v>1.9913000000000001</v>
      </c>
      <c r="BA340" s="8">
        <v>1.9948999999999999</v>
      </c>
      <c r="BB340" s="8">
        <v>1.9943</v>
      </c>
      <c r="BC340" s="8">
        <v>1.9923999999999999</v>
      </c>
      <c r="BD340" s="8">
        <v>1.9583999999999999</v>
      </c>
    </row>
    <row r="341" spans="2:56" x14ac:dyDescent="0.3">
      <c r="B341" s="35">
        <f t="shared" si="142"/>
        <v>2560</v>
      </c>
      <c r="C341" s="39">
        <f t="shared" ref="C341:C404" si="143">((C$9-AG341-($A$5*$A$9*((C$3/10^6)-((C$3/10^6)*EXP(-1*$A$11*$B341)))))/(($A$5+$A$7)*$A$9))*10^6</f>
        <v>21.102244997559655</v>
      </c>
      <c r="D341" s="39">
        <f t="shared" ref="D341:D404" si="144">((D$9-AH341-($A$5*$A$9*((D$3/10^6)-((D$3/10^6)*EXP(-1*$A$11*$B341)))))/(($A$5+$A$7)*$A$9))*10^6</f>
        <v>22.449487554904891</v>
      </c>
      <c r="E341" s="39">
        <f t="shared" ref="E341:E404" si="145">((E$9-AI341-($A$5*$A$9*((E$3/10^6)-((E$3/10^6)*EXP(-1*$A$11*$B341)))))/(($A$5+$A$7)*$A$9))*10^6</f>
        <v>29.608589555880997</v>
      </c>
      <c r="F341" s="39">
        <f t="shared" ref="F341:F404" si="146">((F$9-AJ341-($A$5*$A$9*((F$3/10^6)-((F$3/10^6)*EXP(-1*$A$11*$B341)))))/(($A$5+$A$7)*$A$9))*10^6</f>
        <v>30.816495851635025</v>
      </c>
      <c r="G341" s="39">
        <f t="shared" ref="G341:G404" si="147">((G$9-AK341-($A$5*$A$9*((G$3/10^6)-((G$3/10^6)*EXP(-1*$A$11*$B341)))))/(($A$5+$A$7)*$A$9))*10^6</f>
        <v>34.194729136163787</v>
      </c>
      <c r="H341" s="39">
        <f t="shared" ref="H341:H404" si="148">((H$9-AL341-($A$5*$A$9*((H$3/10^6)-((H$3/10^6)*EXP(-1*$A$11*$B341)))))/(($A$5+$A$7)*$A$9))*10^6</f>
        <v>32.546120058565343</v>
      </c>
      <c r="I341" s="39">
        <f t="shared" ref="I341:I404" si="149">((I$9-AM341-($A$5*$A$9*((I$3/10^6)-((I$3/10^6)*EXP(-1*$A$11*$B341)))))/(($A$5+$A$7)*$A$9))*10^6</f>
        <v>59.443875061005471</v>
      </c>
      <c r="J341" s="40">
        <f t="shared" ref="J341:J404" si="150">((J$9-AN341-($A$5*$A$9*((J$3/10^6)-((J$3/10^6)*EXP(-1*$A$11*$B341)))))/(($A$5+$A$7)*$A$9))*10^6</f>
        <v>70.188140556368793</v>
      </c>
      <c r="K341" s="39">
        <f t="shared" ref="K341:K404" si="151">((K$9-AO341-($A$5*$A$9*((K$3/10^6)-((K$3/10^6)*EXP(-1*$A$11*$B341)))))/(($A$5+$A$7)*$A$9))*10^6</f>
        <v>79.296974133723822</v>
      </c>
      <c r="L341" s="39">
        <f t="shared" ref="L341:L404" si="152">((L$9-AP341-($A$5*$A$9*((L$3/10^6)-((L$3/10^6)*EXP(-1*$A$11*$B341)))))/(($A$5+$A$7)*$A$9))*10^6</f>
        <v>81.508540751586153</v>
      </c>
      <c r="M341" s="39">
        <f t="shared" ref="M341:M404" si="153">((M$9-AQ341-($A$5*$A$9*((M$3/10^6)-((M$3/10^6)*EXP(-1*$A$11*$B341)))))/(($A$5+$A$7)*$A$9))*10^6</f>
        <v>56.045632015617343</v>
      </c>
      <c r="N341" s="39">
        <f t="shared" ref="N341:N404" si="154">((N$9-AR341-($A$5*$A$9*((N$3/10^6)-((N$3/10^6)*EXP(-1*$A$11*$B341)))))/(($A$5+$A$7)*$A$9))*10^6</f>
        <v>42.868472425573351</v>
      </c>
      <c r="O341" s="39"/>
      <c r="P341" s="39">
        <f t="shared" ref="P341:P404" si="155">((P$9-AS341-($A$5*$A$9*((P$3/10^6)-((P$3/10^6)*EXP(-1*$A$13*$B341)))))/(($A$5+$A$7)*$A$9))*10^6</f>
        <v>49.440946803318653</v>
      </c>
      <c r="Q341" s="39">
        <f t="shared" ref="Q341:Q404" si="156">((Q$9-AT341-($A$5*$A$9*((Q$3/10^6)-((Q$3/10^6)*EXP(-1*$A$13*$B341)))))/(($A$5+$A$7)*$A$9))*10^6</f>
        <v>48.985846754514242</v>
      </c>
      <c r="R341" s="39">
        <f t="shared" ref="R341:R404" si="157">((R$9-AU341-($A$5*$A$9*((R$3/10^6)-((R$3/10^6)*EXP(-1*$A$13*$B341)))))/(($A$5+$A$7)*$A$9))*10^6</f>
        <v>46.196925329428915</v>
      </c>
      <c r="S341" s="39">
        <f t="shared" ref="S341:S404" si="158">((S$9-AV341-($A$5*$A$9*((S$3/10^6)-((S$3/10^6)*EXP(-1*$A$13*$B341)))))/(($A$5+$A$7)*$A$9))*10^6</f>
        <v>44.941190824792535</v>
      </c>
      <c r="T341" s="39">
        <f t="shared" ref="T341:T404" si="159">((T$9-AW341-($A$5*$A$9*((T$3/10^6)-((T$3/10^6)*EXP(-1*$A$13*$B341)))))/(($A$5+$A$7)*$A$9))*10^6</f>
        <v>47.001220107369527</v>
      </c>
      <c r="U341" s="39">
        <f t="shared" ref="U341:U404" si="160">((U$9-AX341-($A$5*$A$9*((U$3/10^6)-((U$3/10^6)*EXP(-1*$A$13*$B341)))))/(($A$5+$A$7)*$A$9))*10^6</f>
        <v>41.253294289897475</v>
      </c>
      <c r="V341" s="39">
        <f t="shared" ref="V341:V404" si="161">((V$9-AY341-($A$5*$A$9*((V$3/10^6)-((V$3/10^6)*EXP(-1*$A$13*$B341)))))/(($A$5+$A$7)*$A$9))*10^6</f>
        <v>54.648853099072831</v>
      </c>
      <c r="W341" s="39">
        <f t="shared" ref="W341:W404" si="162">((W$9-AZ341-($A$5*$A$9*((W$3/10^6)-((W$3/10^6)*EXP(-1*$A$13*$B341)))))/(($A$5+$A$7)*$A$9))*10^6</f>
        <v>56.461932650073059</v>
      </c>
      <c r="X341" s="39">
        <f t="shared" ref="X341:X404" si="163">((X$9-BA341-($A$5*$A$9*((X$3/10^6)-((X$3/10^6)*EXP(-1*$A$13*$B341)))))/(($A$5+$A$7)*$A$9))*10^6</f>
        <v>49.794777940458978</v>
      </c>
      <c r="Y341" s="39">
        <f t="shared" ref="Y341:Y404" si="164">((Y$9-BB341-($A$5*$A$9*((Y$3/10^6)-((Y$3/10^6)*EXP(-1*$A$13*$B341)))))/(($A$5+$A$7)*$A$9))*10^6</f>
        <v>53.970717423133273</v>
      </c>
      <c r="Z341" s="39">
        <f t="shared" ref="Z341:Z404" si="165">((Z$9-BC341-($A$5*$A$9*((Z$3/10^6)-((Z$3/10^6)*EXP(-1*$A$13*$B341)))))/(($A$5+$A$7)*$A$9))*10^6</f>
        <v>55.252562225475806</v>
      </c>
      <c r="AA341" s="39">
        <f t="shared" ref="AA341:AA404" si="166">((AA$9-BD341-($A$5*$A$9*((AA$3/10^6)-((AA$3/10^6)*EXP(-1*$A$13*$B341)))))/(($A$5+$A$7)*$A$9))*10^6</f>
        <v>56.857003416300657</v>
      </c>
      <c r="AB341" s="38"/>
      <c r="AE341" s="15">
        <v>2.9629629629629627E-2</v>
      </c>
      <c r="AF341" s="11">
        <f t="shared" si="141"/>
        <v>2560</v>
      </c>
      <c r="AG341" s="8">
        <v>2.0611000000000002</v>
      </c>
      <c r="AH341" s="8">
        <v>2.0430999999999999</v>
      </c>
      <c r="AI341" s="8">
        <v>2.0457999999999998</v>
      </c>
      <c r="AJ341" s="8">
        <v>2.0310999999999999</v>
      </c>
      <c r="AK341" s="8">
        <v>2.0344000000000002</v>
      </c>
      <c r="AL341" s="8">
        <v>2.0316999999999998</v>
      </c>
      <c r="AM341" s="8">
        <v>1.9625999999999999</v>
      </c>
      <c r="AN341" s="8">
        <v>1.9407000000000001</v>
      </c>
      <c r="AO341" s="8">
        <v>1.9078999999999999</v>
      </c>
      <c r="AP341" s="8">
        <v>1.9177</v>
      </c>
      <c r="AQ341" s="8">
        <v>1.97</v>
      </c>
      <c r="AR341" s="8">
        <v>1.9574</v>
      </c>
      <c r="AS341" s="8">
        <v>2.0074999999999998</v>
      </c>
      <c r="AT341" s="8">
        <v>2.0043000000000002</v>
      </c>
      <c r="AU341" s="8">
        <v>2.0243000000000002</v>
      </c>
      <c r="AV341" s="8">
        <v>2.0186999999999999</v>
      </c>
      <c r="AW341" s="8">
        <v>2.0186000000000002</v>
      </c>
      <c r="AX341" s="8">
        <v>1.9997</v>
      </c>
      <c r="AY341" s="8">
        <v>1.9927999999999999</v>
      </c>
      <c r="AZ341" s="8">
        <v>1.9892000000000001</v>
      </c>
      <c r="BA341" s="8">
        <v>1.9927999999999999</v>
      </c>
      <c r="BB341" s="8">
        <v>1.9944999999999999</v>
      </c>
      <c r="BC341" s="8">
        <v>1.992</v>
      </c>
      <c r="BD341" s="8">
        <v>1.9593</v>
      </c>
    </row>
    <row r="342" spans="2:56" x14ac:dyDescent="0.3">
      <c r="B342" s="35">
        <f t="shared" si="142"/>
        <v>2568</v>
      </c>
      <c r="C342" s="39">
        <f t="shared" si="143"/>
        <v>21.639092240117051</v>
      </c>
      <c r="D342" s="39">
        <f t="shared" si="144"/>
        <v>22.400683260126847</v>
      </c>
      <c r="E342" s="39">
        <f t="shared" si="145"/>
        <v>29.950219619326436</v>
      </c>
      <c r="F342" s="39">
        <f t="shared" si="146"/>
        <v>30.474865788189376</v>
      </c>
      <c r="G342" s="39">
        <f t="shared" si="147"/>
        <v>34.829184968277055</v>
      </c>
      <c r="H342" s="39">
        <f t="shared" si="148"/>
        <v>32.204489995119687</v>
      </c>
      <c r="I342" s="39">
        <f t="shared" si="149"/>
        <v>59.639092240117208</v>
      </c>
      <c r="J342" s="40">
        <f t="shared" si="150"/>
        <v>69.553684724255632</v>
      </c>
      <c r="K342" s="39">
        <f t="shared" si="151"/>
        <v>79.638604197169371</v>
      </c>
      <c r="L342" s="39">
        <f t="shared" si="152"/>
        <v>81.459736456808216</v>
      </c>
      <c r="M342" s="39">
        <f t="shared" si="153"/>
        <v>56.972913616398216</v>
      </c>
      <c r="N342" s="39">
        <f t="shared" si="154"/>
        <v>42.673255246461608</v>
      </c>
      <c r="O342" s="39"/>
      <c r="P342" s="39">
        <f t="shared" si="155"/>
        <v>49.294533918984733</v>
      </c>
      <c r="Q342" s="39">
        <f t="shared" si="156"/>
        <v>48.693020985846637</v>
      </c>
      <c r="R342" s="39">
        <f t="shared" si="157"/>
        <v>45.172035139092166</v>
      </c>
      <c r="S342" s="39">
        <f t="shared" si="158"/>
        <v>45.722059541239496</v>
      </c>
      <c r="T342" s="39">
        <f t="shared" si="159"/>
        <v>47.050024402147564</v>
      </c>
      <c r="U342" s="39">
        <f t="shared" si="160"/>
        <v>39.83796974133714</v>
      </c>
      <c r="V342" s="39">
        <f t="shared" si="161"/>
        <v>54.112005856515431</v>
      </c>
      <c r="W342" s="39">
        <f t="shared" si="162"/>
        <v>55.485846754514249</v>
      </c>
      <c r="X342" s="39">
        <f t="shared" si="163"/>
        <v>49.74597364568104</v>
      </c>
      <c r="Y342" s="39">
        <f t="shared" si="164"/>
        <v>54.068326012689141</v>
      </c>
      <c r="Z342" s="39">
        <f t="shared" si="165"/>
        <v>55.301366520253751</v>
      </c>
      <c r="AA342" s="39">
        <f t="shared" si="166"/>
        <v>56.12493899463152</v>
      </c>
      <c r="AB342" s="38"/>
      <c r="AE342" s="15">
        <v>2.9722222222222219E-2</v>
      </c>
      <c r="AF342" s="11">
        <f t="shared" ref="AF342:AF405" si="167">AE342*24*60*60</f>
        <v>2568</v>
      </c>
      <c r="AG342" s="8">
        <v>2.06</v>
      </c>
      <c r="AH342" s="8">
        <v>2.0432000000000001</v>
      </c>
      <c r="AI342" s="8">
        <v>2.0451000000000001</v>
      </c>
      <c r="AJ342" s="8">
        <v>2.0318000000000001</v>
      </c>
      <c r="AK342" s="8">
        <v>2.0331000000000001</v>
      </c>
      <c r="AL342" s="8">
        <v>2.0324</v>
      </c>
      <c r="AM342" s="8">
        <v>1.9621999999999999</v>
      </c>
      <c r="AN342" s="8">
        <v>1.9419999999999999</v>
      </c>
      <c r="AO342" s="8">
        <v>1.9072</v>
      </c>
      <c r="AP342" s="8">
        <v>1.9177999999999999</v>
      </c>
      <c r="AQ342" s="8">
        <v>1.9681</v>
      </c>
      <c r="AR342" s="8">
        <v>1.9578</v>
      </c>
      <c r="AS342" s="8">
        <v>2.0078</v>
      </c>
      <c r="AT342" s="8">
        <v>2.0049000000000001</v>
      </c>
      <c r="AU342" s="8">
        <v>2.0264000000000002</v>
      </c>
      <c r="AV342" s="8">
        <v>2.0171000000000001</v>
      </c>
      <c r="AW342" s="8">
        <v>2.0185</v>
      </c>
      <c r="AX342" s="8">
        <v>2.0026000000000002</v>
      </c>
      <c r="AY342" s="8">
        <v>1.9939</v>
      </c>
      <c r="AZ342" s="8">
        <v>1.9912000000000001</v>
      </c>
      <c r="BA342" s="8">
        <v>1.9928999999999999</v>
      </c>
      <c r="BB342" s="8">
        <v>1.9943</v>
      </c>
      <c r="BC342" s="8">
        <v>1.9919</v>
      </c>
      <c r="BD342" s="8">
        <v>1.9608000000000001</v>
      </c>
    </row>
    <row r="343" spans="2:56" x14ac:dyDescent="0.3">
      <c r="B343" s="35">
        <f t="shared" si="142"/>
        <v>2576</v>
      </c>
      <c r="C343" s="39">
        <f t="shared" si="143"/>
        <v>21.053440702781831</v>
      </c>
      <c r="D343" s="39">
        <f t="shared" si="144"/>
        <v>22.693509028794459</v>
      </c>
      <c r="E343" s="39">
        <f t="shared" si="145"/>
        <v>29.41337237676926</v>
      </c>
      <c r="F343" s="39">
        <f t="shared" si="146"/>
        <v>30.523670082967417</v>
      </c>
      <c r="G343" s="39">
        <f t="shared" si="147"/>
        <v>33.853099072718351</v>
      </c>
      <c r="H343" s="39">
        <f t="shared" si="148"/>
        <v>32.00927281600795</v>
      </c>
      <c r="I343" s="39">
        <f t="shared" si="149"/>
        <v>59.053440702781877</v>
      </c>
      <c r="J343" s="40">
        <f t="shared" si="150"/>
        <v>70.188140556368793</v>
      </c>
      <c r="K343" s="39">
        <f t="shared" si="151"/>
        <v>79.199365544167946</v>
      </c>
      <c r="L343" s="39">
        <f t="shared" si="152"/>
        <v>81.410932162030292</v>
      </c>
      <c r="M343" s="39">
        <f t="shared" si="153"/>
        <v>57.21693509028789</v>
      </c>
      <c r="N343" s="39">
        <f t="shared" si="154"/>
        <v>43.063689604685088</v>
      </c>
      <c r="O343" s="39"/>
      <c r="P343" s="39">
        <f t="shared" si="155"/>
        <v>48.855295265983209</v>
      </c>
      <c r="Q343" s="39">
        <f t="shared" si="156"/>
        <v>49.522693997071634</v>
      </c>
      <c r="R343" s="39">
        <f t="shared" si="157"/>
        <v>45.513665202537815</v>
      </c>
      <c r="S343" s="39">
        <f t="shared" si="158"/>
        <v>45.234016593460147</v>
      </c>
      <c r="T343" s="39">
        <f t="shared" si="159"/>
        <v>46.854807223035827</v>
      </c>
      <c r="U343" s="39">
        <f t="shared" si="160"/>
        <v>40.130795510004972</v>
      </c>
      <c r="V343" s="39">
        <f t="shared" si="161"/>
        <v>53.428745729624232</v>
      </c>
      <c r="W343" s="39">
        <f t="shared" si="162"/>
        <v>55.72986822840403</v>
      </c>
      <c r="X343" s="39">
        <f t="shared" si="163"/>
        <v>49.111517813567772</v>
      </c>
      <c r="Y343" s="39">
        <f t="shared" si="164"/>
        <v>54.263543191800885</v>
      </c>
      <c r="Z343" s="39">
        <f t="shared" si="165"/>
        <v>55.398975109809619</v>
      </c>
      <c r="AA343" s="39">
        <f t="shared" si="166"/>
        <v>55.978526110297722</v>
      </c>
      <c r="AB343" s="38"/>
      <c r="AE343" s="15">
        <v>2.9814814814814811E-2</v>
      </c>
      <c r="AF343" s="11">
        <f t="shared" si="167"/>
        <v>2576</v>
      </c>
      <c r="AG343" s="8">
        <v>2.0611999999999999</v>
      </c>
      <c r="AH343" s="8">
        <v>2.0426000000000002</v>
      </c>
      <c r="AI343" s="8">
        <v>2.0461999999999998</v>
      </c>
      <c r="AJ343" s="8">
        <v>2.0316999999999998</v>
      </c>
      <c r="AK343" s="8">
        <v>2.0350999999999999</v>
      </c>
      <c r="AL343" s="8">
        <v>2.0327999999999999</v>
      </c>
      <c r="AM343" s="8">
        <v>1.9634</v>
      </c>
      <c r="AN343" s="8">
        <v>1.9407000000000001</v>
      </c>
      <c r="AO343" s="8">
        <v>1.9080999999999999</v>
      </c>
      <c r="AP343" s="8">
        <v>1.9178999999999999</v>
      </c>
      <c r="AQ343" s="8">
        <v>1.9676</v>
      </c>
      <c r="AR343" s="8">
        <v>1.9570000000000001</v>
      </c>
      <c r="AS343" s="8">
        <v>2.0087000000000002</v>
      </c>
      <c r="AT343" s="8">
        <v>2.0032000000000001</v>
      </c>
      <c r="AU343" s="8">
        <v>2.0257000000000001</v>
      </c>
      <c r="AV343" s="8">
        <v>2.0181</v>
      </c>
      <c r="AW343" s="8">
        <v>2.0188999999999999</v>
      </c>
      <c r="AX343" s="8">
        <v>2.0019999999999998</v>
      </c>
      <c r="AY343" s="8">
        <v>1.9953000000000001</v>
      </c>
      <c r="AZ343" s="8">
        <v>1.9906999999999999</v>
      </c>
      <c r="BA343" s="8">
        <v>1.9942</v>
      </c>
      <c r="BB343" s="8">
        <v>1.9939</v>
      </c>
      <c r="BC343" s="8">
        <v>1.9917</v>
      </c>
      <c r="BD343" s="8">
        <v>1.9611000000000001</v>
      </c>
    </row>
    <row r="344" spans="2:56" x14ac:dyDescent="0.3">
      <c r="B344" s="35">
        <f t="shared" si="142"/>
        <v>2584</v>
      </c>
      <c r="C344" s="39">
        <f t="shared" si="143"/>
        <v>21.785505124450964</v>
      </c>
      <c r="D344" s="39">
        <f t="shared" si="144"/>
        <v>22.156661786237279</v>
      </c>
      <c r="E344" s="39">
        <f t="shared" si="145"/>
        <v>29.706198145436868</v>
      </c>
      <c r="F344" s="39">
        <f t="shared" si="146"/>
        <v>30.377257198633501</v>
      </c>
      <c r="G344" s="39">
        <f t="shared" si="147"/>
        <v>34.097120546607918</v>
      </c>
      <c r="H344" s="39">
        <f t="shared" si="148"/>
        <v>32.106881405563819</v>
      </c>
      <c r="I344" s="39">
        <f t="shared" si="149"/>
        <v>59.541483650561339</v>
      </c>
      <c r="J344" s="40">
        <f t="shared" si="150"/>
        <v>69.992923377257057</v>
      </c>
      <c r="K344" s="39">
        <f t="shared" si="151"/>
        <v>79.78501708150317</v>
      </c>
      <c r="L344" s="39">
        <f t="shared" si="152"/>
        <v>81.606149341142029</v>
      </c>
      <c r="M344" s="39">
        <f t="shared" si="153"/>
        <v>55.801610541727662</v>
      </c>
      <c r="N344" s="39">
        <f t="shared" si="154"/>
        <v>43.649341142020418</v>
      </c>
      <c r="O344" s="39"/>
      <c r="P344" s="39">
        <f t="shared" si="155"/>
        <v>49.392142508540601</v>
      </c>
      <c r="Q344" s="39">
        <f t="shared" si="156"/>
        <v>48.400195217179025</v>
      </c>
      <c r="R344" s="39">
        <f t="shared" si="157"/>
        <v>46.001708150317171</v>
      </c>
      <c r="S344" s="39">
        <f t="shared" si="158"/>
        <v>45.526842362127752</v>
      </c>
      <c r="T344" s="39">
        <f t="shared" si="159"/>
        <v>46.854807223035827</v>
      </c>
      <c r="U344" s="39">
        <f t="shared" si="160"/>
        <v>41.887750122010743</v>
      </c>
      <c r="V344" s="39">
        <f t="shared" si="161"/>
        <v>54.79526598340663</v>
      </c>
      <c r="W344" s="39">
        <f t="shared" si="162"/>
        <v>55.72986822840403</v>
      </c>
      <c r="X344" s="39">
        <f t="shared" si="163"/>
        <v>49.697169350902996</v>
      </c>
      <c r="Y344" s="39">
        <f t="shared" si="164"/>
        <v>54.605173255246427</v>
      </c>
      <c r="Z344" s="39">
        <f t="shared" si="165"/>
        <v>55.838213762811137</v>
      </c>
      <c r="AA344" s="39">
        <f t="shared" si="166"/>
        <v>55.929721815519784</v>
      </c>
      <c r="AB344" s="38"/>
      <c r="AE344" s="15">
        <v>2.990740740740741E-2</v>
      </c>
      <c r="AF344" s="11">
        <f t="shared" si="167"/>
        <v>2584</v>
      </c>
      <c r="AG344" s="8">
        <v>2.0596999999999999</v>
      </c>
      <c r="AH344" s="8">
        <v>2.0436999999999999</v>
      </c>
      <c r="AI344" s="8">
        <v>2.0455999999999999</v>
      </c>
      <c r="AJ344" s="8">
        <v>2.032</v>
      </c>
      <c r="AK344" s="8">
        <v>2.0346000000000002</v>
      </c>
      <c r="AL344" s="8">
        <v>2.0326</v>
      </c>
      <c r="AM344" s="8">
        <v>1.9623999999999999</v>
      </c>
      <c r="AN344" s="8">
        <v>1.9411</v>
      </c>
      <c r="AO344" s="8">
        <v>1.9069</v>
      </c>
      <c r="AP344" s="8">
        <v>1.9175</v>
      </c>
      <c r="AQ344" s="8">
        <v>1.9704999999999999</v>
      </c>
      <c r="AR344" s="8">
        <v>1.9558</v>
      </c>
      <c r="AS344" s="8">
        <v>2.0076000000000001</v>
      </c>
      <c r="AT344" s="8">
        <v>2.0055000000000001</v>
      </c>
      <c r="AU344" s="8">
        <v>2.0247000000000002</v>
      </c>
      <c r="AV344" s="8">
        <v>2.0175000000000001</v>
      </c>
      <c r="AW344" s="8">
        <v>2.0188999999999999</v>
      </c>
      <c r="AX344" s="8">
        <v>1.9984</v>
      </c>
      <c r="AY344" s="8">
        <v>1.9924999999999999</v>
      </c>
      <c r="AZ344" s="8">
        <v>1.9906999999999999</v>
      </c>
      <c r="BA344" s="8">
        <v>1.9930000000000001</v>
      </c>
      <c r="BB344" s="8">
        <v>1.9932000000000001</v>
      </c>
      <c r="BC344" s="8">
        <v>1.9907999999999999</v>
      </c>
      <c r="BD344" s="8">
        <v>1.9612000000000001</v>
      </c>
    </row>
    <row r="345" spans="2:56" x14ac:dyDescent="0.3">
      <c r="B345" s="35">
        <f t="shared" si="142"/>
        <v>2592</v>
      </c>
      <c r="C345" s="39">
        <f t="shared" si="143"/>
        <v>21.639092240117051</v>
      </c>
      <c r="D345" s="39">
        <f t="shared" si="144"/>
        <v>23.523182040019464</v>
      </c>
      <c r="E345" s="39">
        <f t="shared" si="145"/>
        <v>29.315763787213172</v>
      </c>
      <c r="F345" s="39">
        <f t="shared" si="146"/>
        <v>30.572474377745241</v>
      </c>
      <c r="G345" s="39">
        <f t="shared" si="147"/>
        <v>32.779404587603558</v>
      </c>
      <c r="H345" s="39">
        <f t="shared" si="148"/>
        <v>32.350902879453599</v>
      </c>
      <c r="I345" s="39">
        <f t="shared" si="149"/>
        <v>60.078330893118618</v>
      </c>
      <c r="J345" s="40">
        <f t="shared" si="150"/>
        <v>70.529770619814457</v>
      </c>
      <c r="K345" s="39">
        <f t="shared" si="151"/>
        <v>80.614690092728168</v>
      </c>
      <c r="L345" s="39">
        <f t="shared" si="152"/>
        <v>81.996583699365502</v>
      </c>
      <c r="M345" s="39">
        <f t="shared" si="153"/>
        <v>56.533674963396685</v>
      </c>
      <c r="N345" s="39">
        <f t="shared" si="154"/>
        <v>42.526842362127802</v>
      </c>
      <c r="O345" s="39"/>
      <c r="P345" s="39">
        <f t="shared" si="155"/>
        <v>49.48975109809647</v>
      </c>
      <c r="Q345" s="39">
        <f t="shared" si="156"/>
        <v>49.864324060517291</v>
      </c>
      <c r="R345" s="39">
        <f t="shared" si="157"/>
        <v>45.904099560761303</v>
      </c>
      <c r="S345" s="39">
        <f t="shared" si="158"/>
        <v>46.405319668130808</v>
      </c>
      <c r="T345" s="39">
        <f t="shared" si="159"/>
        <v>47.586871644704964</v>
      </c>
      <c r="U345" s="39">
        <f t="shared" si="160"/>
        <v>40.667642752562145</v>
      </c>
      <c r="V345" s="39">
        <f t="shared" si="161"/>
        <v>53.428745729624232</v>
      </c>
      <c r="W345" s="39">
        <f t="shared" si="162"/>
        <v>55.925085407515773</v>
      </c>
      <c r="X345" s="39">
        <f t="shared" si="163"/>
        <v>49.16032210834571</v>
      </c>
      <c r="Y345" s="39">
        <f t="shared" si="164"/>
        <v>55.093216203025889</v>
      </c>
      <c r="Z345" s="39">
        <f t="shared" si="165"/>
        <v>55.789409468033206</v>
      </c>
      <c r="AA345" s="39">
        <f t="shared" si="166"/>
        <v>56.07613469985359</v>
      </c>
      <c r="AB345" s="38"/>
      <c r="AE345" s="15">
        <v>3.0000000000000002E-2</v>
      </c>
      <c r="AF345" s="11">
        <f t="shared" si="167"/>
        <v>2592</v>
      </c>
      <c r="AG345" s="8">
        <v>2.06</v>
      </c>
      <c r="AH345" s="8">
        <v>2.0409000000000002</v>
      </c>
      <c r="AI345" s="8">
        <v>2.0464000000000002</v>
      </c>
      <c r="AJ345" s="8">
        <v>2.0316000000000001</v>
      </c>
      <c r="AK345" s="8">
        <v>2.0373000000000001</v>
      </c>
      <c r="AL345" s="8">
        <v>2.0320999999999998</v>
      </c>
      <c r="AM345" s="8">
        <v>1.9613</v>
      </c>
      <c r="AN345" s="8">
        <v>1.94</v>
      </c>
      <c r="AO345" s="8">
        <v>1.9052</v>
      </c>
      <c r="AP345" s="8">
        <v>1.9167000000000001</v>
      </c>
      <c r="AQ345" s="8">
        <v>1.9690000000000001</v>
      </c>
      <c r="AR345" s="8">
        <v>1.9581</v>
      </c>
      <c r="AS345" s="8">
        <v>2.0074000000000001</v>
      </c>
      <c r="AT345" s="8">
        <v>2.0024999999999999</v>
      </c>
      <c r="AU345" s="8">
        <v>2.0249000000000001</v>
      </c>
      <c r="AV345" s="8">
        <v>2.0156999999999998</v>
      </c>
      <c r="AW345" s="8">
        <v>2.0173999999999999</v>
      </c>
      <c r="AX345" s="8">
        <v>2.0009000000000001</v>
      </c>
      <c r="AY345" s="8">
        <v>1.9953000000000001</v>
      </c>
      <c r="AZ345" s="8">
        <v>1.9903</v>
      </c>
      <c r="BA345" s="8">
        <v>1.9941</v>
      </c>
      <c r="BB345" s="8">
        <v>1.9922</v>
      </c>
      <c r="BC345" s="8">
        <v>1.9908999999999999</v>
      </c>
      <c r="BD345" s="8">
        <v>1.9609000000000001</v>
      </c>
    </row>
    <row r="346" spans="2:56" x14ac:dyDescent="0.3">
      <c r="B346" s="35">
        <f t="shared" si="142"/>
        <v>2600</v>
      </c>
      <c r="C346" s="39">
        <f t="shared" si="143"/>
        <v>22.078330893118572</v>
      </c>
      <c r="D346" s="39">
        <f t="shared" si="144"/>
        <v>22.839921913128375</v>
      </c>
      <c r="E346" s="39">
        <f t="shared" si="145"/>
        <v>29.706198145436868</v>
      </c>
      <c r="F346" s="39">
        <f t="shared" si="146"/>
        <v>30.767691556856985</v>
      </c>
      <c r="G346" s="39">
        <f t="shared" si="147"/>
        <v>34.487554904831612</v>
      </c>
      <c r="H346" s="39">
        <f t="shared" si="148"/>
        <v>32.741337237677087</v>
      </c>
      <c r="I346" s="39">
        <f t="shared" si="149"/>
        <v>59.687896534895145</v>
      </c>
      <c r="J346" s="40">
        <f t="shared" si="150"/>
        <v>71.017813567593805</v>
      </c>
      <c r="K346" s="39">
        <f t="shared" si="151"/>
        <v>80.663494387506105</v>
      </c>
      <c r="L346" s="39">
        <f t="shared" si="152"/>
        <v>81.850170815031703</v>
      </c>
      <c r="M346" s="39">
        <f t="shared" si="153"/>
        <v>57.265739385065821</v>
      </c>
      <c r="N346" s="39">
        <f t="shared" si="154"/>
        <v>43.746949731576287</v>
      </c>
      <c r="O346" s="39"/>
      <c r="P346" s="39">
        <f t="shared" si="155"/>
        <v>49.68496827720822</v>
      </c>
      <c r="Q346" s="39">
        <f t="shared" si="156"/>
        <v>49.327476817959898</v>
      </c>
      <c r="R346" s="39">
        <f t="shared" si="157"/>
        <v>46.001708150317171</v>
      </c>
      <c r="S346" s="39">
        <f t="shared" si="158"/>
        <v>45.966081015129276</v>
      </c>
      <c r="T346" s="39">
        <f t="shared" si="159"/>
        <v>47.830893118594531</v>
      </c>
      <c r="U346" s="39">
        <f t="shared" si="160"/>
        <v>40.911664226451933</v>
      </c>
      <c r="V346" s="39">
        <f t="shared" si="161"/>
        <v>53.770375793069888</v>
      </c>
      <c r="W346" s="39">
        <f t="shared" si="162"/>
        <v>56.608345534406972</v>
      </c>
      <c r="X346" s="39">
        <f t="shared" si="163"/>
        <v>49.209126403123648</v>
      </c>
      <c r="Y346" s="39">
        <f t="shared" si="164"/>
        <v>55.239629087359688</v>
      </c>
      <c r="Z346" s="39">
        <f t="shared" si="165"/>
        <v>56.619082479258104</v>
      </c>
      <c r="AA346" s="39">
        <f t="shared" si="166"/>
        <v>56.07613469985359</v>
      </c>
      <c r="AB346" s="38"/>
      <c r="AE346" s="15">
        <v>3.0092592592592591E-2</v>
      </c>
      <c r="AF346" s="11">
        <f t="shared" si="167"/>
        <v>2600</v>
      </c>
      <c r="AG346" s="8">
        <v>2.0590999999999999</v>
      </c>
      <c r="AH346" s="8">
        <v>2.0423</v>
      </c>
      <c r="AI346" s="8">
        <v>2.0455999999999999</v>
      </c>
      <c r="AJ346" s="8">
        <v>2.0312000000000001</v>
      </c>
      <c r="AK346" s="8">
        <v>2.0337999999999998</v>
      </c>
      <c r="AL346" s="8">
        <v>2.0312999999999999</v>
      </c>
      <c r="AM346" s="8">
        <v>1.9621</v>
      </c>
      <c r="AN346" s="8">
        <v>1.9390000000000001</v>
      </c>
      <c r="AO346" s="8">
        <v>1.9051</v>
      </c>
      <c r="AP346" s="8">
        <v>1.917</v>
      </c>
      <c r="AQ346" s="8">
        <v>1.9675</v>
      </c>
      <c r="AR346" s="8">
        <v>1.9556</v>
      </c>
      <c r="AS346" s="8">
        <v>2.0070000000000001</v>
      </c>
      <c r="AT346" s="8">
        <v>2.0036</v>
      </c>
      <c r="AU346" s="8">
        <v>2.0247000000000002</v>
      </c>
      <c r="AV346" s="8">
        <v>2.0165999999999999</v>
      </c>
      <c r="AW346" s="8">
        <v>2.0169000000000001</v>
      </c>
      <c r="AX346" s="8">
        <v>2.0004</v>
      </c>
      <c r="AY346" s="8">
        <v>1.9945999999999999</v>
      </c>
      <c r="AZ346" s="8">
        <v>1.9888999999999999</v>
      </c>
      <c r="BA346" s="8">
        <v>1.994</v>
      </c>
      <c r="BB346" s="8">
        <v>1.9919</v>
      </c>
      <c r="BC346" s="8">
        <v>1.9892000000000001</v>
      </c>
      <c r="BD346" s="8">
        <v>1.9609000000000001</v>
      </c>
    </row>
    <row r="347" spans="2:56" x14ac:dyDescent="0.3">
      <c r="B347" s="35">
        <f t="shared" si="142"/>
        <v>2608</v>
      </c>
      <c r="C347" s="39">
        <f t="shared" si="143"/>
        <v>21.395070766227267</v>
      </c>
      <c r="D347" s="39">
        <f t="shared" si="144"/>
        <v>22.693509028794459</v>
      </c>
      <c r="E347" s="39">
        <f t="shared" si="145"/>
        <v>29.02293801854556</v>
      </c>
      <c r="F347" s="39">
        <f t="shared" si="146"/>
        <v>30.328452903855677</v>
      </c>
      <c r="G347" s="39">
        <f t="shared" si="147"/>
        <v>34.389946315275743</v>
      </c>
      <c r="H347" s="39">
        <f t="shared" si="148"/>
        <v>31.862859931674034</v>
      </c>
      <c r="I347" s="39">
        <f t="shared" si="149"/>
        <v>59.590287945339277</v>
      </c>
      <c r="J347" s="40">
        <f t="shared" si="150"/>
        <v>69.846510492923258</v>
      </c>
      <c r="K347" s="39">
        <f t="shared" si="151"/>
        <v>80.126647144948819</v>
      </c>
      <c r="L347" s="39">
        <f t="shared" si="152"/>
        <v>82.387018057589088</v>
      </c>
      <c r="M347" s="39">
        <f t="shared" si="153"/>
        <v>57.021717911176147</v>
      </c>
      <c r="N347" s="39">
        <f t="shared" si="154"/>
        <v>43.795754026354224</v>
      </c>
      <c r="O347" s="39"/>
      <c r="P347" s="39">
        <f t="shared" si="155"/>
        <v>49.636163982430389</v>
      </c>
      <c r="Q347" s="39">
        <f t="shared" si="156"/>
        <v>50.205954123962947</v>
      </c>
      <c r="R347" s="39">
        <f t="shared" si="157"/>
        <v>45.220839433870211</v>
      </c>
      <c r="S347" s="39">
        <f t="shared" si="158"/>
        <v>45.722059541239496</v>
      </c>
      <c r="T347" s="39">
        <f t="shared" si="159"/>
        <v>47.050024402147564</v>
      </c>
      <c r="U347" s="39">
        <f t="shared" si="160"/>
        <v>40.667642752562145</v>
      </c>
      <c r="V347" s="39">
        <f t="shared" si="161"/>
        <v>53.721571498291958</v>
      </c>
      <c r="W347" s="39">
        <f t="shared" si="162"/>
        <v>55.290629575402505</v>
      </c>
      <c r="X347" s="39">
        <f t="shared" si="163"/>
        <v>49.599560761347121</v>
      </c>
      <c r="Y347" s="39">
        <f t="shared" si="164"/>
        <v>54.702781844802296</v>
      </c>
      <c r="Z347" s="39">
        <f t="shared" si="165"/>
        <v>55.838213762811137</v>
      </c>
      <c r="AA347" s="39">
        <f t="shared" si="166"/>
        <v>56.759394826744789</v>
      </c>
      <c r="AB347" s="38"/>
      <c r="AE347" s="15">
        <v>3.0185185185185186E-2</v>
      </c>
      <c r="AF347" s="11">
        <f t="shared" si="167"/>
        <v>2608</v>
      </c>
      <c r="AG347" s="8">
        <v>2.0605000000000002</v>
      </c>
      <c r="AH347" s="8">
        <v>2.0426000000000002</v>
      </c>
      <c r="AI347" s="8">
        <v>2.0470000000000002</v>
      </c>
      <c r="AJ347" s="8">
        <v>2.0320999999999998</v>
      </c>
      <c r="AK347" s="8">
        <v>2.0339999999999998</v>
      </c>
      <c r="AL347" s="8">
        <v>2.0331000000000001</v>
      </c>
      <c r="AM347" s="8">
        <v>1.9622999999999999</v>
      </c>
      <c r="AN347" s="8">
        <v>1.9414</v>
      </c>
      <c r="AO347" s="8">
        <v>1.9061999999999999</v>
      </c>
      <c r="AP347" s="8">
        <v>1.9158999999999999</v>
      </c>
      <c r="AQ347" s="8">
        <v>1.968</v>
      </c>
      <c r="AR347" s="8">
        <v>1.9555</v>
      </c>
      <c r="AS347" s="8">
        <v>2.0070999999999999</v>
      </c>
      <c r="AT347" s="8">
        <v>2.0017999999999998</v>
      </c>
      <c r="AU347" s="8">
        <v>2.0263</v>
      </c>
      <c r="AV347" s="8">
        <v>2.0171000000000001</v>
      </c>
      <c r="AW347" s="8">
        <v>2.0185</v>
      </c>
      <c r="AX347" s="8">
        <v>2.0009000000000001</v>
      </c>
      <c r="AY347" s="8">
        <v>1.9946999999999999</v>
      </c>
      <c r="AZ347" s="8">
        <v>1.9916</v>
      </c>
      <c r="BA347" s="8">
        <v>1.9932000000000001</v>
      </c>
      <c r="BB347" s="8">
        <v>1.9930000000000001</v>
      </c>
      <c r="BC347" s="8">
        <v>1.9907999999999999</v>
      </c>
      <c r="BD347" s="8">
        <v>1.9595</v>
      </c>
    </row>
    <row r="348" spans="2:56" x14ac:dyDescent="0.3">
      <c r="B348" s="35">
        <f t="shared" si="142"/>
        <v>2616</v>
      </c>
      <c r="C348" s="39">
        <f t="shared" si="143"/>
        <v>21.639092240117051</v>
      </c>
      <c r="D348" s="39">
        <f t="shared" si="144"/>
        <v>22.888726207906416</v>
      </c>
      <c r="E348" s="39">
        <f t="shared" si="145"/>
        <v>29.02293801854556</v>
      </c>
      <c r="F348" s="39">
        <f t="shared" si="146"/>
        <v>30.523670082967417</v>
      </c>
      <c r="G348" s="39">
        <f t="shared" si="147"/>
        <v>34.487554904831612</v>
      </c>
      <c r="H348" s="39">
        <f t="shared" si="148"/>
        <v>31.911664226452078</v>
      </c>
      <c r="I348" s="39">
        <f t="shared" si="149"/>
        <v>60.273548072230362</v>
      </c>
      <c r="J348" s="40">
        <f t="shared" si="150"/>
        <v>70.188140556368793</v>
      </c>
      <c r="K348" s="39">
        <f t="shared" si="151"/>
        <v>80.077842850170782</v>
      </c>
      <c r="L348" s="39">
        <f t="shared" si="152"/>
        <v>81.850170815031703</v>
      </c>
      <c r="M348" s="39">
        <f t="shared" si="153"/>
        <v>56.680087847730604</v>
      </c>
      <c r="N348" s="39">
        <f t="shared" si="154"/>
        <v>43.307711078574869</v>
      </c>
      <c r="O348" s="39"/>
      <c r="P348" s="39">
        <f t="shared" si="155"/>
        <v>49.636163982430389</v>
      </c>
      <c r="Q348" s="39">
        <f t="shared" si="156"/>
        <v>49.327476817959898</v>
      </c>
      <c r="R348" s="39">
        <f t="shared" si="157"/>
        <v>46.099316739873039</v>
      </c>
      <c r="S348" s="39">
        <f t="shared" si="158"/>
        <v>45.331625183016016</v>
      </c>
      <c r="T348" s="39">
        <f t="shared" si="159"/>
        <v>47.7820888238167</v>
      </c>
      <c r="U348" s="39">
        <f t="shared" si="160"/>
        <v>40.911664226451933</v>
      </c>
      <c r="V348" s="39">
        <f t="shared" si="161"/>
        <v>54.40483162518305</v>
      </c>
      <c r="W348" s="39">
        <f t="shared" si="162"/>
        <v>55.632259638848161</v>
      </c>
      <c r="X348" s="39">
        <f t="shared" si="163"/>
        <v>51.063689604685393</v>
      </c>
      <c r="Y348" s="39">
        <f t="shared" si="164"/>
        <v>53.970717423133273</v>
      </c>
      <c r="Z348" s="39">
        <f t="shared" si="165"/>
        <v>55.838213762811137</v>
      </c>
      <c r="AA348" s="39">
        <f t="shared" si="166"/>
        <v>57.637872132747724</v>
      </c>
      <c r="AB348" s="38"/>
      <c r="AE348" s="15">
        <v>3.0277777777777778E-2</v>
      </c>
      <c r="AF348" s="11">
        <f t="shared" si="167"/>
        <v>2616</v>
      </c>
      <c r="AG348" s="8">
        <v>2.06</v>
      </c>
      <c r="AH348" s="8">
        <v>2.0421999999999998</v>
      </c>
      <c r="AI348" s="8">
        <v>2.0470000000000002</v>
      </c>
      <c r="AJ348" s="8">
        <v>2.0316999999999998</v>
      </c>
      <c r="AK348" s="8">
        <v>2.0337999999999998</v>
      </c>
      <c r="AL348" s="8">
        <v>2.0329999999999999</v>
      </c>
      <c r="AM348" s="8">
        <v>1.9609000000000001</v>
      </c>
      <c r="AN348" s="8">
        <v>1.9407000000000001</v>
      </c>
      <c r="AO348" s="8">
        <v>1.9063000000000001</v>
      </c>
      <c r="AP348" s="8">
        <v>1.917</v>
      </c>
      <c r="AQ348" s="8">
        <v>1.9686999999999999</v>
      </c>
      <c r="AR348" s="8">
        <v>1.9564999999999999</v>
      </c>
      <c r="AS348" s="8">
        <v>2.0070999999999999</v>
      </c>
      <c r="AT348" s="8">
        <v>2.0036</v>
      </c>
      <c r="AU348" s="8">
        <v>2.0245000000000002</v>
      </c>
      <c r="AV348" s="8">
        <v>2.0179</v>
      </c>
      <c r="AW348" s="8">
        <v>2.0169999999999999</v>
      </c>
      <c r="AX348" s="8">
        <v>2.0004</v>
      </c>
      <c r="AY348" s="8">
        <v>1.9933000000000001</v>
      </c>
      <c r="AZ348" s="8">
        <v>1.9908999999999999</v>
      </c>
      <c r="BA348" s="8">
        <v>1.9902</v>
      </c>
      <c r="BB348" s="8">
        <v>1.9944999999999999</v>
      </c>
      <c r="BC348" s="8">
        <v>1.9907999999999999</v>
      </c>
      <c r="BD348" s="8">
        <v>1.9577</v>
      </c>
    </row>
    <row r="349" spans="2:56" x14ac:dyDescent="0.3">
      <c r="B349" s="35">
        <f t="shared" si="142"/>
        <v>2624</v>
      </c>
      <c r="C349" s="39">
        <f t="shared" si="143"/>
        <v>21.785505124450964</v>
      </c>
      <c r="D349" s="39">
        <f t="shared" si="144"/>
        <v>22.791117618350327</v>
      </c>
      <c r="E349" s="39">
        <f t="shared" si="145"/>
        <v>30.047828208882308</v>
      </c>
      <c r="F349" s="39">
        <f t="shared" si="146"/>
        <v>30.572474377745241</v>
      </c>
      <c r="G349" s="39">
        <f t="shared" si="147"/>
        <v>34.438750610053567</v>
      </c>
      <c r="H349" s="39">
        <f t="shared" si="148"/>
        <v>31.03318692044903</v>
      </c>
      <c r="I349" s="39">
        <f t="shared" si="149"/>
        <v>59.98072230356275</v>
      </c>
      <c r="J349" s="40">
        <f t="shared" si="150"/>
        <v>70.090531966812918</v>
      </c>
      <c r="K349" s="39">
        <f t="shared" si="151"/>
        <v>79.394582723279697</v>
      </c>
      <c r="L349" s="39">
        <f t="shared" si="152"/>
        <v>82.289409468033227</v>
      </c>
      <c r="M349" s="39">
        <f t="shared" si="153"/>
        <v>57.55856515373344</v>
      </c>
      <c r="N349" s="39">
        <f t="shared" si="154"/>
        <v>43.210102489018894</v>
      </c>
      <c r="O349" s="39"/>
      <c r="P349" s="39">
        <f t="shared" si="155"/>
        <v>49.928989751098001</v>
      </c>
      <c r="Q349" s="39">
        <f t="shared" si="156"/>
        <v>49.913128355295115</v>
      </c>
      <c r="R349" s="39">
        <f t="shared" si="157"/>
        <v>46.148121034651084</v>
      </c>
      <c r="S349" s="39">
        <f t="shared" si="158"/>
        <v>45.917276720351239</v>
      </c>
      <c r="T349" s="39">
        <f t="shared" si="159"/>
        <v>48.17252318204018</v>
      </c>
      <c r="U349" s="39">
        <f t="shared" si="160"/>
        <v>40.618838457784328</v>
      </c>
      <c r="V349" s="39">
        <f t="shared" si="161"/>
        <v>53.867984382625757</v>
      </c>
      <c r="W349" s="39">
        <f t="shared" si="162"/>
        <v>55.72986822840403</v>
      </c>
      <c r="X349" s="39">
        <f t="shared" si="163"/>
        <v>49.648365056125058</v>
      </c>
      <c r="Y349" s="39">
        <f t="shared" si="164"/>
        <v>54.995607613470014</v>
      </c>
      <c r="Z349" s="39">
        <f t="shared" si="165"/>
        <v>55.594192288921356</v>
      </c>
      <c r="AA349" s="39">
        <f t="shared" si="166"/>
        <v>56.857003416300657</v>
      </c>
      <c r="AB349" s="38"/>
      <c r="AE349" s="15">
        <v>3.037037037037037E-2</v>
      </c>
      <c r="AF349" s="11">
        <f t="shared" si="167"/>
        <v>2624</v>
      </c>
      <c r="AG349" s="8">
        <v>2.0596999999999999</v>
      </c>
      <c r="AH349" s="8">
        <v>2.0424000000000002</v>
      </c>
      <c r="AI349" s="8">
        <v>2.0449000000000002</v>
      </c>
      <c r="AJ349" s="8">
        <v>2.0316000000000001</v>
      </c>
      <c r="AK349" s="8">
        <v>2.0339</v>
      </c>
      <c r="AL349" s="8">
        <v>2.0348000000000002</v>
      </c>
      <c r="AM349" s="8">
        <v>1.9615</v>
      </c>
      <c r="AN349" s="8">
        <v>1.9409000000000001</v>
      </c>
      <c r="AO349" s="8">
        <v>1.9077</v>
      </c>
      <c r="AP349" s="8">
        <v>1.9160999999999999</v>
      </c>
      <c r="AQ349" s="8">
        <v>1.9669000000000001</v>
      </c>
      <c r="AR349" s="8">
        <v>1.9567000000000001</v>
      </c>
      <c r="AS349" s="8">
        <v>2.0065</v>
      </c>
      <c r="AT349" s="8">
        <v>2.0024000000000002</v>
      </c>
      <c r="AU349" s="8">
        <v>2.0244</v>
      </c>
      <c r="AV349" s="8">
        <v>2.0167000000000002</v>
      </c>
      <c r="AW349" s="8">
        <v>2.0162</v>
      </c>
      <c r="AX349" s="8">
        <v>2.0009999999999999</v>
      </c>
      <c r="AY349" s="8">
        <v>1.9944</v>
      </c>
      <c r="AZ349" s="8">
        <v>1.9906999999999999</v>
      </c>
      <c r="BA349" s="8">
        <v>1.9931000000000001</v>
      </c>
      <c r="BB349" s="8">
        <v>1.9923999999999999</v>
      </c>
      <c r="BC349" s="8">
        <v>1.9913000000000001</v>
      </c>
      <c r="BD349" s="8">
        <v>1.9593</v>
      </c>
    </row>
    <row r="350" spans="2:56" x14ac:dyDescent="0.3">
      <c r="B350" s="35">
        <f t="shared" si="142"/>
        <v>2632</v>
      </c>
      <c r="C350" s="39">
        <f t="shared" si="143"/>
        <v>21.931918008784663</v>
      </c>
      <c r="D350" s="39">
        <f t="shared" si="144"/>
        <v>22.644704734016631</v>
      </c>
      <c r="E350" s="39">
        <f t="shared" si="145"/>
        <v>28.974133723767732</v>
      </c>
      <c r="F350" s="39">
        <f t="shared" si="146"/>
        <v>30.572474377745241</v>
      </c>
      <c r="G350" s="39">
        <f t="shared" si="147"/>
        <v>33.365056124938995</v>
      </c>
      <c r="H350" s="39">
        <f t="shared" si="148"/>
        <v>30.740361151781421</v>
      </c>
      <c r="I350" s="39">
        <f t="shared" si="149"/>
        <v>60.127135187896556</v>
      </c>
      <c r="J350" s="40">
        <f t="shared" si="150"/>
        <v>69.60248901903357</v>
      </c>
      <c r="K350" s="39">
        <f t="shared" si="151"/>
        <v>79.980234260614907</v>
      </c>
      <c r="L350" s="39">
        <f t="shared" si="152"/>
        <v>82.533430941922902</v>
      </c>
      <c r="M350" s="39">
        <f t="shared" si="153"/>
        <v>57.460956564177557</v>
      </c>
      <c r="N350" s="39">
        <f t="shared" si="154"/>
        <v>43.356515373352806</v>
      </c>
      <c r="O350" s="39"/>
      <c r="P350" s="39">
        <f t="shared" si="155"/>
        <v>49.880185456319957</v>
      </c>
      <c r="Q350" s="39">
        <f t="shared" si="156"/>
        <v>49.62030258662751</v>
      </c>
      <c r="R350" s="39">
        <f t="shared" si="157"/>
        <v>45.074426549536298</v>
      </c>
      <c r="S350" s="39">
        <f t="shared" si="158"/>
        <v>45.673255246461672</v>
      </c>
      <c r="T350" s="39">
        <f t="shared" si="159"/>
        <v>48.074914592484312</v>
      </c>
      <c r="U350" s="39">
        <f t="shared" si="160"/>
        <v>41.546120058565094</v>
      </c>
      <c r="V350" s="39">
        <f t="shared" si="161"/>
        <v>54.551244509516849</v>
      </c>
      <c r="W350" s="39">
        <f t="shared" si="162"/>
        <v>55.583455344070117</v>
      </c>
      <c r="X350" s="39">
        <f t="shared" si="163"/>
        <v>51.161298194241269</v>
      </c>
      <c r="Y350" s="39">
        <f t="shared" si="164"/>
        <v>55.386041971693494</v>
      </c>
      <c r="Z350" s="39">
        <f t="shared" si="165"/>
        <v>55.935822352367005</v>
      </c>
      <c r="AA350" s="39">
        <f t="shared" si="166"/>
        <v>57.101024890190331</v>
      </c>
      <c r="AB350" s="38"/>
      <c r="AE350" s="15">
        <v>3.0462962962962966E-2</v>
      </c>
      <c r="AF350" s="11">
        <f t="shared" si="167"/>
        <v>2632</v>
      </c>
      <c r="AG350" s="8">
        <v>2.0594000000000001</v>
      </c>
      <c r="AH350" s="8">
        <v>2.0427</v>
      </c>
      <c r="AI350" s="8">
        <v>2.0470999999999999</v>
      </c>
      <c r="AJ350" s="8">
        <v>2.0316000000000001</v>
      </c>
      <c r="AK350" s="8">
        <v>2.0360999999999998</v>
      </c>
      <c r="AL350" s="8">
        <v>2.0354000000000001</v>
      </c>
      <c r="AM350" s="8">
        <v>1.9612000000000001</v>
      </c>
      <c r="AN350" s="8">
        <v>1.9419</v>
      </c>
      <c r="AO350" s="8">
        <v>1.9065000000000001</v>
      </c>
      <c r="AP350" s="8">
        <v>1.9156</v>
      </c>
      <c r="AQ350" s="8">
        <v>1.9671000000000001</v>
      </c>
      <c r="AR350" s="8">
        <v>1.9563999999999999</v>
      </c>
      <c r="AS350" s="8">
        <v>2.0066000000000002</v>
      </c>
      <c r="AT350" s="8">
        <v>2.0030000000000001</v>
      </c>
      <c r="AU350" s="8">
        <v>2.0266000000000002</v>
      </c>
      <c r="AV350" s="8">
        <v>2.0171999999999999</v>
      </c>
      <c r="AW350" s="8">
        <v>2.0164</v>
      </c>
      <c r="AX350" s="8">
        <v>1.9991000000000001</v>
      </c>
      <c r="AY350" s="8">
        <v>1.9930000000000001</v>
      </c>
      <c r="AZ350" s="8">
        <v>1.9910000000000001</v>
      </c>
      <c r="BA350" s="8">
        <v>1.99</v>
      </c>
      <c r="BB350" s="8">
        <v>1.9916</v>
      </c>
      <c r="BC350" s="8">
        <v>1.9905999999999999</v>
      </c>
      <c r="BD350" s="8">
        <v>1.9588000000000001</v>
      </c>
    </row>
    <row r="351" spans="2:56" x14ac:dyDescent="0.3">
      <c r="B351" s="35">
        <f t="shared" si="142"/>
        <v>2640</v>
      </c>
      <c r="C351" s="39">
        <f t="shared" si="143"/>
        <v>22.566373840897924</v>
      </c>
      <c r="D351" s="39">
        <f t="shared" si="144"/>
        <v>23.035139092240112</v>
      </c>
      <c r="E351" s="39">
        <f t="shared" si="145"/>
        <v>29.02293801854556</v>
      </c>
      <c r="F351" s="39">
        <f t="shared" si="146"/>
        <v>31.109321620302637</v>
      </c>
      <c r="G351" s="39">
        <f t="shared" si="147"/>
        <v>34.682772083943355</v>
      </c>
      <c r="H351" s="39">
        <f t="shared" si="148"/>
        <v>31.179599804782942</v>
      </c>
      <c r="I351" s="39">
        <f t="shared" si="149"/>
        <v>59.248657881893614</v>
      </c>
      <c r="J351" s="40">
        <f t="shared" si="150"/>
        <v>69.748901903367369</v>
      </c>
      <c r="K351" s="39">
        <f t="shared" si="151"/>
        <v>80.126647144948819</v>
      </c>
      <c r="L351" s="39">
        <f t="shared" si="152"/>
        <v>81.752562225475828</v>
      </c>
      <c r="M351" s="39">
        <f t="shared" si="153"/>
        <v>56.972913616398216</v>
      </c>
      <c r="N351" s="39">
        <f t="shared" si="154"/>
        <v>44.723035627135097</v>
      </c>
      <c r="O351" s="39"/>
      <c r="P351" s="39">
        <f t="shared" si="155"/>
        <v>50.075402635431693</v>
      </c>
      <c r="Q351" s="39">
        <f t="shared" si="156"/>
        <v>49.132259638848154</v>
      </c>
      <c r="R351" s="39">
        <f t="shared" si="157"/>
        <v>45.172035139092166</v>
      </c>
      <c r="S351" s="39">
        <f t="shared" si="158"/>
        <v>46.649341142020369</v>
      </c>
      <c r="T351" s="39">
        <f t="shared" si="159"/>
        <v>48.416544655929968</v>
      </c>
      <c r="U351" s="39">
        <f t="shared" si="160"/>
        <v>41.887750122010743</v>
      </c>
      <c r="V351" s="39">
        <f t="shared" si="161"/>
        <v>54.307223035627182</v>
      </c>
      <c r="W351" s="39">
        <f t="shared" si="162"/>
        <v>56.022693997071642</v>
      </c>
      <c r="X351" s="39">
        <f t="shared" si="163"/>
        <v>49.74597364568104</v>
      </c>
      <c r="Y351" s="39">
        <f t="shared" si="164"/>
        <v>56.654953635919917</v>
      </c>
      <c r="Z351" s="39">
        <f t="shared" si="165"/>
        <v>56.082235236700818</v>
      </c>
      <c r="AA351" s="39">
        <f t="shared" si="166"/>
        <v>56.857003416300657</v>
      </c>
      <c r="AB351" s="38"/>
      <c r="AE351" s="15">
        <v>3.0555555555555555E-2</v>
      </c>
      <c r="AF351" s="11">
        <f t="shared" si="167"/>
        <v>2640</v>
      </c>
      <c r="AG351" s="8">
        <v>2.0581</v>
      </c>
      <c r="AH351" s="8">
        <v>2.0419</v>
      </c>
      <c r="AI351" s="8">
        <v>2.0470000000000002</v>
      </c>
      <c r="AJ351" s="8">
        <v>2.0305</v>
      </c>
      <c r="AK351" s="8">
        <v>2.0333999999999999</v>
      </c>
      <c r="AL351" s="8">
        <v>2.0345</v>
      </c>
      <c r="AM351" s="8">
        <v>1.9630000000000001</v>
      </c>
      <c r="AN351" s="8">
        <v>1.9416</v>
      </c>
      <c r="AO351" s="8">
        <v>1.9061999999999999</v>
      </c>
      <c r="AP351" s="8">
        <v>1.9172</v>
      </c>
      <c r="AQ351" s="8">
        <v>1.9681</v>
      </c>
      <c r="AR351" s="8">
        <v>1.9536</v>
      </c>
      <c r="AS351" s="8">
        <v>2.0062000000000002</v>
      </c>
      <c r="AT351" s="8">
        <v>2.004</v>
      </c>
      <c r="AU351" s="8">
        <v>2.0264000000000002</v>
      </c>
      <c r="AV351" s="8">
        <v>2.0152000000000001</v>
      </c>
      <c r="AW351" s="8">
        <v>2.0156999999999998</v>
      </c>
      <c r="AX351" s="8">
        <v>1.9984</v>
      </c>
      <c r="AY351" s="8">
        <v>1.9935</v>
      </c>
      <c r="AZ351" s="8">
        <v>1.9901</v>
      </c>
      <c r="BA351" s="8">
        <v>1.9928999999999999</v>
      </c>
      <c r="BB351" s="8">
        <v>1.9890000000000001</v>
      </c>
      <c r="BC351" s="8">
        <v>1.9903</v>
      </c>
      <c r="BD351" s="8">
        <v>1.9593</v>
      </c>
    </row>
    <row r="352" spans="2:56" x14ac:dyDescent="0.3">
      <c r="B352" s="35">
        <f t="shared" si="142"/>
        <v>2648</v>
      </c>
      <c r="C352" s="39">
        <f t="shared" si="143"/>
        <v>22.859199609565536</v>
      </c>
      <c r="D352" s="39">
        <f t="shared" si="144"/>
        <v>22.595900439238591</v>
      </c>
      <c r="E352" s="39">
        <f t="shared" si="145"/>
        <v>29.169350902879476</v>
      </c>
      <c r="F352" s="39">
        <f t="shared" si="146"/>
        <v>30.474865788189376</v>
      </c>
      <c r="G352" s="39">
        <f t="shared" si="147"/>
        <v>34.389946315275743</v>
      </c>
      <c r="H352" s="39">
        <f t="shared" si="148"/>
        <v>30.935578330893158</v>
      </c>
      <c r="I352" s="39">
        <f t="shared" si="149"/>
        <v>60.029526598340688</v>
      </c>
      <c r="J352" s="40">
        <f t="shared" si="150"/>
        <v>70.432162030258567</v>
      </c>
      <c r="K352" s="39">
        <f t="shared" si="151"/>
        <v>79.199365544167946</v>
      </c>
      <c r="L352" s="39">
        <f t="shared" si="152"/>
        <v>82.533430941922902</v>
      </c>
      <c r="M352" s="39">
        <f t="shared" si="153"/>
        <v>57.363347974621689</v>
      </c>
      <c r="N352" s="39">
        <f t="shared" si="154"/>
        <v>43.112493899463026</v>
      </c>
      <c r="O352" s="39"/>
      <c r="P352" s="39">
        <f t="shared" si="155"/>
        <v>50.173011224987782</v>
      </c>
      <c r="Q352" s="39">
        <f t="shared" si="156"/>
        <v>49.181063933626199</v>
      </c>
      <c r="R352" s="39">
        <f t="shared" si="157"/>
        <v>45.367252318204123</v>
      </c>
      <c r="S352" s="39">
        <f t="shared" si="158"/>
        <v>46.258906783796888</v>
      </c>
      <c r="T352" s="39">
        <f t="shared" si="159"/>
        <v>47.7820888238167</v>
      </c>
      <c r="U352" s="39">
        <f t="shared" si="160"/>
        <v>40.814055636896065</v>
      </c>
      <c r="V352" s="39">
        <f t="shared" si="161"/>
        <v>54.014397266959563</v>
      </c>
      <c r="W352" s="39">
        <f t="shared" si="162"/>
        <v>55.437042459736311</v>
      </c>
      <c r="X352" s="39">
        <f t="shared" si="163"/>
        <v>50.47803806735007</v>
      </c>
      <c r="Y352" s="39">
        <f t="shared" si="164"/>
        <v>54.897999023914146</v>
      </c>
      <c r="Z352" s="39">
        <f t="shared" si="165"/>
        <v>56.570278184480166</v>
      </c>
      <c r="AA352" s="39">
        <f t="shared" si="166"/>
        <v>56.905807711078594</v>
      </c>
      <c r="AB352" s="38"/>
      <c r="AE352" s="15">
        <v>3.0648148148148147E-2</v>
      </c>
      <c r="AF352" s="11">
        <f t="shared" si="167"/>
        <v>2648</v>
      </c>
      <c r="AG352" s="8">
        <v>2.0575000000000001</v>
      </c>
      <c r="AH352" s="8">
        <v>2.0428000000000002</v>
      </c>
      <c r="AI352" s="8">
        <v>2.0467</v>
      </c>
      <c r="AJ352" s="8">
        <v>2.0318000000000001</v>
      </c>
      <c r="AK352" s="8">
        <v>2.0339999999999998</v>
      </c>
      <c r="AL352" s="8">
        <v>2.0350000000000001</v>
      </c>
      <c r="AM352" s="8">
        <v>1.9614</v>
      </c>
      <c r="AN352" s="8">
        <v>1.9401999999999999</v>
      </c>
      <c r="AO352" s="8">
        <v>1.9080999999999999</v>
      </c>
      <c r="AP352" s="8">
        <v>1.9156</v>
      </c>
      <c r="AQ352" s="8">
        <v>1.9673</v>
      </c>
      <c r="AR352" s="8">
        <v>1.9569000000000001</v>
      </c>
      <c r="AS352" s="8">
        <v>2.0059999999999998</v>
      </c>
      <c r="AT352" s="8">
        <v>2.0038999999999998</v>
      </c>
      <c r="AU352" s="8">
        <v>2.0259999999999998</v>
      </c>
      <c r="AV352" s="8">
        <v>2.016</v>
      </c>
      <c r="AW352" s="8">
        <v>2.0169999999999999</v>
      </c>
      <c r="AX352" s="8">
        <v>2.0005999999999999</v>
      </c>
      <c r="AY352" s="8">
        <v>1.9941</v>
      </c>
      <c r="AZ352" s="8">
        <v>1.9913000000000001</v>
      </c>
      <c r="BA352" s="8">
        <v>1.9914000000000001</v>
      </c>
      <c r="BB352" s="8">
        <v>1.9925999999999999</v>
      </c>
      <c r="BC352" s="8">
        <v>1.9893000000000001</v>
      </c>
      <c r="BD352" s="8">
        <v>1.9592000000000001</v>
      </c>
    </row>
    <row r="353" spans="2:56" x14ac:dyDescent="0.3">
      <c r="B353" s="35">
        <f t="shared" si="142"/>
        <v>2656</v>
      </c>
      <c r="C353" s="39">
        <f t="shared" si="143"/>
        <v>21.931918008784663</v>
      </c>
      <c r="D353" s="39">
        <f t="shared" si="144"/>
        <v>22.059053196681411</v>
      </c>
      <c r="E353" s="39">
        <f t="shared" si="145"/>
        <v>29.80380673499274</v>
      </c>
      <c r="F353" s="39">
        <f t="shared" si="146"/>
        <v>30.767691556856985</v>
      </c>
      <c r="G353" s="39">
        <f t="shared" si="147"/>
        <v>33.901903367496175</v>
      </c>
      <c r="H353" s="39">
        <f t="shared" si="148"/>
        <v>31.521229868228598</v>
      </c>
      <c r="I353" s="39">
        <f t="shared" si="149"/>
        <v>59.639092240117208</v>
      </c>
      <c r="J353" s="40">
        <f t="shared" si="150"/>
        <v>70.139336261590856</v>
      </c>
      <c r="K353" s="39">
        <f t="shared" si="151"/>
        <v>80.32186432406057</v>
      </c>
      <c r="L353" s="39">
        <f t="shared" si="152"/>
        <v>81.654953635919966</v>
      </c>
      <c r="M353" s="39">
        <f t="shared" si="153"/>
        <v>57.94899951195702</v>
      </c>
      <c r="N353" s="39">
        <f t="shared" si="154"/>
        <v>43.893362615910092</v>
      </c>
      <c r="O353" s="39"/>
      <c r="P353" s="39">
        <f t="shared" si="155"/>
        <v>50.319424109321474</v>
      </c>
      <c r="Q353" s="39">
        <f t="shared" si="156"/>
        <v>49.425085407515766</v>
      </c>
      <c r="R353" s="39">
        <f t="shared" si="157"/>
        <v>47.075402635431956</v>
      </c>
      <c r="S353" s="39">
        <f t="shared" si="158"/>
        <v>46.405319668130808</v>
      </c>
      <c r="T353" s="39">
        <f t="shared" si="159"/>
        <v>47.879697413372568</v>
      </c>
      <c r="U353" s="39">
        <f t="shared" si="160"/>
        <v>41.155685700341607</v>
      </c>
      <c r="V353" s="39">
        <f t="shared" si="161"/>
        <v>54.258418740849244</v>
      </c>
      <c r="W353" s="39">
        <f t="shared" si="162"/>
        <v>55.241825280624575</v>
      </c>
      <c r="X353" s="39">
        <f t="shared" si="163"/>
        <v>49.794777940458978</v>
      </c>
      <c r="Y353" s="39">
        <f t="shared" si="164"/>
        <v>54.995607613470014</v>
      </c>
      <c r="Z353" s="39">
        <f t="shared" si="165"/>
        <v>55.691800878477231</v>
      </c>
      <c r="AA353" s="39">
        <f t="shared" si="166"/>
        <v>57.247437774524251</v>
      </c>
      <c r="AB353" s="38"/>
      <c r="AE353" s="15">
        <v>3.0740740740740739E-2</v>
      </c>
      <c r="AF353" s="11">
        <f t="shared" si="167"/>
        <v>2656</v>
      </c>
      <c r="AG353" s="8">
        <v>2.0594000000000001</v>
      </c>
      <c r="AH353" s="8">
        <v>2.0438999999999998</v>
      </c>
      <c r="AI353" s="8">
        <v>2.0453999999999999</v>
      </c>
      <c r="AJ353" s="8">
        <v>2.0312000000000001</v>
      </c>
      <c r="AK353" s="8">
        <v>2.0350000000000001</v>
      </c>
      <c r="AL353" s="8">
        <v>2.0337999999999998</v>
      </c>
      <c r="AM353" s="8">
        <v>1.9621999999999999</v>
      </c>
      <c r="AN353" s="8">
        <v>1.9408000000000001</v>
      </c>
      <c r="AO353" s="8">
        <v>1.9057999999999999</v>
      </c>
      <c r="AP353" s="8">
        <v>1.9174</v>
      </c>
      <c r="AQ353" s="8">
        <v>1.9661</v>
      </c>
      <c r="AR353" s="8">
        <v>1.9553</v>
      </c>
      <c r="AS353" s="8">
        <v>2.0057</v>
      </c>
      <c r="AT353" s="8">
        <v>2.0034000000000001</v>
      </c>
      <c r="AU353" s="8">
        <v>2.0225</v>
      </c>
      <c r="AV353" s="8">
        <v>2.0156999999999998</v>
      </c>
      <c r="AW353" s="8">
        <v>2.0167999999999999</v>
      </c>
      <c r="AX353" s="8">
        <v>1.9999</v>
      </c>
      <c r="AY353" s="8">
        <v>1.9936</v>
      </c>
      <c r="AZ353" s="8">
        <v>1.9917</v>
      </c>
      <c r="BA353" s="8">
        <v>1.9927999999999999</v>
      </c>
      <c r="BB353" s="8">
        <v>1.9923999999999999</v>
      </c>
      <c r="BC353" s="8">
        <v>1.9911000000000001</v>
      </c>
      <c r="BD353" s="8">
        <v>1.9584999999999999</v>
      </c>
    </row>
    <row r="354" spans="2:56" x14ac:dyDescent="0.3">
      <c r="B354" s="35">
        <f t="shared" si="142"/>
        <v>2664</v>
      </c>
      <c r="C354" s="39">
        <f t="shared" si="143"/>
        <v>21.834309419228788</v>
      </c>
      <c r="D354" s="39">
        <f t="shared" si="144"/>
        <v>22.449487554904891</v>
      </c>
      <c r="E354" s="39">
        <f t="shared" si="145"/>
        <v>29.02293801854556</v>
      </c>
      <c r="F354" s="39">
        <f t="shared" si="146"/>
        <v>30.914104441190901</v>
      </c>
      <c r="G354" s="39">
        <f t="shared" si="147"/>
        <v>34.731576378721179</v>
      </c>
      <c r="H354" s="39">
        <f t="shared" si="148"/>
        <v>31.47242557345055</v>
      </c>
      <c r="I354" s="39">
        <f t="shared" si="149"/>
        <v>59.883113714006882</v>
      </c>
      <c r="J354" s="40">
        <f t="shared" si="150"/>
        <v>70.334553440702692</v>
      </c>
      <c r="K354" s="39">
        <f t="shared" si="151"/>
        <v>79.540995607613496</v>
      </c>
      <c r="L354" s="39">
        <f t="shared" si="152"/>
        <v>82.923865300146375</v>
      </c>
      <c r="M354" s="39">
        <f t="shared" si="153"/>
        <v>57.704978038067345</v>
      </c>
      <c r="N354" s="39">
        <f t="shared" si="154"/>
        <v>43.698145436798356</v>
      </c>
      <c r="O354" s="39"/>
      <c r="P354" s="39">
        <f t="shared" si="155"/>
        <v>50.905075646656698</v>
      </c>
      <c r="Q354" s="39">
        <f t="shared" si="156"/>
        <v>49.522693997071634</v>
      </c>
      <c r="R354" s="39">
        <f t="shared" si="157"/>
        <v>45.123230844314342</v>
      </c>
      <c r="S354" s="39">
        <f t="shared" si="158"/>
        <v>46.063689604685145</v>
      </c>
      <c r="T354" s="39">
        <f t="shared" si="159"/>
        <v>47.684480234260832</v>
      </c>
      <c r="U354" s="39">
        <f t="shared" si="160"/>
        <v>40.76525134211802</v>
      </c>
      <c r="V354" s="39">
        <f t="shared" si="161"/>
        <v>53.526354319180108</v>
      </c>
      <c r="W354" s="39">
        <f t="shared" si="162"/>
        <v>55.925085407515773</v>
      </c>
      <c r="X354" s="39">
        <f t="shared" si="163"/>
        <v>49.843582235236909</v>
      </c>
      <c r="Y354" s="39">
        <f t="shared" si="164"/>
        <v>54.995607613470014</v>
      </c>
      <c r="Z354" s="39">
        <f t="shared" si="165"/>
        <v>56.570278184480166</v>
      </c>
      <c r="AA354" s="39">
        <f t="shared" si="166"/>
        <v>57.442654953635987</v>
      </c>
      <c r="AB354" s="38"/>
      <c r="AE354" s="15">
        <v>3.0833333333333334E-2</v>
      </c>
      <c r="AF354" s="11">
        <f t="shared" si="167"/>
        <v>2664</v>
      </c>
      <c r="AG354" s="8">
        <v>2.0596000000000001</v>
      </c>
      <c r="AH354" s="8">
        <v>2.0430999999999999</v>
      </c>
      <c r="AI354" s="8">
        <v>2.0470000000000002</v>
      </c>
      <c r="AJ354" s="8">
        <v>2.0308999999999999</v>
      </c>
      <c r="AK354" s="8">
        <v>2.0333000000000001</v>
      </c>
      <c r="AL354" s="8">
        <v>2.0339</v>
      </c>
      <c r="AM354" s="8">
        <v>1.9617</v>
      </c>
      <c r="AN354" s="8">
        <v>1.9403999999999999</v>
      </c>
      <c r="AO354" s="8">
        <v>1.9074</v>
      </c>
      <c r="AP354" s="8">
        <v>1.9148000000000001</v>
      </c>
      <c r="AQ354" s="8">
        <v>1.9665999999999999</v>
      </c>
      <c r="AR354" s="8">
        <v>1.9557</v>
      </c>
      <c r="AS354" s="8">
        <v>2.0045000000000002</v>
      </c>
      <c r="AT354" s="8">
        <v>2.0032000000000001</v>
      </c>
      <c r="AU354" s="8">
        <v>2.0265</v>
      </c>
      <c r="AV354" s="8">
        <v>2.0164</v>
      </c>
      <c r="AW354" s="8">
        <v>2.0171999999999999</v>
      </c>
      <c r="AX354" s="8">
        <v>2.0007000000000001</v>
      </c>
      <c r="AY354" s="8">
        <v>1.9951000000000001</v>
      </c>
      <c r="AZ354" s="8">
        <v>1.9903</v>
      </c>
      <c r="BA354" s="8">
        <v>1.9926999999999999</v>
      </c>
      <c r="BB354" s="8">
        <v>1.9923999999999999</v>
      </c>
      <c r="BC354" s="8">
        <v>1.9893000000000001</v>
      </c>
      <c r="BD354" s="8">
        <v>1.9581</v>
      </c>
    </row>
    <row r="355" spans="2:56" x14ac:dyDescent="0.3">
      <c r="B355" s="35">
        <f t="shared" si="142"/>
        <v>2672</v>
      </c>
      <c r="C355" s="39">
        <f t="shared" si="143"/>
        <v>21.639092240117051</v>
      </c>
      <c r="D355" s="39">
        <f t="shared" si="144"/>
        <v>23.035139092240112</v>
      </c>
      <c r="E355" s="39">
        <f t="shared" si="145"/>
        <v>28.534895070766211</v>
      </c>
      <c r="F355" s="39">
        <f t="shared" si="146"/>
        <v>29.645192776964368</v>
      </c>
      <c r="G355" s="39">
        <f t="shared" si="147"/>
        <v>34.389946315275743</v>
      </c>
      <c r="H355" s="39">
        <f t="shared" si="148"/>
        <v>30.88677403611533</v>
      </c>
      <c r="I355" s="39">
        <f t="shared" si="149"/>
        <v>59.98072230356275</v>
      </c>
      <c r="J355" s="40">
        <f t="shared" si="150"/>
        <v>70.236944851146731</v>
      </c>
      <c r="K355" s="39">
        <f t="shared" si="151"/>
        <v>79.199365544167946</v>
      </c>
      <c r="L355" s="39">
        <f t="shared" si="152"/>
        <v>82.289409468033227</v>
      </c>
      <c r="M355" s="39">
        <f t="shared" si="153"/>
        <v>57.753782332845283</v>
      </c>
      <c r="N355" s="39">
        <f t="shared" si="154"/>
        <v>43.600536847242488</v>
      </c>
      <c r="O355" s="39"/>
      <c r="P355" s="39">
        <f t="shared" si="155"/>
        <v>50.319424109321474</v>
      </c>
      <c r="Q355" s="39">
        <f t="shared" si="156"/>
        <v>49.47388970229381</v>
      </c>
      <c r="R355" s="39">
        <f t="shared" si="157"/>
        <v>45.269643728648248</v>
      </c>
      <c r="S355" s="39">
        <f t="shared" si="158"/>
        <v>46.600536847242545</v>
      </c>
      <c r="T355" s="39">
        <f t="shared" si="159"/>
        <v>47.879697413372568</v>
      </c>
      <c r="U355" s="39">
        <f t="shared" si="160"/>
        <v>41.643728648121069</v>
      </c>
      <c r="V355" s="39">
        <f t="shared" si="161"/>
        <v>53.67276720351402</v>
      </c>
      <c r="W355" s="39">
        <f t="shared" si="162"/>
        <v>56.071498291849579</v>
      </c>
      <c r="X355" s="39">
        <f t="shared" si="163"/>
        <v>49.697169350902996</v>
      </c>
      <c r="Y355" s="39">
        <f t="shared" si="164"/>
        <v>55.581259150805238</v>
      </c>
      <c r="Z355" s="39">
        <f t="shared" si="165"/>
        <v>56.179843826256686</v>
      </c>
      <c r="AA355" s="39">
        <f t="shared" si="166"/>
        <v>56.954612005856525</v>
      </c>
      <c r="AB355" s="38"/>
      <c r="AE355" s="15">
        <v>3.0925925925925926E-2</v>
      </c>
      <c r="AF355" s="11">
        <f t="shared" si="167"/>
        <v>2672</v>
      </c>
      <c r="AG355" s="8">
        <v>2.06</v>
      </c>
      <c r="AH355" s="8">
        <v>2.0419</v>
      </c>
      <c r="AI355" s="8">
        <v>2.048</v>
      </c>
      <c r="AJ355" s="8">
        <v>2.0335000000000001</v>
      </c>
      <c r="AK355" s="8">
        <v>2.0339999999999998</v>
      </c>
      <c r="AL355" s="8">
        <v>2.0350999999999999</v>
      </c>
      <c r="AM355" s="8">
        <v>1.9615</v>
      </c>
      <c r="AN355" s="8">
        <v>1.9406000000000001</v>
      </c>
      <c r="AO355" s="8">
        <v>1.9080999999999999</v>
      </c>
      <c r="AP355" s="8">
        <v>1.9160999999999999</v>
      </c>
      <c r="AQ355" s="8">
        <v>1.9664999999999999</v>
      </c>
      <c r="AR355" s="8">
        <v>1.9559</v>
      </c>
      <c r="AS355" s="8">
        <v>2.0057</v>
      </c>
      <c r="AT355" s="8">
        <v>2.0032999999999999</v>
      </c>
      <c r="AU355" s="8">
        <v>2.0261999999999998</v>
      </c>
      <c r="AV355" s="8">
        <v>2.0152999999999999</v>
      </c>
      <c r="AW355" s="8">
        <v>2.0167999999999999</v>
      </c>
      <c r="AX355" s="8">
        <v>1.9988999999999999</v>
      </c>
      <c r="AY355" s="8">
        <v>1.9947999999999999</v>
      </c>
      <c r="AZ355" s="8">
        <v>1.99</v>
      </c>
      <c r="BA355" s="8">
        <v>1.9930000000000001</v>
      </c>
      <c r="BB355" s="8">
        <v>1.9912000000000001</v>
      </c>
      <c r="BC355" s="8">
        <v>1.9901</v>
      </c>
      <c r="BD355" s="8">
        <v>1.9591000000000001</v>
      </c>
    </row>
    <row r="356" spans="2:56" x14ac:dyDescent="0.3">
      <c r="B356" s="35">
        <f t="shared" si="142"/>
        <v>2680</v>
      </c>
      <c r="C356" s="39">
        <f t="shared" si="143"/>
        <v>21.590287945339224</v>
      </c>
      <c r="D356" s="39">
        <f t="shared" si="144"/>
        <v>22.888726207906416</v>
      </c>
      <c r="E356" s="39">
        <f t="shared" si="145"/>
        <v>28.827720839433823</v>
      </c>
      <c r="F356" s="39">
        <f t="shared" si="146"/>
        <v>29.986822840410024</v>
      </c>
      <c r="G356" s="39">
        <f t="shared" si="147"/>
        <v>34.341142020497699</v>
      </c>
      <c r="H356" s="39">
        <f t="shared" si="148"/>
        <v>31.814055636896203</v>
      </c>
      <c r="I356" s="39">
        <f t="shared" si="149"/>
        <v>59.395070766227533</v>
      </c>
      <c r="J356" s="40">
        <f t="shared" si="150"/>
        <v>70.236944851146731</v>
      </c>
      <c r="K356" s="39">
        <f t="shared" si="151"/>
        <v>79.34577842850176</v>
      </c>
      <c r="L356" s="39">
        <f t="shared" si="152"/>
        <v>82.289409468033227</v>
      </c>
      <c r="M356" s="39">
        <f t="shared" si="153"/>
        <v>57.363347974621689</v>
      </c>
      <c r="N356" s="39">
        <f t="shared" si="154"/>
        <v>43.844558321132162</v>
      </c>
      <c r="O356" s="39"/>
      <c r="P356" s="39">
        <f t="shared" si="155"/>
        <v>49.733772571986258</v>
      </c>
      <c r="Q356" s="39">
        <f t="shared" si="156"/>
        <v>48.985846754514242</v>
      </c>
      <c r="R356" s="39">
        <f t="shared" si="157"/>
        <v>47.075402635431956</v>
      </c>
      <c r="S356" s="39">
        <f t="shared" si="158"/>
        <v>46.356515373352757</v>
      </c>
      <c r="T356" s="39">
        <f t="shared" si="159"/>
        <v>48.953391898487141</v>
      </c>
      <c r="U356" s="39">
        <f t="shared" si="160"/>
        <v>40.667642752562145</v>
      </c>
      <c r="V356" s="39">
        <f t="shared" si="161"/>
        <v>53.867984382625757</v>
      </c>
      <c r="W356" s="39">
        <f t="shared" si="162"/>
        <v>56.413128355295129</v>
      </c>
      <c r="X356" s="39">
        <f t="shared" si="163"/>
        <v>50.234016593460389</v>
      </c>
      <c r="Y356" s="39">
        <f t="shared" si="164"/>
        <v>55.434846266471432</v>
      </c>
      <c r="Z356" s="39">
        <f t="shared" si="165"/>
        <v>56.667886774036035</v>
      </c>
      <c r="AA356" s="39">
        <f t="shared" si="166"/>
        <v>57.198633479746313</v>
      </c>
      <c r="AB356" s="38"/>
      <c r="AE356" s="15">
        <v>3.1018518518518515E-2</v>
      </c>
      <c r="AF356" s="11">
        <f t="shared" si="167"/>
        <v>2680</v>
      </c>
      <c r="AG356" s="8">
        <v>2.0600999999999998</v>
      </c>
      <c r="AH356" s="8">
        <v>2.0421999999999998</v>
      </c>
      <c r="AI356" s="8">
        <v>2.0474000000000001</v>
      </c>
      <c r="AJ356" s="8">
        <v>2.0327999999999999</v>
      </c>
      <c r="AK356" s="8">
        <v>2.0341</v>
      </c>
      <c r="AL356" s="8">
        <v>2.0331999999999999</v>
      </c>
      <c r="AM356" s="8">
        <v>1.9626999999999999</v>
      </c>
      <c r="AN356" s="8">
        <v>1.9406000000000001</v>
      </c>
      <c r="AO356" s="8">
        <v>1.9077999999999999</v>
      </c>
      <c r="AP356" s="8">
        <v>1.9160999999999999</v>
      </c>
      <c r="AQ356" s="8">
        <v>1.9673</v>
      </c>
      <c r="AR356" s="8">
        <v>1.9554</v>
      </c>
      <c r="AS356" s="8">
        <v>2.0068999999999999</v>
      </c>
      <c r="AT356" s="8">
        <v>2.0043000000000002</v>
      </c>
      <c r="AU356" s="8">
        <v>2.0225</v>
      </c>
      <c r="AV356" s="8">
        <v>2.0158</v>
      </c>
      <c r="AW356" s="8">
        <v>2.0146000000000002</v>
      </c>
      <c r="AX356" s="8">
        <v>2.0009000000000001</v>
      </c>
      <c r="AY356" s="8">
        <v>1.9944</v>
      </c>
      <c r="AZ356" s="8">
        <v>1.9893000000000001</v>
      </c>
      <c r="BA356" s="8">
        <v>1.9919</v>
      </c>
      <c r="BB356" s="8">
        <v>1.9915</v>
      </c>
      <c r="BC356" s="8">
        <v>1.9891000000000001</v>
      </c>
      <c r="BD356" s="8">
        <v>1.9585999999999999</v>
      </c>
    </row>
    <row r="357" spans="2:56" x14ac:dyDescent="0.3">
      <c r="B357" s="35">
        <f t="shared" si="142"/>
        <v>2688</v>
      </c>
      <c r="C357" s="39">
        <f t="shared" si="143"/>
        <v>21.883113714006836</v>
      </c>
      <c r="D357" s="39">
        <f t="shared" si="144"/>
        <v>21.912640312347495</v>
      </c>
      <c r="E357" s="39">
        <f t="shared" si="145"/>
        <v>29.2181551976573</v>
      </c>
      <c r="F357" s="39">
        <f t="shared" si="146"/>
        <v>28.864324060517408</v>
      </c>
      <c r="G357" s="39">
        <f t="shared" si="147"/>
        <v>33.755490483162475</v>
      </c>
      <c r="H357" s="39">
        <f t="shared" si="148"/>
        <v>31.667642752562294</v>
      </c>
      <c r="I357" s="39">
        <f t="shared" si="149"/>
        <v>59.736700829673076</v>
      </c>
      <c r="J357" s="40">
        <f t="shared" si="150"/>
        <v>69.895314787701182</v>
      </c>
      <c r="K357" s="39">
        <f t="shared" si="151"/>
        <v>79.736212786725233</v>
      </c>
      <c r="L357" s="39">
        <f t="shared" si="152"/>
        <v>83.02147388970225</v>
      </c>
      <c r="M357" s="39">
        <f t="shared" si="153"/>
        <v>57.119326500732015</v>
      </c>
      <c r="N357" s="39">
        <f t="shared" si="154"/>
        <v>44.186188384577704</v>
      </c>
      <c r="O357" s="39"/>
      <c r="P357" s="39">
        <f t="shared" si="155"/>
        <v>50.856271351878874</v>
      </c>
      <c r="Q357" s="39">
        <f t="shared" si="156"/>
        <v>49.08345534407011</v>
      </c>
      <c r="R357" s="39">
        <f t="shared" si="157"/>
        <v>45.464860907759991</v>
      </c>
      <c r="S357" s="39">
        <f t="shared" si="158"/>
        <v>46.063689604685145</v>
      </c>
      <c r="T357" s="39">
        <f t="shared" si="159"/>
        <v>49.09980478282106</v>
      </c>
      <c r="U357" s="39">
        <f t="shared" si="160"/>
        <v>41.985358711566612</v>
      </c>
      <c r="V357" s="39">
        <f t="shared" si="161"/>
        <v>53.819180087847826</v>
      </c>
      <c r="W357" s="39">
        <f t="shared" si="162"/>
        <v>55.388238164958373</v>
      </c>
      <c r="X357" s="39">
        <f t="shared" si="163"/>
        <v>50.526842362128001</v>
      </c>
      <c r="Y357" s="39">
        <f t="shared" si="164"/>
        <v>54.995607613470014</v>
      </c>
      <c r="Z357" s="39">
        <f t="shared" si="165"/>
        <v>56.37506100536843</v>
      </c>
      <c r="AA357" s="39">
        <f t="shared" si="166"/>
        <v>57.491459248413925</v>
      </c>
      <c r="AB357" s="38"/>
      <c r="AE357" s="15">
        <v>3.1111111111111107E-2</v>
      </c>
      <c r="AF357" s="11">
        <f t="shared" si="167"/>
        <v>2688</v>
      </c>
      <c r="AG357" s="8">
        <v>2.0594999999999999</v>
      </c>
      <c r="AH357" s="8">
        <v>2.0442</v>
      </c>
      <c r="AI357" s="8">
        <v>2.0466000000000002</v>
      </c>
      <c r="AJ357" s="8">
        <v>2.0350999999999999</v>
      </c>
      <c r="AK357" s="8">
        <v>2.0352999999999999</v>
      </c>
      <c r="AL357" s="8">
        <v>2.0335000000000001</v>
      </c>
      <c r="AM357" s="8">
        <v>1.962</v>
      </c>
      <c r="AN357" s="8">
        <v>1.9413</v>
      </c>
      <c r="AO357" s="8">
        <v>1.907</v>
      </c>
      <c r="AP357" s="8">
        <v>1.9146000000000001</v>
      </c>
      <c r="AQ357" s="8">
        <v>1.9678</v>
      </c>
      <c r="AR357" s="8">
        <v>1.9547000000000001</v>
      </c>
      <c r="AS357" s="8">
        <v>2.0045999999999999</v>
      </c>
      <c r="AT357" s="8">
        <v>2.0041000000000002</v>
      </c>
      <c r="AU357" s="8">
        <v>2.0257999999999998</v>
      </c>
      <c r="AV357" s="8">
        <v>2.0164</v>
      </c>
      <c r="AW357" s="8">
        <v>2.0143</v>
      </c>
      <c r="AX357" s="8">
        <v>1.9982</v>
      </c>
      <c r="AY357" s="8">
        <v>1.9944999999999999</v>
      </c>
      <c r="AZ357" s="8">
        <v>1.9914000000000001</v>
      </c>
      <c r="BA357" s="8">
        <v>1.9913000000000001</v>
      </c>
      <c r="BB357" s="8">
        <v>1.9923999999999999</v>
      </c>
      <c r="BC357" s="8">
        <v>1.9897</v>
      </c>
      <c r="BD357" s="8">
        <v>1.958</v>
      </c>
    </row>
    <row r="358" spans="2:56" x14ac:dyDescent="0.3">
      <c r="B358" s="35">
        <f t="shared" si="142"/>
        <v>2696</v>
      </c>
      <c r="C358" s="39">
        <f t="shared" si="143"/>
        <v>21.687896534895096</v>
      </c>
      <c r="D358" s="39">
        <f t="shared" si="144"/>
        <v>22.400683260126847</v>
      </c>
      <c r="E358" s="39">
        <f t="shared" si="145"/>
        <v>28.632503660322079</v>
      </c>
      <c r="F358" s="39">
        <f t="shared" si="146"/>
        <v>29.791605661298281</v>
      </c>
      <c r="G358" s="39">
        <f t="shared" si="147"/>
        <v>33.999511957052043</v>
      </c>
      <c r="H358" s="39">
        <f t="shared" si="148"/>
        <v>31.570034163006426</v>
      </c>
      <c r="I358" s="39">
        <f t="shared" si="149"/>
        <v>60.224743777452424</v>
      </c>
      <c r="J358" s="40">
        <f t="shared" si="150"/>
        <v>69.895314787701182</v>
      </c>
      <c r="K358" s="39">
        <f t="shared" si="151"/>
        <v>78.711322596388499</v>
      </c>
      <c r="L358" s="39">
        <f t="shared" si="152"/>
        <v>83.558321132259636</v>
      </c>
      <c r="M358" s="39">
        <f t="shared" si="153"/>
        <v>57.021717911176147</v>
      </c>
      <c r="N358" s="39">
        <f t="shared" si="154"/>
        <v>44.088579795021836</v>
      </c>
      <c r="O358" s="39"/>
      <c r="P358" s="39">
        <f t="shared" si="155"/>
        <v>50.026598340653869</v>
      </c>
      <c r="Q358" s="39">
        <f t="shared" si="156"/>
        <v>50.498779892630552</v>
      </c>
      <c r="R358" s="39">
        <f t="shared" si="157"/>
        <v>45.660078086871735</v>
      </c>
      <c r="S358" s="39">
        <f t="shared" si="158"/>
        <v>46.356515373352757</v>
      </c>
      <c r="T358" s="39">
        <f t="shared" si="159"/>
        <v>48.514153245485836</v>
      </c>
      <c r="U358" s="39">
        <f t="shared" si="160"/>
        <v>41.350902879453351</v>
      </c>
      <c r="V358" s="39">
        <f t="shared" si="161"/>
        <v>54.112005856515431</v>
      </c>
      <c r="W358" s="39">
        <f t="shared" si="162"/>
        <v>55.681063933626099</v>
      </c>
      <c r="X358" s="39">
        <f t="shared" si="163"/>
        <v>50.429233772572132</v>
      </c>
      <c r="Y358" s="39">
        <f t="shared" si="164"/>
        <v>55.922889214250887</v>
      </c>
      <c r="Z358" s="39">
        <f t="shared" si="165"/>
        <v>56.96071254270376</v>
      </c>
      <c r="AA358" s="39">
        <f t="shared" si="166"/>
        <v>57.003416300634463</v>
      </c>
      <c r="AB358" s="38"/>
      <c r="AE358" s="15">
        <v>3.1203703703703702E-2</v>
      </c>
      <c r="AF358" s="11">
        <f t="shared" si="167"/>
        <v>2696</v>
      </c>
      <c r="AG358" s="8">
        <v>2.0598999999999998</v>
      </c>
      <c r="AH358" s="8">
        <v>2.0432000000000001</v>
      </c>
      <c r="AI358" s="8">
        <v>2.0478000000000001</v>
      </c>
      <c r="AJ358" s="8">
        <v>2.0331999999999999</v>
      </c>
      <c r="AK358" s="8">
        <v>2.0348000000000002</v>
      </c>
      <c r="AL358" s="8">
        <v>2.0337000000000001</v>
      </c>
      <c r="AM358" s="8">
        <v>1.9610000000000001</v>
      </c>
      <c r="AN358" s="8">
        <v>1.9413</v>
      </c>
      <c r="AO358" s="8">
        <v>1.9091</v>
      </c>
      <c r="AP358" s="8">
        <v>1.9135</v>
      </c>
      <c r="AQ358" s="8">
        <v>1.968</v>
      </c>
      <c r="AR358" s="8">
        <v>1.9549000000000001</v>
      </c>
      <c r="AS358" s="8">
        <v>2.0063</v>
      </c>
      <c r="AT358" s="8">
        <v>2.0011999999999999</v>
      </c>
      <c r="AU358" s="8">
        <v>2.0253999999999999</v>
      </c>
      <c r="AV358" s="8">
        <v>2.0158</v>
      </c>
      <c r="AW358" s="8">
        <v>2.0154999999999998</v>
      </c>
      <c r="AX358" s="8">
        <v>1.9995000000000001</v>
      </c>
      <c r="AY358" s="8">
        <v>1.9939</v>
      </c>
      <c r="AZ358" s="8">
        <v>1.9907999999999999</v>
      </c>
      <c r="BA358" s="8">
        <v>1.9915</v>
      </c>
      <c r="BB358" s="8">
        <v>1.9904999999999999</v>
      </c>
      <c r="BC358" s="8">
        <v>1.9884999999999999</v>
      </c>
      <c r="BD358" s="8">
        <v>1.9590000000000001</v>
      </c>
    </row>
    <row r="359" spans="2:56" x14ac:dyDescent="0.3">
      <c r="B359" s="35">
        <f t="shared" si="142"/>
        <v>2704.0000000000005</v>
      </c>
      <c r="C359" s="39">
        <f t="shared" si="143"/>
        <v>21.492679355783352</v>
      </c>
      <c r="D359" s="39">
        <f t="shared" si="144"/>
        <v>22.595900439238591</v>
      </c>
      <c r="E359" s="39">
        <f t="shared" si="145"/>
        <v>28.730112249877948</v>
      </c>
      <c r="F359" s="39">
        <f t="shared" si="146"/>
        <v>30.133235724743717</v>
      </c>
      <c r="G359" s="39">
        <f t="shared" si="147"/>
        <v>33.901903367496175</v>
      </c>
      <c r="H359" s="39">
        <f t="shared" si="148"/>
        <v>32.00927281600795</v>
      </c>
      <c r="I359" s="39">
        <f t="shared" si="149"/>
        <v>59.785505124451014</v>
      </c>
      <c r="J359" s="40">
        <f t="shared" si="150"/>
        <v>70.139336261590856</v>
      </c>
      <c r="K359" s="39">
        <f t="shared" si="151"/>
        <v>78.174475353831212</v>
      </c>
      <c r="L359" s="39">
        <f t="shared" si="152"/>
        <v>84.143972669594859</v>
      </c>
      <c r="M359" s="39">
        <f t="shared" si="153"/>
        <v>56.82650073206441</v>
      </c>
      <c r="N359" s="39">
        <f t="shared" si="154"/>
        <v>43.746949731576287</v>
      </c>
      <c r="O359" s="39"/>
      <c r="P359" s="39">
        <f t="shared" si="155"/>
        <v>50.173011224987782</v>
      </c>
      <c r="Q359" s="39">
        <f t="shared" si="156"/>
        <v>50.108345534407071</v>
      </c>
      <c r="R359" s="39">
        <f t="shared" si="157"/>
        <v>45.952903855539347</v>
      </c>
      <c r="S359" s="39">
        <f t="shared" si="158"/>
        <v>46.112493899462976</v>
      </c>
      <c r="T359" s="39">
        <f t="shared" si="159"/>
        <v>50.319912152269545</v>
      </c>
      <c r="U359" s="39">
        <f t="shared" si="160"/>
        <v>40.472425573450408</v>
      </c>
      <c r="V359" s="39">
        <f t="shared" si="161"/>
        <v>53.721571498291958</v>
      </c>
      <c r="W359" s="39">
        <f t="shared" si="162"/>
        <v>55.681063933626099</v>
      </c>
      <c r="X359" s="39">
        <f t="shared" si="163"/>
        <v>50.770863836017782</v>
      </c>
      <c r="Y359" s="39">
        <f t="shared" si="164"/>
        <v>55.239629087359688</v>
      </c>
      <c r="Z359" s="39">
        <f t="shared" si="165"/>
        <v>57.107125427037559</v>
      </c>
      <c r="AA359" s="39">
        <f t="shared" si="166"/>
        <v>57.930697901415336</v>
      </c>
      <c r="AB359" s="38"/>
      <c r="AE359" s="15">
        <v>3.1296296296296301E-2</v>
      </c>
      <c r="AF359" s="11">
        <f t="shared" si="167"/>
        <v>2704.0000000000005</v>
      </c>
      <c r="AG359" s="8">
        <v>2.0602999999999998</v>
      </c>
      <c r="AH359" s="8">
        <v>2.0428000000000002</v>
      </c>
      <c r="AI359" s="8">
        <v>2.0476000000000001</v>
      </c>
      <c r="AJ359" s="8">
        <v>2.0325000000000002</v>
      </c>
      <c r="AK359" s="8">
        <v>2.0350000000000001</v>
      </c>
      <c r="AL359" s="8">
        <v>2.0327999999999999</v>
      </c>
      <c r="AM359" s="8">
        <v>1.9619</v>
      </c>
      <c r="AN359" s="8">
        <v>1.9408000000000001</v>
      </c>
      <c r="AO359" s="8">
        <v>1.9101999999999999</v>
      </c>
      <c r="AP359" s="8">
        <v>1.9123000000000001</v>
      </c>
      <c r="AQ359" s="8">
        <v>1.9683999999999999</v>
      </c>
      <c r="AR359" s="8">
        <v>1.9556</v>
      </c>
      <c r="AS359" s="8">
        <v>2.0059999999999998</v>
      </c>
      <c r="AT359" s="8">
        <v>2.0019999999999998</v>
      </c>
      <c r="AU359" s="8">
        <v>2.0247999999999999</v>
      </c>
      <c r="AV359" s="8">
        <v>2.0163000000000002</v>
      </c>
      <c r="AW359" s="8">
        <v>2.0118</v>
      </c>
      <c r="AX359" s="8">
        <v>2.0013000000000001</v>
      </c>
      <c r="AY359" s="8">
        <v>1.9946999999999999</v>
      </c>
      <c r="AZ359" s="8">
        <v>1.9907999999999999</v>
      </c>
      <c r="BA359" s="8">
        <v>1.9907999999999999</v>
      </c>
      <c r="BB359" s="8">
        <v>1.9919</v>
      </c>
      <c r="BC359" s="8">
        <v>1.9882</v>
      </c>
      <c r="BD359" s="8">
        <v>1.9571000000000001</v>
      </c>
    </row>
    <row r="360" spans="2:56" x14ac:dyDescent="0.3">
      <c r="B360" s="35">
        <f t="shared" si="142"/>
        <v>2712</v>
      </c>
      <c r="C360" s="39">
        <f t="shared" si="143"/>
        <v>21.785505124450964</v>
      </c>
      <c r="D360" s="39">
        <f t="shared" si="144"/>
        <v>22.7423133235725</v>
      </c>
      <c r="E360" s="39">
        <f t="shared" si="145"/>
        <v>27.607613469985338</v>
      </c>
      <c r="F360" s="39">
        <f t="shared" si="146"/>
        <v>28.522693997071755</v>
      </c>
      <c r="G360" s="39">
        <f t="shared" si="147"/>
        <v>33.316251830160958</v>
      </c>
      <c r="H360" s="39">
        <f t="shared" si="148"/>
        <v>31.960468521229902</v>
      </c>
      <c r="I360" s="39">
        <f t="shared" si="149"/>
        <v>59.102244997559815</v>
      </c>
      <c r="J360" s="40">
        <f t="shared" si="150"/>
        <v>70.285749145924768</v>
      </c>
      <c r="K360" s="39">
        <f t="shared" si="151"/>
        <v>78.711322596388499</v>
      </c>
      <c r="L360" s="39">
        <f t="shared" si="152"/>
        <v>83.899951195705185</v>
      </c>
      <c r="M360" s="39">
        <f t="shared" si="153"/>
        <v>57.509760858955495</v>
      </c>
      <c r="N360" s="39">
        <f t="shared" si="154"/>
        <v>44.186188384577704</v>
      </c>
      <c r="O360" s="39"/>
      <c r="P360" s="39">
        <f t="shared" si="155"/>
        <v>50.905075646656698</v>
      </c>
      <c r="Q360" s="39">
        <f t="shared" si="156"/>
        <v>50.254758418740771</v>
      </c>
      <c r="R360" s="39">
        <f t="shared" si="157"/>
        <v>46.050512445095215</v>
      </c>
      <c r="S360" s="39">
        <f t="shared" si="158"/>
        <v>46.746949731576244</v>
      </c>
      <c r="T360" s="39">
        <f t="shared" si="159"/>
        <v>49.783064909712145</v>
      </c>
      <c r="U360" s="39">
        <f t="shared" si="160"/>
        <v>41.350902879453351</v>
      </c>
      <c r="V360" s="39">
        <f t="shared" si="161"/>
        <v>54.160810151293369</v>
      </c>
      <c r="W360" s="39">
        <f t="shared" si="162"/>
        <v>55.778672523181967</v>
      </c>
      <c r="X360" s="39">
        <f t="shared" si="163"/>
        <v>50.47803806735007</v>
      </c>
      <c r="Y360" s="39">
        <f t="shared" si="164"/>
        <v>55.434846266471432</v>
      </c>
      <c r="Z360" s="39">
        <f t="shared" si="165"/>
        <v>56.570278184480166</v>
      </c>
      <c r="AA360" s="39">
        <f t="shared" si="166"/>
        <v>57.78428501708153</v>
      </c>
      <c r="AB360" s="38"/>
      <c r="AE360" s="15">
        <v>3.138888888888889E-2</v>
      </c>
      <c r="AF360" s="11">
        <f t="shared" si="167"/>
        <v>2712</v>
      </c>
      <c r="AG360" s="8">
        <v>2.0596999999999999</v>
      </c>
      <c r="AH360" s="8">
        <v>2.0425</v>
      </c>
      <c r="AI360" s="8">
        <v>2.0499000000000001</v>
      </c>
      <c r="AJ360" s="8">
        <v>2.0358000000000001</v>
      </c>
      <c r="AK360" s="8">
        <v>2.0362</v>
      </c>
      <c r="AL360" s="8">
        <v>2.0329000000000002</v>
      </c>
      <c r="AM360" s="8">
        <v>1.9633</v>
      </c>
      <c r="AN360" s="8">
        <v>1.9404999999999999</v>
      </c>
      <c r="AO360" s="8">
        <v>1.9091</v>
      </c>
      <c r="AP360" s="8">
        <v>1.9128000000000001</v>
      </c>
      <c r="AQ360" s="8">
        <v>1.9670000000000001</v>
      </c>
      <c r="AR360" s="8">
        <v>1.9547000000000001</v>
      </c>
      <c r="AS360" s="8">
        <v>2.0045000000000002</v>
      </c>
      <c r="AT360" s="8">
        <v>2.0017</v>
      </c>
      <c r="AU360" s="8">
        <v>2.0246</v>
      </c>
      <c r="AV360" s="8">
        <v>2.0150000000000001</v>
      </c>
      <c r="AW360" s="8">
        <v>2.0129000000000001</v>
      </c>
      <c r="AX360" s="8">
        <v>1.9995000000000001</v>
      </c>
      <c r="AY360" s="8">
        <v>1.9938</v>
      </c>
      <c r="AZ360" s="8">
        <v>1.9905999999999999</v>
      </c>
      <c r="BA360" s="8">
        <v>1.9914000000000001</v>
      </c>
      <c r="BB360" s="8">
        <v>1.9915</v>
      </c>
      <c r="BC360" s="8">
        <v>1.9893000000000001</v>
      </c>
      <c r="BD360" s="8">
        <v>1.9574</v>
      </c>
    </row>
    <row r="361" spans="2:56" x14ac:dyDescent="0.3">
      <c r="B361" s="35">
        <f t="shared" si="142"/>
        <v>2720</v>
      </c>
      <c r="C361" s="39">
        <f t="shared" si="143"/>
        <v>21.297462176671399</v>
      </c>
      <c r="D361" s="39">
        <f t="shared" si="144"/>
        <v>22.693509028794459</v>
      </c>
      <c r="E361" s="39">
        <f t="shared" si="145"/>
        <v>28.583699365544255</v>
      </c>
      <c r="F361" s="39">
        <f t="shared" si="146"/>
        <v>29.010736944851107</v>
      </c>
      <c r="G361" s="39">
        <f t="shared" si="147"/>
        <v>33.462664714494871</v>
      </c>
      <c r="H361" s="39">
        <f t="shared" si="148"/>
        <v>31.423621278672726</v>
      </c>
      <c r="I361" s="39">
        <f t="shared" si="149"/>
        <v>59.590287945339277</v>
      </c>
      <c r="J361" s="40">
        <f t="shared" si="150"/>
        <v>70.724987798926193</v>
      </c>
      <c r="K361" s="39">
        <f t="shared" si="151"/>
        <v>78.174475353831212</v>
      </c>
      <c r="L361" s="39">
        <f t="shared" si="152"/>
        <v>84.290385553928772</v>
      </c>
      <c r="M361" s="39">
        <f t="shared" si="153"/>
        <v>58.388238164958445</v>
      </c>
      <c r="N361" s="39">
        <f t="shared" si="154"/>
        <v>43.649341142020418</v>
      </c>
      <c r="O361" s="39"/>
      <c r="P361" s="39">
        <f t="shared" si="155"/>
        <v>50.66105417276713</v>
      </c>
      <c r="Q361" s="39">
        <f t="shared" si="156"/>
        <v>49.815519765739246</v>
      </c>
      <c r="R361" s="39">
        <f t="shared" si="157"/>
        <v>46.48975109809674</v>
      </c>
      <c r="S361" s="39">
        <f t="shared" si="158"/>
        <v>47.088579795021893</v>
      </c>
      <c r="T361" s="39">
        <f t="shared" si="159"/>
        <v>49.051000488043009</v>
      </c>
      <c r="U361" s="39">
        <f t="shared" si="160"/>
        <v>40.814055636896065</v>
      </c>
      <c r="V361" s="39">
        <f t="shared" si="161"/>
        <v>54.356027330405112</v>
      </c>
      <c r="W361" s="39">
        <f t="shared" si="162"/>
        <v>56.315519765739253</v>
      </c>
      <c r="X361" s="39">
        <f t="shared" si="163"/>
        <v>50.575646656905938</v>
      </c>
      <c r="Y361" s="39">
        <f t="shared" si="164"/>
        <v>56.264519277696436</v>
      </c>
      <c r="Z361" s="39">
        <f t="shared" si="165"/>
        <v>57.74158125915072</v>
      </c>
      <c r="AA361" s="39">
        <f t="shared" si="166"/>
        <v>57.393850658858057</v>
      </c>
      <c r="AB361" s="38"/>
      <c r="AE361" s="15">
        <v>3.1481481481481485E-2</v>
      </c>
      <c r="AF361" s="11">
        <f t="shared" si="167"/>
        <v>2720</v>
      </c>
      <c r="AG361" s="8">
        <v>2.0607000000000002</v>
      </c>
      <c r="AH361" s="8">
        <v>2.0426000000000002</v>
      </c>
      <c r="AI361" s="8">
        <v>2.0478999999999998</v>
      </c>
      <c r="AJ361" s="8">
        <v>2.0348000000000002</v>
      </c>
      <c r="AK361" s="8">
        <v>2.0358999999999998</v>
      </c>
      <c r="AL361" s="8">
        <v>2.0339999999999998</v>
      </c>
      <c r="AM361" s="8">
        <v>1.9622999999999999</v>
      </c>
      <c r="AN361" s="8">
        <v>1.9396</v>
      </c>
      <c r="AO361" s="8">
        <v>1.9101999999999999</v>
      </c>
      <c r="AP361" s="8">
        <v>1.9119999999999999</v>
      </c>
      <c r="AQ361" s="8">
        <v>1.9652000000000001</v>
      </c>
      <c r="AR361" s="8">
        <v>1.9558</v>
      </c>
      <c r="AS361" s="8">
        <v>2.0049999999999999</v>
      </c>
      <c r="AT361" s="8">
        <v>2.0026000000000002</v>
      </c>
      <c r="AU361" s="8">
        <v>2.0236999999999998</v>
      </c>
      <c r="AV361" s="8">
        <v>2.0143</v>
      </c>
      <c r="AW361" s="8">
        <v>2.0144000000000002</v>
      </c>
      <c r="AX361" s="8">
        <v>2.0005999999999999</v>
      </c>
      <c r="AY361" s="8">
        <v>1.9934000000000001</v>
      </c>
      <c r="AZ361" s="8">
        <v>1.9895</v>
      </c>
      <c r="BA361" s="8">
        <v>1.9912000000000001</v>
      </c>
      <c r="BB361" s="8">
        <v>1.9898</v>
      </c>
      <c r="BC361" s="8">
        <v>1.9869000000000001</v>
      </c>
      <c r="BD361" s="8">
        <v>1.9581999999999999</v>
      </c>
    </row>
    <row r="362" spans="2:56" x14ac:dyDescent="0.3">
      <c r="B362" s="35">
        <f t="shared" si="142"/>
        <v>2728</v>
      </c>
      <c r="C362" s="39">
        <f t="shared" si="143"/>
        <v>21.980722303562704</v>
      </c>
      <c r="D362" s="39">
        <f t="shared" si="144"/>
        <v>22.351878965349023</v>
      </c>
      <c r="E362" s="39">
        <f t="shared" si="145"/>
        <v>28.193265007320559</v>
      </c>
      <c r="F362" s="39">
        <f t="shared" si="146"/>
        <v>29.35236700829676</v>
      </c>
      <c r="G362" s="39">
        <f t="shared" si="147"/>
        <v>33.755490483162475</v>
      </c>
      <c r="H362" s="39">
        <f t="shared" si="148"/>
        <v>30.83796974133729</v>
      </c>
      <c r="I362" s="39">
        <f t="shared" si="149"/>
        <v>59.346266471449489</v>
      </c>
      <c r="J362" s="40">
        <f t="shared" si="150"/>
        <v>70.236944851146731</v>
      </c>
      <c r="K362" s="39">
        <f t="shared" si="151"/>
        <v>78.369692532942949</v>
      </c>
      <c r="L362" s="39">
        <f t="shared" si="152"/>
        <v>84.095168374816922</v>
      </c>
      <c r="M362" s="39">
        <f t="shared" si="153"/>
        <v>57.802586627623221</v>
      </c>
      <c r="N362" s="39">
        <f t="shared" si="154"/>
        <v>43.210102489018894</v>
      </c>
      <c r="O362" s="39"/>
      <c r="P362" s="39">
        <f t="shared" si="155"/>
        <v>50.465836993655394</v>
      </c>
      <c r="Q362" s="39">
        <f t="shared" si="156"/>
        <v>49.766715470961415</v>
      </c>
      <c r="R362" s="39">
        <f t="shared" si="157"/>
        <v>46.294533918985003</v>
      </c>
      <c r="S362" s="39">
        <f t="shared" si="158"/>
        <v>46.990971205466025</v>
      </c>
      <c r="T362" s="39">
        <f t="shared" si="159"/>
        <v>49.002196193265192</v>
      </c>
      <c r="U362" s="39">
        <f t="shared" si="160"/>
        <v>41.155685700341607</v>
      </c>
      <c r="V362" s="39">
        <f t="shared" si="161"/>
        <v>54.453635919960981</v>
      </c>
      <c r="W362" s="39">
        <f t="shared" si="162"/>
        <v>56.022693997071642</v>
      </c>
      <c r="X362" s="39">
        <f t="shared" si="163"/>
        <v>50.86847242557365</v>
      </c>
      <c r="Y362" s="39">
        <f t="shared" si="164"/>
        <v>56.362127867252312</v>
      </c>
      <c r="Z362" s="39">
        <f t="shared" si="165"/>
        <v>56.96071254270376</v>
      </c>
      <c r="AA362" s="39">
        <f t="shared" si="166"/>
        <v>57.735480722303599</v>
      </c>
      <c r="AB362" s="38"/>
      <c r="AE362" s="15">
        <v>3.1574074074074074E-2</v>
      </c>
      <c r="AF362" s="11">
        <f t="shared" si="167"/>
        <v>2728</v>
      </c>
      <c r="AG362" s="8">
        <v>2.0592999999999999</v>
      </c>
      <c r="AH362" s="8">
        <v>2.0432999999999999</v>
      </c>
      <c r="AI362" s="8">
        <v>2.0487000000000002</v>
      </c>
      <c r="AJ362" s="8">
        <v>2.0341</v>
      </c>
      <c r="AK362" s="8">
        <v>2.0352999999999999</v>
      </c>
      <c r="AL362" s="8">
        <v>2.0352000000000001</v>
      </c>
      <c r="AM362" s="8">
        <v>1.9628000000000001</v>
      </c>
      <c r="AN362" s="8">
        <v>1.9406000000000001</v>
      </c>
      <c r="AO362" s="8">
        <v>1.9097999999999999</v>
      </c>
      <c r="AP362" s="8">
        <v>1.9124000000000001</v>
      </c>
      <c r="AQ362" s="8">
        <v>1.9663999999999999</v>
      </c>
      <c r="AR362" s="8">
        <v>1.9567000000000001</v>
      </c>
      <c r="AS362" s="8">
        <v>2.0053999999999998</v>
      </c>
      <c r="AT362" s="8">
        <v>2.0026999999999999</v>
      </c>
      <c r="AU362" s="8">
        <v>2.0240999999999998</v>
      </c>
      <c r="AV362" s="8">
        <v>2.0145</v>
      </c>
      <c r="AW362" s="8">
        <v>2.0145</v>
      </c>
      <c r="AX362" s="8">
        <v>1.9999</v>
      </c>
      <c r="AY362" s="8">
        <v>1.9932000000000001</v>
      </c>
      <c r="AZ362" s="8">
        <v>1.9901</v>
      </c>
      <c r="BA362" s="8">
        <v>1.9905999999999999</v>
      </c>
      <c r="BB362" s="8">
        <v>1.9896</v>
      </c>
      <c r="BC362" s="8">
        <v>1.9884999999999999</v>
      </c>
      <c r="BD362" s="8">
        <v>1.9575</v>
      </c>
    </row>
    <row r="363" spans="2:56" x14ac:dyDescent="0.3">
      <c r="B363" s="35">
        <f t="shared" si="142"/>
        <v>2736</v>
      </c>
      <c r="C363" s="39">
        <f t="shared" si="143"/>
        <v>21.395070766227267</v>
      </c>
      <c r="D363" s="39">
        <f t="shared" si="144"/>
        <v>22.107857491459239</v>
      </c>
      <c r="E363" s="39">
        <f t="shared" si="145"/>
        <v>28.290873596876427</v>
      </c>
      <c r="F363" s="39">
        <f t="shared" si="146"/>
        <v>29.108345534406975</v>
      </c>
      <c r="G363" s="39">
        <f t="shared" si="147"/>
        <v>33.657881893606607</v>
      </c>
      <c r="H363" s="39">
        <f t="shared" si="148"/>
        <v>30.69155685700359</v>
      </c>
      <c r="I363" s="39">
        <f t="shared" si="149"/>
        <v>59.687896534895145</v>
      </c>
      <c r="J363" s="40">
        <f t="shared" si="150"/>
        <v>69.700097608589431</v>
      </c>
      <c r="K363" s="39">
        <f t="shared" si="151"/>
        <v>78.516105417276748</v>
      </c>
      <c r="L363" s="39">
        <f t="shared" si="152"/>
        <v>84.192776964372911</v>
      </c>
      <c r="M363" s="39">
        <f t="shared" si="153"/>
        <v>57.119326500732015</v>
      </c>
      <c r="N363" s="39">
        <f t="shared" si="154"/>
        <v>44.186188384577704</v>
      </c>
      <c r="O363" s="39"/>
      <c r="P363" s="39">
        <f t="shared" si="155"/>
        <v>50.465836993655394</v>
      </c>
      <c r="Q363" s="39">
        <f t="shared" si="156"/>
        <v>49.717911176183378</v>
      </c>
      <c r="R363" s="39">
        <f t="shared" si="157"/>
        <v>46.684968277208476</v>
      </c>
      <c r="S363" s="39">
        <f t="shared" si="158"/>
        <v>46.990971205466025</v>
      </c>
      <c r="T363" s="39">
        <f t="shared" si="159"/>
        <v>49.051000488043009</v>
      </c>
      <c r="U363" s="39">
        <f t="shared" si="160"/>
        <v>41.887750122010743</v>
      </c>
      <c r="V363" s="39">
        <f t="shared" si="161"/>
        <v>54.356027330405112</v>
      </c>
      <c r="W363" s="39">
        <f t="shared" si="162"/>
        <v>56.65714982918491</v>
      </c>
      <c r="X363" s="39">
        <f t="shared" si="163"/>
        <v>50.136408003904521</v>
      </c>
      <c r="Y363" s="39">
        <f t="shared" si="164"/>
        <v>55.14202049780382</v>
      </c>
      <c r="Z363" s="39">
        <f t="shared" si="165"/>
        <v>57.74158125915072</v>
      </c>
      <c r="AA363" s="39">
        <f t="shared" si="166"/>
        <v>58.077110785749149</v>
      </c>
      <c r="AB363" s="38"/>
      <c r="AE363" s="15">
        <v>3.1666666666666669E-2</v>
      </c>
      <c r="AF363" s="11">
        <f t="shared" si="167"/>
        <v>2736</v>
      </c>
      <c r="AG363" s="8">
        <v>2.0605000000000002</v>
      </c>
      <c r="AH363" s="8">
        <v>2.0438000000000001</v>
      </c>
      <c r="AI363" s="8">
        <v>2.0485000000000002</v>
      </c>
      <c r="AJ363" s="8">
        <v>2.0346000000000002</v>
      </c>
      <c r="AK363" s="8">
        <v>2.0354999999999999</v>
      </c>
      <c r="AL363" s="8">
        <v>2.0354999999999999</v>
      </c>
      <c r="AM363" s="8">
        <v>1.9621</v>
      </c>
      <c r="AN363" s="8">
        <v>1.9417</v>
      </c>
      <c r="AO363" s="8">
        <v>1.9095</v>
      </c>
      <c r="AP363" s="8">
        <v>1.9121999999999999</v>
      </c>
      <c r="AQ363" s="8">
        <v>1.9678</v>
      </c>
      <c r="AR363" s="8">
        <v>1.9547000000000001</v>
      </c>
      <c r="AS363" s="8">
        <v>2.0053999999999998</v>
      </c>
      <c r="AT363" s="8">
        <v>2.0028000000000001</v>
      </c>
      <c r="AU363" s="8">
        <v>2.0232999999999999</v>
      </c>
      <c r="AV363" s="8">
        <v>2.0145</v>
      </c>
      <c r="AW363" s="8">
        <v>2.0144000000000002</v>
      </c>
      <c r="AX363" s="8">
        <v>1.9984</v>
      </c>
      <c r="AY363" s="8">
        <v>1.9934000000000001</v>
      </c>
      <c r="AZ363" s="8">
        <v>1.9887999999999999</v>
      </c>
      <c r="BA363" s="8">
        <v>1.9921</v>
      </c>
      <c r="BB363" s="8">
        <v>1.9921</v>
      </c>
      <c r="BC363" s="8">
        <v>1.9869000000000001</v>
      </c>
      <c r="BD363" s="8">
        <v>1.9568000000000001</v>
      </c>
    </row>
    <row r="364" spans="2:56" x14ac:dyDescent="0.3">
      <c r="B364" s="35">
        <f t="shared" si="142"/>
        <v>2743.9999999999995</v>
      </c>
      <c r="C364" s="39">
        <f t="shared" si="143"/>
        <v>21.834309419228788</v>
      </c>
      <c r="D364" s="39">
        <f t="shared" si="144"/>
        <v>22.010248901903367</v>
      </c>
      <c r="E364" s="39">
        <f t="shared" si="145"/>
        <v>29.2181551976573</v>
      </c>
      <c r="F364" s="39">
        <f t="shared" si="146"/>
        <v>28.913128355295232</v>
      </c>
      <c r="G364" s="39">
        <f t="shared" si="147"/>
        <v>33.706686188384438</v>
      </c>
      <c r="H364" s="39">
        <f t="shared" si="148"/>
        <v>32.546120058565343</v>
      </c>
      <c r="I364" s="39">
        <f t="shared" si="149"/>
        <v>59.834309419228944</v>
      </c>
      <c r="J364" s="40">
        <f t="shared" si="150"/>
        <v>69.358467545143895</v>
      </c>
      <c r="K364" s="39">
        <f t="shared" si="151"/>
        <v>78.028062469497286</v>
      </c>
      <c r="L364" s="39">
        <f t="shared" si="152"/>
        <v>84.583211322596384</v>
      </c>
      <c r="M364" s="39">
        <f t="shared" si="153"/>
        <v>58.876281112737892</v>
      </c>
      <c r="N364" s="39">
        <f t="shared" si="154"/>
        <v>43.746949731576287</v>
      </c>
      <c r="O364" s="39"/>
      <c r="P364" s="39">
        <f t="shared" si="155"/>
        <v>51.685944363103879</v>
      </c>
      <c r="Q364" s="39">
        <f t="shared" si="156"/>
        <v>50.205954123962947</v>
      </c>
      <c r="R364" s="39">
        <f t="shared" si="157"/>
        <v>46.392142508540871</v>
      </c>
      <c r="S364" s="39">
        <f t="shared" si="158"/>
        <v>46.94216691068798</v>
      </c>
      <c r="T364" s="39">
        <f t="shared" si="159"/>
        <v>49.880673499268021</v>
      </c>
      <c r="U364" s="39">
        <f t="shared" si="160"/>
        <v>40.862859931673896</v>
      </c>
      <c r="V364" s="39">
        <f t="shared" si="161"/>
        <v>54.258418740849244</v>
      </c>
      <c r="W364" s="39">
        <f t="shared" si="162"/>
        <v>56.12030258662751</v>
      </c>
      <c r="X364" s="39">
        <f t="shared" si="163"/>
        <v>50.47803806735007</v>
      </c>
      <c r="Y364" s="39">
        <f t="shared" si="164"/>
        <v>56.264519277696436</v>
      </c>
      <c r="Z364" s="39">
        <f t="shared" si="165"/>
        <v>57.985602733040501</v>
      </c>
      <c r="AA364" s="39">
        <f t="shared" si="166"/>
        <v>57.540263543191855</v>
      </c>
      <c r="AB364" s="38"/>
      <c r="AE364" s="15">
        <v>3.1759259259259258E-2</v>
      </c>
      <c r="AF364" s="11">
        <f t="shared" si="167"/>
        <v>2743.9999999999995</v>
      </c>
      <c r="AG364" s="8">
        <v>2.0596000000000001</v>
      </c>
      <c r="AH364" s="8">
        <v>2.044</v>
      </c>
      <c r="AI364" s="8">
        <v>2.0466000000000002</v>
      </c>
      <c r="AJ364" s="8">
        <v>2.0350000000000001</v>
      </c>
      <c r="AK364" s="8">
        <v>2.0354000000000001</v>
      </c>
      <c r="AL364" s="8">
        <v>2.0316999999999998</v>
      </c>
      <c r="AM364" s="8">
        <v>1.9618</v>
      </c>
      <c r="AN364" s="8">
        <v>1.9423999999999999</v>
      </c>
      <c r="AO364" s="8">
        <v>1.9105000000000001</v>
      </c>
      <c r="AP364" s="8">
        <v>1.9114</v>
      </c>
      <c r="AQ364" s="8">
        <v>1.9641999999999999</v>
      </c>
      <c r="AR364" s="8">
        <v>1.9556</v>
      </c>
      <c r="AS364" s="8">
        <v>2.0028999999999999</v>
      </c>
      <c r="AT364" s="8">
        <v>2.0017999999999998</v>
      </c>
      <c r="AU364" s="8">
        <v>2.0238999999999998</v>
      </c>
      <c r="AV364" s="8">
        <v>2.0146000000000002</v>
      </c>
      <c r="AW364" s="8">
        <v>2.0127000000000002</v>
      </c>
      <c r="AX364" s="8">
        <v>2.0005000000000002</v>
      </c>
      <c r="AY364" s="8">
        <v>1.9936</v>
      </c>
      <c r="AZ364" s="8">
        <v>1.9899</v>
      </c>
      <c r="BA364" s="8">
        <v>1.9914000000000001</v>
      </c>
      <c r="BB364" s="8">
        <v>1.9898</v>
      </c>
      <c r="BC364" s="8">
        <v>1.9863999999999999</v>
      </c>
      <c r="BD364" s="8">
        <v>1.9579</v>
      </c>
    </row>
    <row r="365" spans="2:56" x14ac:dyDescent="0.3">
      <c r="B365" s="35">
        <f t="shared" si="142"/>
        <v>2752</v>
      </c>
      <c r="C365" s="39">
        <f t="shared" si="143"/>
        <v>21.102244997559655</v>
      </c>
      <c r="D365" s="39">
        <f t="shared" si="144"/>
        <v>22.400683260126847</v>
      </c>
      <c r="E365" s="39">
        <f t="shared" si="145"/>
        <v>28.974133723767732</v>
      </c>
      <c r="F365" s="39">
        <f t="shared" si="146"/>
        <v>29.596388482186544</v>
      </c>
      <c r="G365" s="39">
        <f t="shared" si="147"/>
        <v>33.901903367496175</v>
      </c>
      <c r="H365" s="39">
        <f t="shared" si="148"/>
        <v>33.13177159590056</v>
      </c>
      <c r="I365" s="39">
        <f t="shared" si="149"/>
        <v>59.834309419228944</v>
      </c>
      <c r="J365" s="40">
        <f t="shared" si="150"/>
        <v>69.846510492923258</v>
      </c>
      <c r="K365" s="39">
        <f t="shared" si="151"/>
        <v>77.832845290385549</v>
      </c>
      <c r="L365" s="39">
        <f t="shared" si="152"/>
        <v>84.729624206930183</v>
      </c>
      <c r="M365" s="39">
        <f t="shared" si="153"/>
        <v>57.900195217179089</v>
      </c>
      <c r="N365" s="39">
        <f t="shared" si="154"/>
        <v>43.795754026354224</v>
      </c>
      <c r="O365" s="39"/>
      <c r="P365" s="39">
        <f t="shared" si="155"/>
        <v>51.149097120546486</v>
      </c>
      <c r="Q365" s="39">
        <f t="shared" si="156"/>
        <v>49.425085407515766</v>
      </c>
      <c r="R365" s="39">
        <f t="shared" si="157"/>
        <v>46.684968277208476</v>
      </c>
      <c r="S365" s="39">
        <f t="shared" si="158"/>
        <v>46.698145436798413</v>
      </c>
      <c r="T365" s="39">
        <f t="shared" si="159"/>
        <v>49.295021961932797</v>
      </c>
      <c r="U365" s="39">
        <f t="shared" si="160"/>
        <v>40.960468521229764</v>
      </c>
      <c r="V365" s="39">
        <f t="shared" si="161"/>
        <v>54.99048316251838</v>
      </c>
      <c r="W365" s="39">
        <f t="shared" si="162"/>
        <v>56.169106881405447</v>
      </c>
      <c r="X365" s="39">
        <f t="shared" si="163"/>
        <v>52.430209858467684</v>
      </c>
      <c r="Y365" s="39">
        <f t="shared" si="164"/>
        <v>55.971693509028825</v>
      </c>
      <c r="Z365" s="39">
        <f t="shared" si="165"/>
        <v>56.863103953147892</v>
      </c>
      <c r="AA365" s="39">
        <f t="shared" si="166"/>
        <v>58.028306490971204</v>
      </c>
      <c r="AB365" s="38"/>
      <c r="AE365" s="15">
        <v>3.1851851851851853E-2</v>
      </c>
      <c r="AF365" s="11">
        <f t="shared" si="167"/>
        <v>2752</v>
      </c>
      <c r="AG365" s="8">
        <v>2.0611000000000002</v>
      </c>
      <c r="AH365" s="8">
        <v>2.0432000000000001</v>
      </c>
      <c r="AI365" s="8">
        <v>2.0470999999999999</v>
      </c>
      <c r="AJ365" s="8">
        <v>2.0335999999999999</v>
      </c>
      <c r="AK365" s="8">
        <v>2.0350000000000001</v>
      </c>
      <c r="AL365" s="8">
        <v>2.0305</v>
      </c>
      <c r="AM365" s="8">
        <v>1.9618</v>
      </c>
      <c r="AN365" s="8">
        <v>1.9414</v>
      </c>
      <c r="AO365" s="8">
        <v>1.9109</v>
      </c>
      <c r="AP365" s="8">
        <v>1.9111</v>
      </c>
      <c r="AQ365" s="8">
        <v>1.9661999999999999</v>
      </c>
      <c r="AR365" s="8">
        <v>1.9555</v>
      </c>
      <c r="AS365" s="8">
        <v>2.004</v>
      </c>
      <c r="AT365" s="8">
        <v>2.0034000000000001</v>
      </c>
      <c r="AU365" s="8">
        <v>2.0232999999999999</v>
      </c>
      <c r="AV365" s="8">
        <v>2.0150999999999999</v>
      </c>
      <c r="AW365" s="8">
        <v>2.0139</v>
      </c>
      <c r="AX365" s="8">
        <v>2.0003000000000002</v>
      </c>
      <c r="AY365" s="8">
        <v>1.9921</v>
      </c>
      <c r="AZ365" s="8">
        <v>1.9898</v>
      </c>
      <c r="BA365" s="8">
        <v>1.9874000000000001</v>
      </c>
      <c r="BB365" s="8">
        <v>1.9903999999999999</v>
      </c>
      <c r="BC365" s="8">
        <v>1.9886999999999999</v>
      </c>
      <c r="BD365" s="8">
        <v>1.9569000000000001</v>
      </c>
    </row>
    <row r="366" spans="2:56" x14ac:dyDescent="0.3">
      <c r="B366" s="35">
        <f t="shared" si="142"/>
        <v>2760.0000000000005</v>
      </c>
      <c r="C366" s="39">
        <f t="shared" si="143"/>
        <v>23.005612493899449</v>
      </c>
      <c r="D366" s="39">
        <f t="shared" si="144"/>
        <v>22.595900439238591</v>
      </c>
      <c r="E366" s="39">
        <f t="shared" si="145"/>
        <v>29.315763787213172</v>
      </c>
      <c r="F366" s="39">
        <f t="shared" si="146"/>
        <v>29.74280136652024</v>
      </c>
      <c r="G366" s="39">
        <f t="shared" si="147"/>
        <v>33.609077598828563</v>
      </c>
      <c r="H366" s="39">
        <f t="shared" si="148"/>
        <v>32.741337237677087</v>
      </c>
      <c r="I366" s="39">
        <f t="shared" si="149"/>
        <v>60.322352367008293</v>
      </c>
      <c r="J366" s="40">
        <f t="shared" si="150"/>
        <v>69.992923377257057</v>
      </c>
      <c r="K366" s="39">
        <f t="shared" si="151"/>
        <v>78.418496827720887</v>
      </c>
      <c r="L366" s="39">
        <f t="shared" si="152"/>
        <v>84.583211322596384</v>
      </c>
      <c r="M366" s="39">
        <f t="shared" si="153"/>
        <v>58.046608101512888</v>
      </c>
      <c r="N366" s="39">
        <f t="shared" si="154"/>
        <v>44.283796974133686</v>
      </c>
      <c r="O366" s="39"/>
      <c r="P366" s="39">
        <f t="shared" si="155"/>
        <v>51.490727183992135</v>
      </c>
      <c r="Q366" s="39">
        <f t="shared" si="156"/>
        <v>49.717911176183378</v>
      </c>
      <c r="R366" s="39">
        <f t="shared" si="157"/>
        <v>46.977794045876088</v>
      </c>
      <c r="S366" s="39">
        <f t="shared" si="158"/>
        <v>48.064665690580597</v>
      </c>
      <c r="T366" s="39">
        <f t="shared" si="159"/>
        <v>49.148609077598884</v>
      </c>
      <c r="U366" s="39">
        <f t="shared" si="160"/>
        <v>41.350902879453351</v>
      </c>
      <c r="V366" s="39">
        <f t="shared" si="161"/>
        <v>54.502440214738918</v>
      </c>
      <c r="W366" s="39">
        <f t="shared" si="162"/>
        <v>57.047584187408383</v>
      </c>
      <c r="X366" s="39">
        <f t="shared" si="163"/>
        <v>50.917276720351587</v>
      </c>
      <c r="Y366" s="39">
        <f t="shared" si="164"/>
        <v>56.069302098584693</v>
      </c>
      <c r="Z366" s="39">
        <f t="shared" si="165"/>
        <v>57.74158125915072</v>
      </c>
      <c r="AA366" s="39">
        <f t="shared" si="166"/>
        <v>58.077110785749149</v>
      </c>
      <c r="AB366" s="38"/>
      <c r="AE366" s="15">
        <v>3.1944444444444449E-2</v>
      </c>
      <c r="AF366" s="11">
        <f t="shared" si="167"/>
        <v>2760.0000000000005</v>
      </c>
      <c r="AG366" s="8">
        <v>2.0571999999999999</v>
      </c>
      <c r="AH366" s="8">
        <v>2.0428000000000002</v>
      </c>
      <c r="AI366" s="8">
        <v>2.0464000000000002</v>
      </c>
      <c r="AJ366" s="8">
        <v>2.0333000000000001</v>
      </c>
      <c r="AK366" s="8">
        <v>2.0356000000000001</v>
      </c>
      <c r="AL366" s="8">
        <v>2.0312999999999999</v>
      </c>
      <c r="AM366" s="8">
        <v>1.9608000000000001</v>
      </c>
      <c r="AN366" s="8">
        <v>1.9411</v>
      </c>
      <c r="AO366" s="8">
        <v>1.9097</v>
      </c>
      <c r="AP366" s="8">
        <v>1.9114</v>
      </c>
      <c r="AQ366" s="8">
        <v>1.9659</v>
      </c>
      <c r="AR366" s="8">
        <v>1.9544999999999999</v>
      </c>
      <c r="AS366" s="8">
        <v>2.0032999999999999</v>
      </c>
      <c r="AT366" s="8">
        <v>2.0028000000000001</v>
      </c>
      <c r="AU366" s="8">
        <v>2.0226999999999999</v>
      </c>
      <c r="AV366" s="8">
        <v>2.0123000000000002</v>
      </c>
      <c r="AW366" s="8">
        <v>2.0142000000000002</v>
      </c>
      <c r="AX366" s="8">
        <v>1.9995000000000001</v>
      </c>
      <c r="AY366" s="8">
        <v>1.9931000000000001</v>
      </c>
      <c r="AZ366" s="8">
        <v>1.988</v>
      </c>
      <c r="BA366" s="8">
        <v>1.9904999999999999</v>
      </c>
      <c r="BB366" s="8">
        <v>1.9902</v>
      </c>
      <c r="BC366" s="8">
        <v>1.9869000000000001</v>
      </c>
      <c r="BD366" s="8">
        <v>1.9568000000000001</v>
      </c>
    </row>
    <row r="367" spans="2:56" x14ac:dyDescent="0.3">
      <c r="B367" s="35">
        <f t="shared" si="142"/>
        <v>2768.0000000000005</v>
      </c>
      <c r="C367" s="39">
        <f t="shared" si="143"/>
        <v>22.615178135675968</v>
      </c>
      <c r="D367" s="39">
        <f t="shared" si="144"/>
        <v>22.7423133235725</v>
      </c>
      <c r="E367" s="39">
        <f t="shared" si="145"/>
        <v>29.02293801854556</v>
      </c>
      <c r="F367" s="39">
        <f t="shared" si="146"/>
        <v>30.035627135187848</v>
      </c>
      <c r="G367" s="39">
        <f t="shared" si="147"/>
        <v>33.07223035627117</v>
      </c>
      <c r="H367" s="39">
        <f t="shared" si="148"/>
        <v>32.985358711566654</v>
      </c>
      <c r="I367" s="39">
        <f t="shared" si="149"/>
        <v>59.053440702781877</v>
      </c>
      <c r="J367" s="40">
        <f t="shared" si="150"/>
        <v>70.480966325036505</v>
      </c>
      <c r="K367" s="39">
        <f t="shared" si="151"/>
        <v>77.930453879941425</v>
      </c>
      <c r="L367" s="39">
        <f t="shared" si="152"/>
        <v>84.583211322596384</v>
      </c>
      <c r="M367" s="39">
        <f t="shared" si="153"/>
        <v>58.046608101512888</v>
      </c>
      <c r="N367" s="39">
        <f t="shared" si="154"/>
        <v>44.283796974133686</v>
      </c>
      <c r="O367" s="39"/>
      <c r="P367" s="39">
        <f t="shared" si="155"/>
        <v>50.612249877989093</v>
      </c>
      <c r="Q367" s="39">
        <f t="shared" si="156"/>
        <v>49.766715470961415</v>
      </c>
      <c r="R367" s="39">
        <f t="shared" si="157"/>
        <v>46.48975109809674</v>
      </c>
      <c r="S367" s="39">
        <f t="shared" si="158"/>
        <v>47.088579795021893</v>
      </c>
      <c r="T367" s="39">
        <f t="shared" si="159"/>
        <v>49.343826256710841</v>
      </c>
      <c r="U367" s="39">
        <f t="shared" si="160"/>
        <v>41.155685700341607</v>
      </c>
      <c r="V367" s="39">
        <f t="shared" si="161"/>
        <v>54.746461688628699</v>
      </c>
      <c r="W367" s="39">
        <f t="shared" si="162"/>
        <v>55.973889702293704</v>
      </c>
      <c r="X367" s="39">
        <f t="shared" si="163"/>
        <v>50.86847242557365</v>
      </c>
      <c r="Y367" s="39">
        <f t="shared" si="164"/>
        <v>56.118106393362631</v>
      </c>
      <c r="Z367" s="39">
        <f t="shared" si="165"/>
        <v>57.107125427037559</v>
      </c>
      <c r="AA367" s="39">
        <f t="shared" si="166"/>
        <v>59.248413860419802</v>
      </c>
      <c r="AB367" s="38"/>
      <c r="AE367" s="15">
        <v>3.2037037037037037E-2</v>
      </c>
      <c r="AF367" s="11">
        <f t="shared" si="167"/>
        <v>2768.0000000000005</v>
      </c>
      <c r="AG367" s="8">
        <v>2.0579999999999998</v>
      </c>
      <c r="AH367" s="8">
        <v>2.0425</v>
      </c>
      <c r="AI367" s="8">
        <v>2.0470000000000002</v>
      </c>
      <c r="AJ367" s="8">
        <v>2.0327000000000002</v>
      </c>
      <c r="AK367" s="8">
        <v>2.0367000000000002</v>
      </c>
      <c r="AL367" s="8">
        <v>2.0308000000000002</v>
      </c>
      <c r="AM367" s="8">
        <v>1.9634</v>
      </c>
      <c r="AN367" s="8">
        <v>1.9400999999999999</v>
      </c>
      <c r="AO367" s="8">
        <v>1.9107000000000001</v>
      </c>
      <c r="AP367" s="8">
        <v>1.9114</v>
      </c>
      <c r="AQ367" s="8">
        <v>1.9659</v>
      </c>
      <c r="AR367" s="8">
        <v>1.9544999999999999</v>
      </c>
      <c r="AS367" s="8">
        <v>2.0051000000000001</v>
      </c>
      <c r="AT367" s="8">
        <v>2.0026999999999999</v>
      </c>
      <c r="AU367" s="8">
        <v>2.0236999999999998</v>
      </c>
      <c r="AV367" s="8">
        <v>2.0143</v>
      </c>
      <c r="AW367" s="8">
        <v>2.0137999999999998</v>
      </c>
      <c r="AX367" s="8">
        <v>1.9999</v>
      </c>
      <c r="AY367" s="8">
        <v>1.9925999999999999</v>
      </c>
      <c r="AZ367" s="8">
        <v>1.9902</v>
      </c>
      <c r="BA367" s="8">
        <v>1.9905999999999999</v>
      </c>
      <c r="BB367" s="8">
        <v>1.9901</v>
      </c>
      <c r="BC367" s="8">
        <v>1.9882</v>
      </c>
      <c r="BD367" s="8">
        <v>1.9543999999999999</v>
      </c>
    </row>
    <row r="368" spans="2:56" x14ac:dyDescent="0.3">
      <c r="B368" s="35">
        <f t="shared" si="142"/>
        <v>2776</v>
      </c>
      <c r="C368" s="39">
        <f t="shared" si="143"/>
        <v>21.883113714006836</v>
      </c>
      <c r="D368" s="39">
        <f t="shared" si="144"/>
        <v>22.205466081015107</v>
      </c>
      <c r="E368" s="39">
        <f t="shared" si="145"/>
        <v>28.339677891654471</v>
      </c>
      <c r="F368" s="39">
        <f t="shared" si="146"/>
        <v>28.913128355295232</v>
      </c>
      <c r="G368" s="39">
        <f t="shared" si="147"/>
        <v>32.730600292825734</v>
      </c>
      <c r="H368" s="39">
        <f t="shared" si="148"/>
        <v>31.765251342118162</v>
      </c>
      <c r="I368" s="39">
        <f t="shared" si="149"/>
        <v>60.224743777452424</v>
      </c>
      <c r="J368" s="40">
        <f t="shared" si="150"/>
        <v>70.041727672034995</v>
      </c>
      <c r="K368" s="39">
        <f t="shared" si="151"/>
        <v>78.174475353831212</v>
      </c>
      <c r="L368" s="39">
        <f t="shared" si="152"/>
        <v>85.364080039043458</v>
      </c>
      <c r="M368" s="39">
        <f t="shared" si="153"/>
        <v>57.900195217179089</v>
      </c>
      <c r="N368" s="39">
        <f t="shared" si="154"/>
        <v>44.039775500243898</v>
      </c>
      <c r="O368" s="39"/>
      <c r="P368" s="39">
        <f t="shared" si="155"/>
        <v>50.905075646656698</v>
      </c>
      <c r="Q368" s="39">
        <f t="shared" si="156"/>
        <v>50.547584187408383</v>
      </c>
      <c r="R368" s="39">
        <f t="shared" si="157"/>
        <v>47.124206930209787</v>
      </c>
      <c r="S368" s="39">
        <f t="shared" si="158"/>
        <v>48.699121522693858</v>
      </c>
      <c r="T368" s="39">
        <f t="shared" si="159"/>
        <v>50.271107857491714</v>
      </c>
      <c r="U368" s="39">
        <f t="shared" si="160"/>
        <v>41.985358711566612</v>
      </c>
      <c r="V368" s="39">
        <f t="shared" si="161"/>
        <v>54.892874572962505</v>
      </c>
      <c r="W368" s="39">
        <f t="shared" si="162"/>
        <v>56.022693997071642</v>
      </c>
      <c r="X368" s="39">
        <f t="shared" si="163"/>
        <v>50.673255246461807</v>
      </c>
      <c r="Y368" s="39">
        <f t="shared" si="164"/>
        <v>56.557345046364048</v>
      </c>
      <c r="Z368" s="39">
        <f t="shared" si="165"/>
        <v>57.790385553928765</v>
      </c>
      <c r="AA368" s="39">
        <f t="shared" si="166"/>
        <v>58.76037091264034</v>
      </c>
      <c r="AB368" s="38"/>
      <c r="AE368" s="15">
        <v>3.2129629629629626E-2</v>
      </c>
      <c r="AF368" s="11">
        <f t="shared" si="167"/>
        <v>2776</v>
      </c>
      <c r="AG368" s="8">
        <v>2.0594999999999999</v>
      </c>
      <c r="AH368" s="8">
        <v>2.0436000000000001</v>
      </c>
      <c r="AI368" s="8">
        <v>2.0484</v>
      </c>
      <c r="AJ368" s="8">
        <v>2.0350000000000001</v>
      </c>
      <c r="AK368" s="8">
        <v>2.0373999999999999</v>
      </c>
      <c r="AL368" s="8">
        <v>2.0333000000000001</v>
      </c>
      <c r="AM368" s="8">
        <v>1.9610000000000001</v>
      </c>
      <c r="AN368" s="8">
        <v>1.9410000000000001</v>
      </c>
      <c r="AO368" s="8">
        <v>1.9101999999999999</v>
      </c>
      <c r="AP368" s="8">
        <v>1.9097999999999999</v>
      </c>
      <c r="AQ368" s="8">
        <v>1.9661999999999999</v>
      </c>
      <c r="AR368" s="8">
        <v>1.9550000000000001</v>
      </c>
      <c r="AS368" s="8">
        <v>2.0045000000000002</v>
      </c>
      <c r="AT368" s="8">
        <v>2.0011000000000001</v>
      </c>
      <c r="AU368" s="8">
        <v>2.0224000000000002</v>
      </c>
      <c r="AV368" s="8">
        <v>2.0110000000000001</v>
      </c>
      <c r="AW368" s="8">
        <v>2.0118999999999998</v>
      </c>
      <c r="AX368" s="8">
        <v>1.9982</v>
      </c>
      <c r="AY368" s="8">
        <v>1.9923</v>
      </c>
      <c r="AZ368" s="8">
        <v>1.9901</v>
      </c>
      <c r="BA368" s="8">
        <v>1.9910000000000001</v>
      </c>
      <c r="BB368" s="8">
        <v>1.9892000000000001</v>
      </c>
      <c r="BC368" s="8">
        <v>1.9867999999999999</v>
      </c>
      <c r="BD368" s="8">
        <v>1.9554</v>
      </c>
    </row>
    <row r="369" spans="2:56" x14ac:dyDescent="0.3">
      <c r="B369" s="35">
        <f t="shared" si="142"/>
        <v>2784</v>
      </c>
      <c r="C369" s="39">
        <f t="shared" si="143"/>
        <v>21.297462176671399</v>
      </c>
      <c r="D369" s="39">
        <f t="shared" si="144"/>
        <v>22.351878965349023</v>
      </c>
      <c r="E369" s="39">
        <f t="shared" si="145"/>
        <v>28.925329428989691</v>
      </c>
      <c r="F369" s="39">
        <f t="shared" si="146"/>
        <v>28.571498291849796</v>
      </c>
      <c r="G369" s="39">
        <f t="shared" si="147"/>
        <v>32.730600292825734</v>
      </c>
      <c r="H369" s="39">
        <f t="shared" si="148"/>
        <v>33.668618838457959</v>
      </c>
      <c r="I369" s="39">
        <f t="shared" si="149"/>
        <v>60.224743777452424</v>
      </c>
      <c r="J369" s="40">
        <f t="shared" si="150"/>
        <v>70.090531966812918</v>
      </c>
      <c r="K369" s="39">
        <f t="shared" si="151"/>
        <v>78.076866764275223</v>
      </c>
      <c r="L369" s="39">
        <f t="shared" si="152"/>
        <v>85.461688628599319</v>
      </c>
      <c r="M369" s="39">
        <f t="shared" si="153"/>
        <v>58.144216691068763</v>
      </c>
      <c r="N369" s="39">
        <f t="shared" si="154"/>
        <v>44.332601268911617</v>
      </c>
      <c r="O369" s="39"/>
      <c r="P369" s="39">
        <f t="shared" si="155"/>
        <v>51.295510004880398</v>
      </c>
      <c r="Q369" s="39">
        <f t="shared" si="156"/>
        <v>49.278672523182074</v>
      </c>
      <c r="R369" s="39">
        <f t="shared" si="157"/>
        <v>47.124206930209787</v>
      </c>
      <c r="S369" s="39">
        <f t="shared" si="158"/>
        <v>46.94216691068798</v>
      </c>
      <c r="T369" s="39">
        <f t="shared" si="159"/>
        <v>49.392630551488665</v>
      </c>
      <c r="U369" s="39">
        <f t="shared" si="160"/>
        <v>42.08296730112248</v>
      </c>
      <c r="V369" s="39">
        <f t="shared" si="161"/>
        <v>54.258418740849244</v>
      </c>
      <c r="W369" s="39">
        <f t="shared" si="162"/>
        <v>55.973889702293704</v>
      </c>
      <c r="X369" s="39">
        <f t="shared" si="163"/>
        <v>50.917276720351587</v>
      </c>
      <c r="Y369" s="39">
        <f t="shared" si="164"/>
        <v>56.45973645680818</v>
      </c>
      <c r="Z369" s="39">
        <f t="shared" si="165"/>
        <v>57.155929721815497</v>
      </c>
      <c r="AA369" s="39">
        <f t="shared" si="166"/>
        <v>58.418740849194798</v>
      </c>
      <c r="AB369" s="38"/>
      <c r="AE369" s="15">
        <v>3.2222222222222222E-2</v>
      </c>
      <c r="AF369" s="11">
        <f t="shared" si="167"/>
        <v>2784</v>
      </c>
      <c r="AG369" s="8">
        <v>2.0607000000000002</v>
      </c>
      <c r="AH369" s="8">
        <v>2.0432999999999999</v>
      </c>
      <c r="AI369" s="8">
        <v>2.0472000000000001</v>
      </c>
      <c r="AJ369" s="8">
        <v>2.0356999999999998</v>
      </c>
      <c r="AK369" s="8">
        <v>2.0373999999999999</v>
      </c>
      <c r="AL369" s="8">
        <v>2.0293999999999999</v>
      </c>
      <c r="AM369" s="8">
        <v>1.9610000000000001</v>
      </c>
      <c r="AN369" s="8">
        <v>1.9409000000000001</v>
      </c>
      <c r="AO369" s="8">
        <v>1.9104000000000001</v>
      </c>
      <c r="AP369" s="8">
        <v>1.9096</v>
      </c>
      <c r="AQ369" s="8">
        <v>1.9657</v>
      </c>
      <c r="AR369" s="8">
        <v>1.9543999999999999</v>
      </c>
      <c r="AS369" s="8">
        <v>2.0036999999999998</v>
      </c>
      <c r="AT369" s="8">
        <v>2.0036999999999998</v>
      </c>
      <c r="AU369" s="8">
        <v>2.0224000000000002</v>
      </c>
      <c r="AV369" s="8">
        <v>2.0146000000000002</v>
      </c>
      <c r="AW369" s="8">
        <v>2.0137</v>
      </c>
      <c r="AX369" s="8">
        <v>1.998</v>
      </c>
      <c r="AY369" s="8">
        <v>1.9936</v>
      </c>
      <c r="AZ369" s="8">
        <v>1.9902</v>
      </c>
      <c r="BA369" s="8">
        <v>1.9904999999999999</v>
      </c>
      <c r="BB369" s="8">
        <v>1.9894000000000001</v>
      </c>
      <c r="BC369" s="8">
        <v>1.9881</v>
      </c>
      <c r="BD369" s="8">
        <v>1.9560999999999999</v>
      </c>
    </row>
    <row r="370" spans="2:56" x14ac:dyDescent="0.3">
      <c r="B370" s="35">
        <f t="shared" si="142"/>
        <v>2792</v>
      </c>
      <c r="C370" s="39">
        <f t="shared" si="143"/>
        <v>22.32235236700814</v>
      </c>
      <c r="D370" s="39">
        <f t="shared" si="144"/>
        <v>22.595900439238591</v>
      </c>
      <c r="E370" s="39">
        <f t="shared" si="145"/>
        <v>28.486090775988384</v>
      </c>
      <c r="F370" s="39">
        <f t="shared" si="146"/>
        <v>28.913128355295232</v>
      </c>
      <c r="G370" s="39">
        <f t="shared" si="147"/>
        <v>33.365056124938995</v>
      </c>
      <c r="H370" s="39">
        <f t="shared" si="148"/>
        <v>33.180575890678391</v>
      </c>
      <c r="I370" s="39">
        <f t="shared" si="149"/>
        <v>59.151049292337746</v>
      </c>
      <c r="J370" s="40">
        <f t="shared" si="150"/>
        <v>69.553684724255632</v>
      </c>
      <c r="K370" s="39">
        <f t="shared" si="151"/>
        <v>78.369692532942949</v>
      </c>
      <c r="L370" s="39">
        <f t="shared" si="152"/>
        <v>84.77842850170812</v>
      </c>
      <c r="M370" s="39">
        <f t="shared" si="153"/>
        <v>57.509760858955495</v>
      </c>
      <c r="N370" s="39">
        <f t="shared" si="154"/>
        <v>44.039775500243898</v>
      </c>
      <c r="O370" s="39"/>
      <c r="P370" s="39">
        <f t="shared" si="155"/>
        <v>51.149097120546486</v>
      </c>
      <c r="Q370" s="39">
        <f t="shared" si="156"/>
        <v>50.498779892630552</v>
      </c>
      <c r="R370" s="39">
        <f t="shared" si="157"/>
        <v>48.441922889214354</v>
      </c>
      <c r="S370" s="39">
        <f t="shared" si="158"/>
        <v>49.089555880917345</v>
      </c>
      <c r="T370" s="39">
        <f t="shared" si="159"/>
        <v>49.392630551488665</v>
      </c>
      <c r="U370" s="39">
        <f t="shared" si="160"/>
        <v>42.278184480234231</v>
      </c>
      <c r="V370" s="39">
        <f t="shared" si="161"/>
        <v>54.356027330405112</v>
      </c>
      <c r="W370" s="39">
        <f t="shared" si="162"/>
        <v>56.071498291849579</v>
      </c>
      <c r="X370" s="39">
        <f t="shared" si="163"/>
        <v>51.063689604685393</v>
      </c>
      <c r="Y370" s="39">
        <f t="shared" si="164"/>
        <v>56.557345046364048</v>
      </c>
      <c r="Z370" s="39">
        <f t="shared" si="165"/>
        <v>57.595168374816907</v>
      </c>
      <c r="AA370" s="39">
        <f t="shared" si="166"/>
        <v>58.565153733528604</v>
      </c>
      <c r="AB370" s="38"/>
      <c r="AE370" s="15">
        <v>3.2314814814814817E-2</v>
      </c>
      <c r="AF370" s="11">
        <f t="shared" si="167"/>
        <v>2792</v>
      </c>
      <c r="AG370" s="8">
        <v>2.0586000000000002</v>
      </c>
      <c r="AH370" s="8">
        <v>2.0428000000000002</v>
      </c>
      <c r="AI370" s="8">
        <v>2.0480999999999998</v>
      </c>
      <c r="AJ370" s="8">
        <v>2.0350000000000001</v>
      </c>
      <c r="AK370" s="8">
        <v>2.0360999999999998</v>
      </c>
      <c r="AL370" s="8">
        <v>2.0304000000000002</v>
      </c>
      <c r="AM370" s="8">
        <v>1.9632000000000001</v>
      </c>
      <c r="AN370" s="8">
        <v>1.9419999999999999</v>
      </c>
      <c r="AO370" s="8">
        <v>1.9097999999999999</v>
      </c>
      <c r="AP370" s="8">
        <v>1.911</v>
      </c>
      <c r="AQ370" s="8">
        <v>1.9670000000000001</v>
      </c>
      <c r="AR370" s="8">
        <v>1.9550000000000001</v>
      </c>
      <c r="AS370" s="8">
        <v>2.004</v>
      </c>
      <c r="AT370" s="8">
        <v>2.0011999999999999</v>
      </c>
      <c r="AU370" s="8">
        <v>2.0196999999999998</v>
      </c>
      <c r="AV370" s="8">
        <v>2.0102000000000002</v>
      </c>
      <c r="AW370" s="8">
        <v>2.0137</v>
      </c>
      <c r="AX370" s="8">
        <v>1.9976</v>
      </c>
      <c r="AY370" s="8">
        <v>1.9934000000000001</v>
      </c>
      <c r="AZ370" s="8">
        <v>1.99</v>
      </c>
      <c r="BA370" s="8">
        <v>1.9902</v>
      </c>
      <c r="BB370" s="8">
        <v>1.9892000000000001</v>
      </c>
      <c r="BC370" s="8">
        <v>1.9872000000000001</v>
      </c>
      <c r="BD370" s="8">
        <v>1.9558</v>
      </c>
    </row>
    <row r="371" spans="2:56" x14ac:dyDescent="0.3">
      <c r="B371" s="35">
        <f t="shared" si="142"/>
        <v>2799.9999999999995</v>
      </c>
      <c r="C371" s="39">
        <f t="shared" si="143"/>
        <v>22.175939482674448</v>
      </c>
      <c r="D371" s="39">
        <f t="shared" si="144"/>
        <v>23.327964860907723</v>
      </c>
      <c r="E371" s="39">
        <f t="shared" si="145"/>
        <v>28.046852122986859</v>
      </c>
      <c r="F371" s="39">
        <f t="shared" si="146"/>
        <v>28.522693997071755</v>
      </c>
      <c r="G371" s="39">
        <f t="shared" si="147"/>
        <v>33.365056124938995</v>
      </c>
      <c r="H371" s="39">
        <f t="shared" si="148"/>
        <v>33.375793069790348</v>
      </c>
      <c r="I371" s="39">
        <f t="shared" si="149"/>
        <v>60.224743777452424</v>
      </c>
      <c r="J371" s="40">
        <f t="shared" si="150"/>
        <v>69.748901903367369</v>
      </c>
      <c r="K371" s="39">
        <f t="shared" si="151"/>
        <v>78.028062469497286</v>
      </c>
      <c r="L371" s="39">
        <f t="shared" si="152"/>
        <v>84.387994143484647</v>
      </c>
      <c r="M371" s="39">
        <f t="shared" si="153"/>
        <v>58.485846754514313</v>
      </c>
      <c r="N371" s="39">
        <f t="shared" si="154"/>
        <v>44.039775500243898</v>
      </c>
      <c r="O371" s="39"/>
      <c r="P371" s="39">
        <f t="shared" si="155"/>
        <v>51.393118594436267</v>
      </c>
      <c r="Q371" s="39">
        <f t="shared" si="156"/>
        <v>49.961932650073166</v>
      </c>
      <c r="R371" s="39">
        <f t="shared" si="157"/>
        <v>47.953879941434792</v>
      </c>
      <c r="S371" s="39">
        <f t="shared" si="158"/>
        <v>46.990971205466025</v>
      </c>
      <c r="T371" s="39">
        <f t="shared" si="159"/>
        <v>49.929477794046065</v>
      </c>
      <c r="U371" s="39">
        <f t="shared" si="160"/>
        <v>41.497315763787157</v>
      </c>
      <c r="V371" s="39">
        <f t="shared" si="161"/>
        <v>54.892874572962505</v>
      </c>
      <c r="W371" s="39">
        <f t="shared" si="162"/>
        <v>56.754758418740778</v>
      </c>
      <c r="X371" s="39">
        <f t="shared" si="163"/>
        <v>52.674231332357358</v>
      </c>
      <c r="Y371" s="39">
        <f t="shared" si="164"/>
        <v>56.947779404587635</v>
      </c>
      <c r="Z371" s="39">
        <f t="shared" si="165"/>
        <v>57.448755490483109</v>
      </c>
      <c r="AA371" s="39">
        <f t="shared" si="166"/>
        <v>59.297218155197733</v>
      </c>
      <c r="AB371" s="38"/>
      <c r="AE371" s="15">
        <v>3.2407407407407406E-2</v>
      </c>
      <c r="AF371" s="11">
        <f t="shared" si="167"/>
        <v>2799.9999999999995</v>
      </c>
      <c r="AG371" s="8">
        <v>2.0589</v>
      </c>
      <c r="AH371" s="8">
        <v>2.0413000000000001</v>
      </c>
      <c r="AI371" s="8">
        <v>2.0489999999999999</v>
      </c>
      <c r="AJ371" s="8">
        <v>2.0358000000000001</v>
      </c>
      <c r="AK371" s="8">
        <v>2.0360999999999998</v>
      </c>
      <c r="AL371" s="8">
        <v>2.0299999999999998</v>
      </c>
      <c r="AM371" s="8">
        <v>1.9610000000000001</v>
      </c>
      <c r="AN371" s="8">
        <v>1.9416</v>
      </c>
      <c r="AO371" s="8">
        <v>1.9105000000000001</v>
      </c>
      <c r="AP371" s="8">
        <v>1.9117999999999999</v>
      </c>
      <c r="AQ371" s="8">
        <v>1.9650000000000001</v>
      </c>
      <c r="AR371" s="8">
        <v>1.9550000000000001</v>
      </c>
      <c r="AS371" s="8">
        <v>2.0034999999999998</v>
      </c>
      <c r="AT371" s="8">
        <v>2.0023</v>
      </c>
      <c r="AU371" s="8">
        <v>2.0207000000000002</v>
      </c>
      <c r="AV371" s="8">
        <v>2.0145</v>
      </c>
      <c r="AW371" s="8">
        <v>2.0125999999999999</v>
      </c>
      <c r="AX371" s="8">
        <v>1.9992000000000001</v>
      </c>
      <c r="AY371" s="8">
        <v>1.9923</v>
      </c>
      <c r="AZ371" s="8">
        <v>1.9885999999999999</v>
      </c>
      <c r="BA371" s="8">
        <v>1.9869000000000001</v>
      </c>
      <c r="BB371" s="8">
        <v>1.9883999999999999</v>
      </c>
      <c r="BC371" s="8">
        <v>1.9875</v>
      </c>
      <c r="BD371" s="8">
        <v>1.9542999999999999</v>
      </c>
    </row>
    <row r="372" spans="2:56" x14ac:dyDescent="0.3">
      <c r="B372" s="35">
        <f t="shared" si="142"/>
        <v>2807.9999999999995</v>
      </c>
      <c r="C372" s="39">
        <f t="shared" si="143"/>
        <v>21.687896534895096</v>
      </c>
      <c r="D372" s="39">
        <f t="shared" si="144"/>
        <v>22.595900439238591</v>
      </c>
      <c r="E372" s="39">
        <f t="shared" si="145"/>
        <v>28.730112249877948</v>
      </c>
      <c r="F372" s="39">
        <f t="shared" si="146"/>
        <v>29.303562713518932</v>
      </c>
      <c r="G372" s="39">
        <f t="shared" si="147"/>
        <v>33.462664714494871</v>
      </c>
      <c r="H372" s="39">
        <f t="shared" si="148"/>
        <v>33.619814543679915</v>
      </c>
      <c r="I372" s="39">
        <f t="shared" si="149"/>
        <v>60.224743777452424</v>
      </c>
      <c r="J372" s="40">
        <f t="shared" si="150"/>
        <v>70.188140556368793</v>
      </c>
      <c r="K372" s="39">
        <f t="shared" si="151"/>
        <v>77.979258174719362</v>
      </c>
      <c r="L372" s="39">
        <f t="shared" si="152"/>
        <v>84.485602733040508</v>
      </c>
      <c r="M372" s="39">
        <f t="shared" si="153"/>
        <v>57.900195217179089</v>
      </c>
      <c r="N372" s="39">
        <f t="shared" si="154"/>
        <v>44.820644216690965</v>
      </c>
      <c r="O372" s="39"/>
      <c r="P372" s="39">
        <f t="shared" si="155"/>
        <v>50.953879941434742</v>
      </c>
      <c r="Q372" s="39">
        <f t="shared" si="156"/>
        <v>49.815519765739246</v>
      </c>
      <c r="R372" s="39">
        <f t="shared" si="157"/>
        <v>48.393118594436316</v>
      </c>
      <c r="S372" s="39">
        <f t="shared" si="158"/>
        <v>47.381405563689505</v>
      </c>
      <c r="T372" s="39">
        <f t="shared" si="159"/>
        <v>49.978282088823889</v>
      </c>
      <c r="U372" s="39">
        <f t="shared" si="160"/>
        <v>41.936554416788681</v>
      </c>
      <c r="V372" s="39">
        <f t="shared" si="161"/>
        <v>54.746461688628699</v>
      </c>
      <c r="W372" s="39">
        <f t="shared" si="162"/>
        <v>56.364324060517191</v>
      </c>
      <c r="X372" s="39">
        <f t="shared" si="163"/>
        <v>51.112493899463331</v>
      </c>
      <c r="Y372" s="39">
        <f t="shared" si="164"/>
        <v>56.801366520253829</v>
      </c>
      <c r="Z372" s="39">
        <f t="shared" si="165"/>
        <v>58.278428501708113</v>
      </c>
      <c r="AA372" s="39">
        <f t="shared" si="166"/>
        <v>59.10200097608589</v>
      </c>
      <c r="AB372" s="38"/>
      <c r="AE372" s="15">
        <v>3.2499999999999994E-2</v>
      </c>
      <c r="AF372" s="11">
        <f t="shared" si="167"/>
        <v>2807.9999999999995</v>
      </c>
      <c r="AG372" s="8">
        <v>2.0598999999999998</v>
      </c>
      <c r="AH372" s="8">
        <v>2.0428000000000002</v>
      </c>
      <c r="AI372" s="8">
        <v>2.0476000000000001</v>
      </c>
      <c r="AJ372" s="8">
        <v>2.0341999999999998</v>
      </c>
      <c r="AK372" s="8">
        <v>2.0358999999999998</v>
      </c>
      <c r="AL372" s="8">
        <v>2.0295000000000001</v>
      </c>
      <c r="AM372" s="8">
        <v>1.9610000000000001</v>
      </c>
      <c r="AN372" s="8">
        <v>1.9407000000000001</v>
      </c>
      <c r="AO372" s="8">
        <v>1.9106000000000001</v>
      </c>
      <c r="AP372" s="8">
        <v>1.9116</v>
      </c>
      <c r="AQ372" s="8">
        <v>1.9661999999999999</v>
      </c>
      <c r="AR372" s="8">
        <v>1.9534</v>
      </c>
      <c r="AS372" s="8">
        <v>2.0044</v>
      </c>
      <c r="AT372" s="8">
        <v>2.0026000000000002</v>
      </c>
      <c r="AU372" s="8">
        <v>2.0198</v>
      </c>
      <c r="AV372" s="8">
        <v>2.0137</v>
      </c>
      <c r="AW372" s="8">
        <v>2.0125000000000002</v>
      </c>
      <c r="AX372" s="8">
        <v>1.9983</v>
      </c>
      <c r="AY372" s="8">
        <v>1.9925999999999999</v>
      </c>
      <c r="AZ372" s="8">
        <v>1.9894000000000001</v>
      </c>
      <c r="BA372" s="8">
        <v>1.9901</v>
      </c>
      <c r="BB372" s="8">
        <v>1.9886999999999999</v>
      </c>
      <c r="BC372" s="8">
        <v>1.9858</v>
      </c>
      <c r="BD372" s="8">
        <v>1.9547000000000001</v>
      </c>
    </row>
    <row r="373" spans="2:56" x14ac:dyDescent="0.3">
      <c r="B373" s="35">
        <f t="shared" si="142"/>
        <v>2816</v>
      </c>
      <c r="C373" s="39">
        <f t="shared" si="143"/>
        <v>21.785505124450964</v>
      </c>
      <c r="D373" s="39">
        <f t="shared" si="144"/>
        <v>22.644704734016631</v>
      </c>
      <c r="E373" s="39">
        <f t="shared" si="145"/>
        <v>29.41337237676926</v>
      </c>
      <c r="F373" s="39">
        <f t="shared" si="146"/>
        <v>29.596388482186544</v>
      </c>
      <c r="G373" s="39">
        <f t="shared" si="147"/>
        <v>33.169838945827038</v>
      </c>
      <c r="H373" s="39">
        <f t="shared" si="148"/>
        <v>33.961444607125564</v>
      </c>
      <c r="I373" s="39">
        <f t="shared" si="149"/>
        <v>59.93191800878482</v>
      </c>
      <c r="J373" s="40">
        <f t="shared" si="150"/>
        <v>69.407271839921819</v>
      </c>
      <c r="K373" s="39">
        <f t="shared" si="151"/>
        <v>78.272083943387074</v>
      </c>
      <c r="L373" s="39">
        <f t="shared" si="152"/>
        <v>84.827232796486058</v>
      </c>
      <c r="M373" s="39">
        <f t="shared" si="153"/>
        <v>57.509760858955495</v>
      </c>
      <c r="N373" s="39">
        <f t="shared" si="154"/>
        <v>44.967057101024771</v>
      </c>
      <c r="O373" s="39"/>
      <c r="P373" s="39">
        <f t="shared" si="155"/>
        <v>52.466813079550839</v>
      </c>
      <c r="Q373" s="39">
        <f t="shared" si="156"/>
        <v>49.522693997071634</v>
      </c>
      <c r="R373" s="39">
        <f t="shared" si="157"/>
        <v>47.758662762323048</v>
      </c>
      <c r="S373" s="39">
        <f t="shared" si="158"/>
        <v>47.381405563689505</v>
      </c>
      <c r="T373" s="39">
        <f t="shared" si="159"/>
        <v>50.173499267935632</v>
      </c>
      <c r="U373" s="39">
        <f t="shared" si="160"/>
        <v>41.741337237676937</v>
      </c>
      <c r="V373" s="39">
        <f t="shared" si="161"/>
        <v>55.576134699853704</v>
      </c>
      <c r="W373" s="39">
        <f t="shared" si="162"/>
        <v>56.071498291849579</v>
      </c>
      <c r="X373" s="39">
        <f t="shared" si="163"/>
        <v>51.014885309907456</v>
      </c>
      <c r="Y373" s="39">
        <f t="shared" si="164"/>
        <v>56.752562225475891</v>
      </c>
      <c r="Z373" s="39">
        <f t="shared" si="165"/>
        <v>57.985602733040501</v>
      </c>
      <c r="AA373" s="39">
        <f t="shared" si="166"/>
        <v>59.980478282088825</v>
      </c>
      <c r="AB373" s="38"/>
      <c r="AE373" s="15">
        <v>3.259259259259259E-2</v>
      </c>
      <c r="AF373" s="11">
        <f t="shared" si="167"/>
        <v>2816</v>
      </c>
      <c r="AG373" s="8">
        <v>2.0596999999999999</v>
      </c>
      <c r="AH373" s="8">
        <v>2.0427</v>
      </c>
      <c r="AI373" s="8">
        <v>2.0461999999999998</v>
      </c>
      <c r="AJ373" s="8">
        <v>2.0335999999999999</v>
      </c>
      <c r="AK373" s="8">
        <v>2.0365000000000002</v>
      </c>
      <c r="AL373" s="8">
        <v>2.0287999999999999</v>
      </c>
      <c r="AM373" s="8">
        <v>1.9616</v>
      </c>
      <c r="AN373" s="8">
        <v>1.9422999999999999</v>
      </c>
      <c r="AO373" s="8">
        <v>1.91</v>
      </c>
      <c r="AP373" s="8">
        <v>1.9109</v>
      </c>
      <c r="AQ373" s="8">
        <v>1.9670000000000001</v>
      </c>
      <c r="AR373" s="8">
        <v>1.9531000000000001</v>
      </c>
      <c r="AS373" s="8">
        <v>2.0013000000000001</v>
      </c>
      <c r="AT373" s="8">
        <v>2.0032000000000001</v>
      </c>
      <c r="AU373" s="8">
        <v>2.0211000000000001</v>
      </c>
      <c r="AV373" s="8">
        <v>2.0137</v>
      </c>
      <c r="AW373" s="8">
        <v>2.0121000000000002</v>
      </c>
      <c r="AX373" s="8">
        <v>1.9986999999999999</v>
      </c>
      <c r="AY373" s="8">
        <v>1.9908999999999999</v>
      </c>
      <c r="AZ373" s="8">
        <v>1.99</v>
      </c>
      <c r="BA373" s="8">
        <v>1.9903</v>
      </c>
      <c r="BB373" s="8">
        <v>1.9887999999999999</v>
      </c>
      <c r="BC373" s="8">
        <v>1.9863999999999999</v>
      </c>
      <c r="BD373" s="8">
        <v>1.9529000000000001</v>
      </c>
    </row>
    <row r="374" spans="2:56" x14ac:dyDescent="0.3">
      <c r="B374" s="35">
        <f t="shared" si="142"/>
        <v>2824</v>
      </c>
      <c r="C374" s="39">
        <f t="shared" si="143"/>
        <v>22.1271351878964</v>
      </c>
      <c r="D374" s="39">
        <f t="shared" si="144"/>
        <v>22.7423133235725</v>
      </c>
      <c r="E374" s="39">
        <f t="shared" si="145"/>
        <v>28.876525134211864</v>
      </c>
      <c r="F374" s="39">
        <f t="shared" si="146"/>
        <v>28.961932650073276</v>
      </c>
      <c r="G374" s="39">
        <f t="shared" si="147"/>
        <v>33.609077598828563</v>
      </c>
      <c r="H374" s="39">
        <f t="shared" si="148"/>
        <v>34.010248901903395</v>
      </c>
      <c r="I374" s="39">
        <f t="shared" si="149"/>
        <v>59.492679355783402</v>
      </c>
      <c r="J374" s="40">
        <f t="shared" si="150"/>
        <v>69.748901903367369</v>
      </c>
      <c r="K374" s="39">
        <f t="shared" si="151"/>
        <v>78.711322596388499</v>
      </c>
      <c r="L374" s="39">
        <f t="shared" si="152"/>
        <v>85.217667154709645</v>
      </c>
      <c r="M374" s="39">
        <f t="shared" si="153"/>
        <v>57.802586627623221</v>
      </c>
      <c r="N374" s="39">
        <f t="shared" si="154"/>
        <v>44.137384089799767</v>
      </c>
      <c r="O374" s="39"/>
      <c r="P374" s="39">
        <f t="shared" si="155"/>
        <v>51.246705710102354</v>
      </c>
      <c r="Q374" s="39">
        <f t="shared" si="156"/>
        <v>50.303562713518815</v>
      </c>
      <c r="R374" s="39">
        <f t="shared" si="157"/>
        <v>48.149097120546529</v>
      </c>
      <c r="S374" s="39">
        <f t="shared" si="158"/>
        <v>47.234992679355805</v>
      </c>
      <c r="T374" s="39">
        <f t="shared" si="159"/>
        <v>49.295021961932797</v>
      </c>
      <c r="U374" s="39">
        <f t="shared" si="160"/>
        <v>41.448511469009219</v>
      </c>
      <c r="V374" s="39">
        <f t="shared" si="161"/>
        <v>54.892874572962505</v>
      </c>
      <c r="W374" s="39">
        <f t="shared" si="162"/>
        <v>56.217911176183378</v>
      </c>
      <c r="X374" s="39">
        <f t="shared" si="163"/>
        <v>51.356515373353005</v>
      </c>
      <c r="Y374" s="39">
        <f t="shared" si="164"/>
        <v>56.752562225475891</v>
      </c>
      <c r="Z374" s="39">
        <f t="shared" si="165"/>
        <v>58.912884333821374</v>
      </c>
      <c r="AA374" s="39">
        <f t="shared" si="166"/>
        <v>59.346022449975671</v>
      </c>
      <c r="AB374" s="38"/>
      <c r="AE374" s="15">
        <v>3.2685185185185185E-2</v>
      </c>
      <c r="AF374" s="11">
        <f t="shared" si="167"/>
        <v>2824</v>
      </c>
      <c r="AG374" s="8">
        <v>2.0590000000000002</v>
      </c>
      <c r="AH374" s="8">
        <v>2.0425</v>
      </c>
      <c r="AI374" s="8">
        <v>2.0472999999999999</v>
      </c>
      <c r="AJ374" s="8">
        <v>2.0348999999999999</v>
      </c>
      <c r="AK374" s="8">
        <v>2.0356000000000001</v>
      </c>
      <c r="AL374" s="8">
        <v>2.0287000000000002</v>
      </c>
      <c r="AM374" s="8">
        <v>1.9624999999999999</v>
      </c>
      <c r="AN374" s="8">
        <v>1.9416</v>
      </c>
      <c r="AO374" s="8">
        <v>1.9091</v>
      </c>
      <c r="AP374" s="8">
        <v>1.9100999999999999</v>
      </c>
      <c r="AQ374" s="8">
        <v>1.9663999999999999</v>
      </c>
      <c r="AR374" s="8">
        <v>1.9548000000000001</v>
      </c>
      <c r="AS374" s="8">
        <v>2.0038</v>
      </c>
      <c r="AT374" s="8">
        <v>2.0015999999999998</v>
      </c>
      <c r="AU374" s="8">
        <v>2.0203000000000002</v>
      </c>
      <c r="AV374" s="8">
        <v>2.0139999999999998</v>
      </c>
      <c r="AW374" s="8">
        <v>2.0139</v>
      </c>
      <c r="AX374" s="8">
        <v>1.9993000000000001</v>
      </c>
      <c r="AY374" s="8">
        <v>1.9923</v>
      </c>
      <c r="AZ374" s="8">
        <v>1.9897</v>
      </c>
      <c r="BA374" s="8">
        <v>1.9896</v>
      </c>
      <c r="BB374" s="8">
        <v>1.9887999999999999</v>
      </c>
      <c r="BC374" s="8">
        <v>1.9844999999999999</v>
      </c>
      <c r="BD374" s="8">
        <v>1.9541999999999999</v>
      </c>
    </row>
    <row r="375" spans="2:56" x14ac:dyDescent="0.3">
      <c r="B375" s="35">
        <f t="shared" si="142"/>
        <v>2832</v>
      </c>
      <c r="C375" s="39">
        <f t="shared" si="143"/>
        <v>22.029526598340532</v>
      </c>
      <c r="D375" s="39">
        <f t="shared" si="144"/>
        <v>22.254270375793151</v>
      </c>
      <c r="E375" s="39">
        <f t="shared" si="145"/>
        <v>28.095656417764687</v>
      </c>
      <c r="F375" s="39">
        <f t="shared" si="146"/>
        <v>29.108345534406975</v>
      </c>
      <c r="G375" s="39">
        <f t="shared" si="147"/>
        <v>33.413860419716826</v>
      </c>
      <c r="H375" s="39">
        <f t="shared" si="148"/>
        <v>34.595900439238832</v>
      </c>
      <c r="I375" s="39">
        <f t="shared" si="149"/>
        <v>59.98072230356275</v>
      </c>
      <c r="J375" s="40">
        <f t="shared" si="150"/>
        <v>70.480966325036505</v>
      </c>
      <c r="K375" s="39">
        <f t="shared" si="151"/>
        <v>79.150561249390023</v>
      </c>
      <c r="L375" s="39">
        <f t="shared" si="152"/>
        <v>85.217667154709645</v>
      </c>
      <c r="M375" s="39">
        <f t="shared" si="153"/>
        <v>57.607369448511371</v>
      </c>
      <c r="N375" s="39">
        <f t="shared" si="154"/>
        <v>44.527818448023361</v>
      </c>
      <c r="O375" s="39"/>
      <c r="P375" s="39">
        <f t="shared" si="155"/>
        <v>50.80746705710083</v>
      </c>
      <c r="Q375" s="39">
        <f t="shared" si="156"/>
        <v>50.205954123962947</v>
      </c>
      <c r="R375" s="39">
        <f t="shared" si="157"/>
        <v>49.222791605661321</v>
      </c>
      <c r="S375" s="39">
        <f t="shared" si="158"/>
        <v>47.381405563689505</v>
      </c>
      <c r="T375" s="39">
        <f t="shared" si="159"/>
        <v>50.368716447047589</v>
      </c>
      <c r="U375" s="39">
        <f t="shared" si="160"/>
        <v>41.643728648121069</v>
      </c>
      <c r="V375" s="39">
        <f t="shared" si="161"/>
        <v>54.600048804294893</v>
      </c>
      <c r="W375" s="39">
        <f t="shared" si="162"/>
        <v>56.071498291849579</v>
      </c>
      <c r="X375" s="39">
        <f t="shared" si="163"/>
        <v>51.405319668130943</v>
      </c>
      <c r="Y375" s="39">
        <f t="shared" si="164"/>
        <v>56.654953635919917</v>
      </c>
      <c r="Z375" s="39">
        <f t="shared" si="165"/>
        <v>57.887994143484633</v>
      </c>
      <c r="AA375" s="39">
        <f t="shared" si="166"/>
        <v>58.711566617862402</v>
      </c>
      <c r="AB375" s="38"/>
      <c r="AE375" s="15">
        <v>3.2777777777777781E-2</v>
      </c>
      <c r="AF375" s="11">
        <f t="shared" si="167"/>
        <v>2832</v>
      </c>
      <c r="AG375" s="8">
        <v>2.0592000000000001</v>
      </c>
      <c r="AH375" s="8">
        <v>2.0434999999999999</v>
      </c>
      <c r="AI375" s="8">
        <v>2.0489000000000002</v>
      </c>
      <c r="AJ375" s="8">
        <v>2.0346000000000002</v>
      </c>
      <c r="AK375" s="8">
        <v>2.036</v>
      </c>
      <c r="AL375" s="8">
        <v>2.0274999999999999</v>
      </c>
      <c r="AM375" s="8">
        <v>1.9615</v>
      </c>
      <c r="AN375" s="8">
        <v>1.9400999999999999</v>
      </c>
      <c r="AO375" s="8">
        <v>1.9081999999999999</v>
      </c>
      <c r="AP375" s="8">
        <v>1.9100999999999999</v>
      </c>
      <c r="AQ375" s="8">
        <v>1.9668000000000001</v>
      </c>
      <c r="AR375" s="8">
        <v>1.954</v>
      </c>
      <c r="AS375" s="8">
        <v>2.0047000000000001</v>
      </c>
      <c r="AT375" s="8">
        <v>2.0017999999999998</v>
      </c>
      <c r="AU375" s="8">
        <v>2.0181</v>
      </c>
      <c r="AV375" s="8">
        <v>2.0137</v>
      </c>
      <c r="AW375" s="8">
        <v>2.0116999999999998</v>
      </c>
      <c r="AX375" s="8">
        <v>1.9988999999999999</v>
      </c>
      <c r="AY375" s="8">
        <v>1.9928999999999999</v>
      </c>
      <c r="AZ375" s="8">
        <v>1.99</v>
      </c>
      <c r="BA375" s="8">
        <v>1.9895</v>
      </c>
      <c r="BB375" s="8">
        <v>1.9890000000000001</v>
      </c>
      <c r="BC375" s="8">
        <v>1.9865999999999999</v>
      </c>
      <c r="BD375" s="8">
        <v>1.9555</v>
      </c>
    </row>
    <row r="376" spans="2:56" x14ac:dyDescent="0.3">
      <c r="B376" s="35">
        <f t="shared" si="142"/>
        <v>2840</v>
      </c>
      <c r="C376" s="39">
        <f t="shared" si="143"/>
        <v>22.029526598340532</v>
      </c>
      <c r="D376" s="39">
        <f t="shared" si="144"/>
        <v>22.693509028794459</v>
      </c>
      <c r="E376" s="39">
        <f t="shared" si="145"/>
        <v>28.778916544655996</v>
      </c>
      <c r="F376" s="39">
        <f t="shared" si="146"/>
        <v>29.059541239629148</v>
      </c>
      <c r="G376" s="39">
        <f t="shared" si="147"/>
        <v>33.706686188384438</v>
      </c>
      <c r="H376" s="39">
        <f t="shared" si="148"/>
        <v>34.254270375793183</v>
      </c>
      <c r="I376" s="39">
        <f t="shared" si="149"/>
        <v>59.883113714006882</v>
      </c>
      <c r="J376" s="40">
        <f t="shared" si="150"/>
        <v>69.358467545143895</v>
      </c>
      <c r="K376" s="39">
        <f t="shared" si="151"/>
        <v>78.760126891166422</v>
      </c>
      <c r="L376" s="39">
        <f t="shared" si="152"/>
        <v>84.973645680819857</v>
      </c>
      <c r="M376" s="39">
        <f t="shared" si="153"/>
        <v>57.851390922401151</v>
      </c>
      <c r="N376" s="39">
        <f t="shared" si="154"/>
        <v>44.771839921913035</v>
      </c>
      <c r="O376" s="39"/>
      <c r="P376" s="39">
        <f t="shared" si="155"/>
        <v>51.588335773548003</v>
      </c>
      <c r="Q376" s="39">
        <f t="shared" si="156"/>
        <v>50.010736944850983</v>
      </c>
      <c r="R376" s="39">
        <f t="shared" si="157"/>
        <v>48.344314299658485</v>
      </c>
      <c r="S376" s="39">
        <f t="shared" si="158"/>
        <v>48.45510004880429</v>
      </c>
      <c r="T376" s="39">
        <f t="shared" si="159"/>
        <v>50.368716447047589</v>
      </c>
      <c r="U376" s="39">
        <f t="shared" si="160"/>
        <v>41.302098584675413</v>
      </c>
      <c r="V376" s="39">
        <f t="shared" si="161"/>
        <v>55.380917520741853</v>
      </c>
      <c r="W376" s="39">
        <f t="shared" si="162"/>
        <v>56.559541239628928</v>
      </c>
      <c r="X376" s="39">
        <f t="shared" si="163"/>
        <v>51.405319668130943</v>
      </c>
      <c r="Y376" s="39">
        <f t="shared" si="164"/>
        <v>57.338213762811115</v>
      </c>
      <c r="Z376" s="39">
        <f t="shared" si="165"/>
        <v>58.766471449487568</v>
      </c>
      <c r="AA376" s="39">
        <f t="shared" si="166"/>
        <v>59.638848218643282</v>
      </c>
      <c r="AB376" s="38"/>
      <c r="AE376" s="15">
        <v>3.2870370370370376E-2</v>
      </c>
      <c r="AF376" s="11">
        <f t="shared" si="167"/>
        <v>2840</v>
      </c>
      <c r="AG376" s="8">
        <v>2.0592000000000001</v>
      </c>
      <c r="AH376" s="8">
        <v>2.0426000000000002</v>
      </c>
      <c r="AI376" s="8">
        <v>2.0474999999999999</v>
      </c>
      <c r="AJ376" s="8">
        <v>2.0347</v>
      </c>
      <c r="AK376" s="8">
        <v>2.0354000000000001</v>
      </c>
      <c r="AL376" s="8">
        <v>2.0282</v>
      </c>
      <c r="AM376" s="8">
        <v>1.9617</v>
      </c>
      <c r="AN376" s="8">
        <v>1.9423999999999999</v>
      </c>
      <c r="AO376" s="8">
        <v>1.909</v>
      </c>
      <c r="AP376" s="8">
        <v>1.9106000000000001</v>
      </c>
      <c r="AQ376" s="8">
        <v>1.9662999999999999</v>
      </c>
      <c r="AR376" s="8">
        <v>1.9535</v>
      </c>
      <c r="AS376" s="8">
        <v>2.0030999999999999</v>
      </c>
      <c r="AT376" s="8">
        <v>2.0022000000000002</v>
      </c>
      <c r="AU376" s="8">
        <v>2.0198999999999998</v>
      </c>
      <c r="AV376" s="8">
        <v>2.0114999999999998</v>
      </c>
      <c r="AW376" s="8">
        <v>2.0116999999999998</v>
      </c>
      <c r="AX376" s="8">
        <v>1.9996</v>
      </c>
      <c r="AY376" s="8">
        <v>1.9913000000000001</v>
      </c>
      <c r="AZ376" s="8">
        <v>1.9890000000000001</v>
      </c>
      <c r="BA376" s="8">
        <v>1.9895</v>
      </c>
      <c r="BB376" s="8">
        <v>1.9876</v>
      </c>
      <c r="BC376" s="8">
        <v>1.9847999999999999</v>
      </c>
      <c r="BD376" s="8">
        <v>1.9536</v>
      </c>
    </row>
    <row r="377" spans="2:56" x14ac:dyDescent="0.3">
      <c r="B377" s="35">
        <f t="shared" si="142"/>
        <v>2848</v>
      </c>
      <c r="C377" s="39">
        <f t="shared" si="143"/>
        <v>21.639092240117051</v>
      </c>
      <c r="D377" s="39">
        <f t="shared" si="144"/>
        <v>23.620790629575332</v>
      </c>
      <c r="E377" s="39">
        <f t="shared" si="145"/>
        <v>28.583699365544255</v>
      </c>
      <c r="F377" s="39">
        <f t="shared" si="146"/>
        <v>30.133235724743717</v>
      </c>
      <c r="G377" s="39">
        <f t="shared" si="147"/>
        <v>32.925817471937471</v>
      </c>
      <c r="H377" s="39">
        <f t="shared" si="148"/>
        <v>34.059053196681432</v>
      </c>
      <c r="I377" s="39">
        <f t="shared" si="149"/>
        <v>60.127135187896556</v>
      </c>
      <c r="J377" s="40">
        <f t="shared" si="150"/>
        <v>69.700097608589431</v>
      </c>
      <c r="K377" s="39">
        <f t="shared" si="151"/>
        <v>78.125671059053161</v>
      </c>
      <c r="L377" s="39">
        <f t="shared" si="152"/>
        <v>85.608101512933132</v>
      </c>
      <c r="M377" s="39">
        <f t="shared" si="153"/>
        <v>57.900195217179089</v>
      </c>
      <c r="N377" s="39">
        <f t="shared" si="154"/>
        <v>44.381405563689555</v>
      </c>
      <c r="O377" s="39"/>
      <c r="P377" s="39">
        <f t="shared" si="155"/>
        <v>51.539531478769966</v>
      </c>
      <c r="Q377" s="39">
        <f t="shared" si="156"/>
        <v>49.864324060517291</v>
      </c>
      <c r="R377" s="39">
        <f t="shared" si="157"/>
        <v>48.588335773548053</v>
      </c>
      <c r="S377" s="39">
        <f t="shared" si="158"/>
        <v>49.138360175695382</v>
      </c>
      <c r="T377" s="39">
        <f t="shared" si="159"/>
        <v>50.466325036603457</v>
      </c>
      <c r="U377" s="39">
        <f t="shared" si="160"/>
        <v>42.278184480234231</v>
      </c>
      <c r="V377" s="39">
        <f t="shared" si="161"/>
        <v>55.429721815519791</v>
      </c>
      <c r="W377" s="39">
        <f t="shared" si="162"/>
        <v>56.217911176183378</v>
      </c>
      <c r="X377" s="39">
        <f t="shared" si="163"/>
        <v>51.307711078575075</v>
      </c>
      <c r="Y377" s="39">
        <f t="shared" si="164"/>
        <v>56.947779404587635</v>
      </c>
      <c r="Z377" s="39">
        <f t="shared" si="165"/>
        <v>58.229624206930175</v>
      </c>
      <c r="AA377" s="39">
        <f t="shared" si="166"/>
        <v>59.004392386530021</v>
      </c>
      <c r="AB377" s="38"/>
      <c r="AE377" s="15">
        <v>3.2962962962962965E-2</v>
      </c>
      <c r="AF377" s="11">
        <f t="shared" si="167"/>
        <v>2848</v>
      </c>
      <c r="AG377" s="8">
        <v>2.06</v>
      </c>
      <c r="AH377" s="8">
        <v>2.0407000000000002</v>
      </c>
      <c r="AI377" s="8">
        <v>2.0478999999999998</v>
      </c>
      <c r="AJ377" s="8">
        <v>2.0325000000000002</v>
      </c>
      <c r="AK377" s="8">
        <v>2.0369999999999999</v>
      </c>
      <c r="AL377" s="8">
        <v>2.0286</v>
      </c>
      <c r="AM377" s="8">
        <v>1.9612000000000001</v>
      </c>
      <c r="AN377" s="8">
        <v>1.9417</v>
      </c>
      <c r="AO377" s="8">
        <v>1.9103000000000001</v>
      </c>
      <c r="AP377" s="8">
        <v>1.9093</v>
      </c>
      <c r="AQ377" s="8">
        <v>1.9661999999999999</v>
      </c>
      <c r="AR377" s="8">
        <v>1.9542999999999999</v>
      </c>
      <c r="AS377" s="8">
        <v>2.0032000000000001</v>
      </c>
      <c r="AT377" s="8">
        <v>2.0024999999999999</v>
      </c>
      <c r="AU377" s="8">
        <v>2.0194000000000001</v>
      </c>
      <c r="AV377" s="8">
        <v>2.0101</v>
      </c>
      <c r="AW377" s="8">
        <v>2.0114999999999998</v>
      </c>
      <c r="AX377" s="8">
        <v>1.9976</v>
      </c>
      <c r="AY377" s="8">
        <v>1.9912000000000001</v>
      </c>
      <c r="AZ377" s="8">
        <v>1.9897</v>
      </c>
      <c r="BA377" s="8">
        <v>1.9897</v>
      </c>
      <c r="BB377" s="8">
        <v>1.9883999999999999</v>
      </c>
      <c r="BC377" s="8">
        <v>1.9859</v>
      </c>
      <c r="BD377" s="8">
        <v>1.9549000000000001</v>
      </c>
    </row>
    <row r="378" spans="2:56" x14ac:dyDescent="0.3">
      <c r="B378" s="35">
        <f t="shared" si="142"/>
        <v>2855.9999999999995</v>
      </c>
      <c r="C378" s="39">
        <f t="shared" si="143"/>
        <v>21.980722303562704</v>
      </c>
      <c r="D378" s="39">
        <f t="shared" si="144"/>
        <v>23.474377745241636</v>
      </c>
      <c r="E378" s="39">
        <f t="shared" si="145"/>
        <v>28.193265007320559</v>
      </c>
      <c r="F378" s="39">
        <f t="shared" si="146"/>
        <v>28.717911176183495</v>
      </c>
      <c r="G378" s="39">
        <f t="shared" si="147"/>
        <v>33.755490483162475</v>
      </c>
      <c r="H378" s="39">
        <f t="shared" si="148"/>
        <v>34.547096144460788</v>
      </c>
      <c r="I378" s="39">
        <f t="shared" si="149"/>
        <v>59.443875061005471</v>
      </c>
      <c r="J378" s="40">
        <f t="shared" si="150"/>
        <v>70.188140556368793</v>
      </c>
      <c r="K378" s="39">
        <f t="shared" si="151"/>
        <v>78.418496827720887</v>
      </c>
      <c r="L378" s="39">
        <f t="shared" si="152"/>
        <v>85.559297218155194</v>
      </c>
      <c r="M378" s="39">
        <f t="shared" si="153"/>
        <v>58.729868228404094</v>
      </c>
      <c r="N378" s="39">
        <f t="shared" si="154"/>
        <v>43.893362615910092</v>
      </c>
      <c r="O378" s="39"/>
      <c r="P378" s="39">
        <f t="shared" si="155"/>
        <v>51.441922889214098</v>
      </c>
      <c r="Q378" s="39">
        <f t="shared" si="156"/>
        <v>50.205954123962947</v>
      </c>
      <c r="R378" s="39">
        <f t="shared" si="157"/>
        <v>49.369204489995234</v>
      </c>
      <c r="S378" s="39">
        <f t="shared" si="158"/>
        <v>47.430209858467549</v>
      </c>
      <c r="T378" s="39">
        <f t="shared" si="159"/>
        <v>50.271107857491714</v>
      </c>
      <c r="U378" s="39">
        <f t="shared" si="160"/>
        <v>41.350902879453351</v>
      </c>
      <c r="V378" s="39">
        <f t="shared" si="161"/>
        <v>54.892874572962505</v>
      </c>
      <c r="W378" s="39">
        <f t="shared" si="162"/>
        <v>56.071498291849579</v>
      </c>
      <c r="X378" s="39">
        <f t="shared" si="163"/>
        <v>52.088579795022142</v>
      </c>
      <c r="Y378" s="39">
        <f t="shared" si="164"/>
        <v>57.679843826256665</v>
      </c>
      <c r="Z378" s="39">
        <f t="shared" si="165"/>
        <v>58.229624206930175</v>
      </c>
      <c r="AA378" s="39">
        <f t="shared" si="166"/>
        <v>60.126891166422737</v>
      </c>
      <c r="AB378" s="38"/>
      <c r="AE378" s="15">
        <v>3.3055555555555553E-2</v>
      </c>
      <c r="AF378" s="11">
        <f t="shared" si="167"/>
        <v>2855.9999999999995</v>
      </c>
      <c r="AG378" s="8">
        <v>2.0592999999999999</v>
      </c>
      <c r="AH378" s="8">
        <v>2.0409999999999999</v>
      </c>
      <c r="AI378" s="8">
        <v>2.0487000000000002</v>
      </c>
      <c r="AJ378" s="8">
        <v>2.0354000000000001</v>
      </c>
      <c r="AK378" s="8">
        <v>2.0352999999999999</v>
      </c>
      <c r="AL378" s="8">
        <v>2.0276000000000001</v>
      </c>
      <c r="AM378" s="8">
        <v>1.9625999999999999</v>
      </c>
      <c r="AN378" s="8">
        <v>1.9407000000000001</v>
      </c>
      <c r="AO378" s="8">
        <v>1.9097</v>
      </c>
      <c r="AP378" s="8">
        <v>1.9094</v>
      </c>
      <c r="AQ378" s="8">
        <v>1.9644999999999999</v>
      </c>
      <c r="AR378" s="8">
        <v>1.9553</v>
      </c>
      <c r="AS378" s="8">
        <v>2.0034000000000001</v>
      </c>
      <c r="AT378" s="8">
        <v>2.0017999999999998</v>
      </c>
      <c r="AU378" s="8">
        <v>2.0177999999999998</v>
      </c>
      <c r="AV378" s="8">
        <v>2.0135999999999998</v>
      </c>
      <c r="AW378" s="8">
        <v>2.0118999999999998</v>
      </c>
      <c r="AX378" s="8">
        <v>1.9995000000000001</v>
      </c>
      <c r="AY378" s="8">
        <v>1.9923</v>
      </c>
      <c r="AZ378" s="8">
        <v>1.99</v>
      </c>
      <c r="BA378" s="8">
        <v>1.9881</v>
      </c>
      <c r="BB378" s="8">
        <v>1.9869000000000001</v>
      </c>
      <c r="BC378" s="8">
        <v>1.9859</v>
      </c>
      <c r="BD378" s="8">
        <v>1.9525999999999999</v>
      </c>
    </row>
    <row r="379" spans="2:56" x14ac:dyDescent="0.3">
      <c r="B379" s="35">
        <f t="shared" si="142"/>
        <v>2864</v>
      </c>
      <c r="C379" s="39">
        <f t="shared" si="143"/>
        <v>22.468765251342056</v>
      </c>
      <c r="D379" s="39">
        <f t="shared" si="144"/>
        <v>23.230356271351852</v>
      </c>
      <c r="E379" s="39">
        <f t="shared" si="145"/>
        <v>28.876525134211864</v>
      </c>
      <c r="F379" s="39">
        <f t="shared" si="146"/>
        <v>29.645192776964368</v>
      </c>
      <c r="G379" s="39">
        <f t="shared" si="147"/>
        <v>33.169838945827038</v>
      </c>
      <c r="H379" s="39">
        <f t="shared" si="148"/>
        <v>34.400683260127089</v>
      </c>
      <c r="I379" s="39">
        <f t="shared" si="149"/>
        <v>60.615178135676018</v>
      </c>
      <c r="J379" s="40">
        <f t="shared" si="150"/>
        <v>70.090531966812918</v>
      </c>
      <c r="K379" s="39">
        <f t="shared" si="151"/>
        <v>78.857735480722297</v>
      </c>
      <c r="L379" s="39">
        <f t="shared" si="152"/>
        <v>85.022449975597794</v>
      </c>
      <c r="M379" s="39">
        <f t="shared" si="153"/>
        <v>58.92508540751583</v>
      </c>
      <c r="N379" s="39">
        <f t="shared" si="154"/>
        <v>44.576622742801291</v>
      </c>
      <c r="O379" s="39"/>
      <c r="P379" s="39">
        <f t="shared" si="155"/>
        <v>51.685944363103879</v>
      </c>
      <c r="Q379" s="39">
        <f t="shared" si="156"/>
        <v>50.303562713518815</v>
      </c>
      <c r="R379" s="39">
        <f t="shared" si="157"/>
        <v>49.173987310883277</v>
      </c>
      <c r="S379" s="39">
        <f t="shared" si="158"/>
        <v>47.527818448023417</v>
      </c>
      <c r="T379" s="39">
        <f t="shared" si="159"/>
        <v>50.027086383601933</v>
      </c>
      <c r="U379" s="39">
        <f t="shared" si="160"/>
        <v>41.302098584675413</v>
      </c>
      <c r="V379" s="39">
        <f t="shared" si="161"/>
        <v>54.941678867740436</v>
      </c>
      <c r="W379" s="39">
        <f t="shared" si="162"/>
        <v>57.047584187408383</v>
      </c>
      <c r="X379" s="39">
        <f t="shared" si="163"/>
        <v>51.502928257686811</v>
      </c>
      <c r="Y379" s="39">
        <f t="shared" si="164"/>
        <v>57.387018057589053</v>
      </c>
      <c r="Z379" s="39">
        <f t="shared" si="165"/>
        <v>58.668862859931593</v>
      </c>
      <c r="AA379" s="39">
        <f t="shared" si="166"/>
        <v>59.785261102977088</v>
      </c>
      <c r="AB379" s="38"/>
      <c r="AE379" s="15">
        <v>3.3148148148148149E-2</v>
      </c>
      <c r="AF379" s="11">
        <f t="shared" si="167"/>
        <v>2864</v>
      </c>
      <c r="AG379" s="8">
        <v>2.0583</v>
      </c>
      <c r="AH379" s="8">
        <v>2.0415000000000001</v>
      </c>
      <c r="AI379" s="8">
        <v>2.0472999999999999</v>
      </c>
      <c r="AJ379" s="8">
        <v>2.0335000000000001</v>
      </c>
      <c r="AK379" s="8">
        <v>2.0365000000000002</v>
      </c>
      <c r="AL379" s="8">
        <v>2.0278999999999998</v>
      </c>
      <c r="AM379" s="8">
        <v>1.9601999999999999</v>
      </c>
      <c r="AN379" s="8">
        <v>1.9409000000000001</v>
      </c>
      <c r="AO379" s="8">
        <v>1.9088000000000001</v>
      </c>
      <c r="AP379" s="8">
        <v>1.9105000000000001</v>
      </c>
      <c r="AQ379" s="8">
        <v>1.9641</v>
      </c>
      <c r="AR379" s="8">
        <v>1.9539</v>
      </c>
      <c r="AS379" s="8">
        <v>2.0028999999999999</v>
      </c>
      <c r="AT379" s="8">
        <v>2.0015999999999998</v>
      </c>
      <c r="AU379" s="8">
        <v>2.0182000000000002</v>
      </c>
      <c r="AV379" s="8">
        <v>2.0133999999999999</v>
      </c>
      <c r="AW379" s="8">
        <v>2.0124</v>
      </c>
      <c r="AX379" s="8">
        <v>1.9996</v>
      </c>
      <c r="AY379" s="8">
        <v>1.9922</v>
      </c>
      <c r="AZ379" s="8">
        <v>1.988</v>
      </c>
      <c r="BA379" s="8">
        <v>1.9893000000000001</v>
      </c>
      <c r="BB379" s="8">
        <v>1.9875</v>
      </c>
      <c r="BC379" s="8">
        <v>1.9850000000000001</v>
      </c>
      <c r="BD379" s="8">
        <v>1.9533</v>
      </c>
    </row>
    <row r="380" spans="2:56" x14ac:dyDescent="0.3">
      <c r="B380" s="35">
        <f t="shared" si="142"/>
        <v>2872.0000000000005</v>
      </c>
      <c r="C380" s="39">
        <f t="shared" si="143"/>
        <v>22.078330893118572</v>
      </c>
      <c r="D380" s="39">
        <f t="shared" si="144"/>
        <v>23.181551976574028</v>
      </c>
      <c r="E380" s="39">
        <f t="shared" si="145"/>
        <v>28.388482186432512</v>
      </c>
      <c r="F380" s="39">
        <f t="shared" si="146"/>
        <v>29.93801854563198</v>
      </c>
      <c r="G380" s="39">
        <f t="shared" si="147"/>
        <v>33.365056124938995</v>
      </c>
      <c r="H380" s="39">
        <f t="shared" si="148"/>
        <v>35.035139092240136</v>
      </c>
      <c r="I380" s="39">
        <f t="shared" si="149"/>
        <v>59.834309419228944</v>
      </c>
      <c r="J380" s="40">
        <f t="shared" si="150"/>
        <v>70.724987798926193</v>
      </c>
      <c r="K380" s="39">
        <f t="shared" si="151"/>
        <v>78.857735480722297</v>
      </c>
      <c r="L380" s="39">
        <f t="shared" si="152"/>
        <v>85.559297218155194</v>
      </c>
      <c r="M380" s="39">
        <f t="shared" si="153"/>
        <v>59.461932650073116</v>
      </c>
      <c r="N380" s="39">
        <f t="shared" si="154"/>
        <v>45.015861395802709</v>
      </c>
      <c r="O380" s="39"/>
      <c r="P380" s="39">
        <f t="shared" si="155"/>
        <v>51.295510004880398</v>
      </c>
      <c r="Q380" s="39">
        <f t="shared" si="156"/>
        <v>49.522693997071634</v>
      </c>
      <c r="R380" s="39">
        <f t="shared" si="157"/>
        <v>48.97877013177154</v>
      </c>
      <c r="S380" s="39">
        <f t="shared" si="158"/>
        <v>48.015861395802773</v>
      </c>
      <c r="T380" s="39">
        <f t="shared" si="159"/>
        <v>51.149585163494542</v>
      </c>
      <c r="U380" s="39">
        <f t="shared" si="160"/>
        <v>42.034163006344549</v>
      </c>
      <c r="V380" s="39">
        <f t="shared" si="161"/>
        <v>54.648853099072831</v>
      </c>
      <c r="W380" s="39">
        <f t="shared" si="162"/>
        <v>56.901171303074577</v>
      </c>
      <c r="X380" s="39">
        <f t="shared" si="163"/>
        <v>51.79575402635453</v>
      </c>
      <c r="Y380" s="39">
        <f t="shared" si="164"/>
        <v>56.410932162030242</v>
      </c>
      <c r="Z380" s="39">
        <f t="shared" si="165"/>
        <v>58.864080039043444</v>
      </c>
      <c r="AA380" s="39">
        <f t="shared" si="166"/>
        <v>59.10200097608589</v>
      </c>
      <c r="AB380" s="38"/>
      <c r="AE380" s="15">
        <v>3.3240740740740744E-2</v>
      </c>
      <c r="AF380" s="11">
        <f t="shared" si="167"/>
        <v>2872.0000000000005</v>
      </c>
      <c r="AG380" s="8">
        <v>2.0590999999999999</v>
      </c>
      <c r="AH380" s="8">
        <v>2.0415999999999999</v>
      </c>
      <c r="AI380" s="8">
        <v>2.0482999999999998</v>
      </c>
      <c r="AJ380" s="8">
        <v>2.0329000000000002</v>
      </c>
      <c r="AK380" s="8">
        <v>2.0360999999999998</v>
      </c>
      <c r="AL380" s="8">
        <v>2.0266000000000002</v>
      </c>
      <c r="AM380" s="8">
        <v>1.9618</v>
      </c>
      <c r="AN380" s="8">
        <v>1.9396</v>
      </c>
      <c r="AO380" s="8">
        <v>1.9088000000000001</v>
      </c>
      <c r="AP380" s="8">
        <v>1.9094</v>
      </c>
      <c r="AQ380" s="8">
        <v>1.9630000000000001</v>
      </c>
      <c r="AR380" s="8">
        <v>1.9530000000000001</v>
      </c>
      <c r="AS380" s="8">
        <v>2.0036999999999998</v>
      </c>
      <c r="AT380" s="8">
        <v>2.0032000000000001</v>
      </c>
      <c r="AU380" s="8">
        <v>2.0186000000000002</v>
      </c>
      <c r="AV380" s="8">
        <v>2.0124</v>
      </c>
      <c r="AW380" s="8">
        <v>2.0101</v>
      </c>
      <c r="AX380" s="8">
        <v>1.9981</v>
      </c>
      <c r="AY380" s="8">
        <v>1.9927999999999999</v>
      </c>
      <c r="AZ380" s="8">
        <v>1.9883</v>
      </c>
      <c r="BA380" s="8">
        <v>1.9886999999999999</v>
      </c>
      <c r="BB380" s="8">
        <v>1.9895</v>
      </c>
      <c r="BC380" s="8">
        <v>1.9845999999999999</v>
      </c>
      <c r="BD380" s="8">
        <v>1.9547000000000001</v>
      </c>
    </row>
    <row r="381" spans="2:56" x14ac:dyDescent="0.3">
      <c r="B381" s="35">
        <f t="shared" si="142"/>
        <v>2880</v>
      </c>
      <c r="C381" s="39">
        <f t="shared" si="143"/>
        <v>22.029526598340532</v>
      </c>
      <c r="D381" s="39">
        <f t="shared" si="144"/>
        <v>23.523182040019464</v>
      </c>
      <c r="E381" s="39">
        <f t="shared" si="145"/>
        <v>27.851634943875119</v>
      </c>
      <c r="F381" s="39">
        <f t="shared" si="146"/>
        <v>29.498779892630672</v>
      </c>
      <c r="G381" s="39">
        <f t="shared" si="147"/>
        <v>33.755490483162475</v>
      </c>
      <c r="H381" s="39">
        <f t="shared" si="148"/>
        <v>34.498291849682964</v>
      </c>
      <c r="I381" s="39">
        <f t="shared" si="149"/>
        <v>60.127135187896556</v>
      </c>
      <c r="J381" s="40">
        <f t="shared" si="150"/>
        <v>70.969009272815867</v>
      </c>
      <c r="K381" s="39">
        <f t="shared" si="151"/>
        <v>79.248169838945884</v>
      </c>
      <c r="L381" s="39">
        <f t="shared" si="152"/>
        <v>86.340165934602268</v>
      </c>
      <c r="M381" s="39">
        <f t="shared" si="153"/>
        <v>59.26671547096138</v>
      </c>
      <c r="N381" s="39">
        <f t="shared" si="154"/>
        <v>45.894338701805651</v>
      </c>
      <c r="O381" s="39"/>
      <c r="P381" s="39">
        <f t="shared" si="155"/>
        <v>51.490727183992135</v>
      </c>
      <c r="Q381" s="39">
        <f t="shared" si="156"/>
        <v>50.108345534407071</v>
      </c>
      <c r="R381" s="39">
        <f t="shared" si="157"/>
        <v>48.685944363103921</v>
      </c>
      <c r="S381" s="39">
        <f t="shared" si="158"/>
        <v>48.699121522693858</v>
      </c>
      <c r="T381" s="39">
        <f t="shared" si="159"/>
        <v>50.515129331381281</v>
      </c>
      <c r="U381" s="39">
        <f t="shared" si="160"/>
        <v>42.375793069790099</v>
      </c>
      <c r="V381" s="39">
        <f t="shared" si="161"/>
        <v>54.160810151293369</v>
      </c>
      <c r="W381" s="39">
        <f t="shared" si="162"/>
        <v>56.461932650073059</v>
      </c>
      <c r="X381" s="39">
        <f t="shared" si="163"/>
        <v>52.967057101025084</v>
      </c>
      <c r="Y381" s="39">
        <f t="shared" si="164"/>
        <v>57.582235236700789</v>
      </c>
      <c r="Z381" s="39">
        <f t="shared" si="165"/>
        <v>58.327232796486044</v>
      </c>
      <c r="AA381" s="39">
        <f t="shared" si="166"/>
        <v>59.10200097608589</v>
      </c>
      <c r="AB381" s="38"/>
      <c r="AE381" s="15">
        <v>3.3333333333333333E-2</v>
      </c>
      <c r="AF381" s="11">
        <f t="shared" si="167"/>
        <v>2880</v>
      </c>
      <c r="AG381" s="8">
        <v>2.0592000000000001</v>
      </c>
      <c r="AH381" s="8">
        <v>2.0409000000000002</v>
      </c>
      <c r="AI381" s="8">
        <v>2.0493999999999999</v>
      </c>
      <c r="AJ381" s="8">
        <v>2.0337999999999998</v>
      </c>
      <c r="AK381" s="8">
        <v>2.0352999999999999</v>
      </c>
      <c r="AL381" s="8">
        <v>2.0276999999999998</v>
      </c>
      <c r="AM381" s="8">
        <v>1.9612000000000001</v>
      </c>
      <c r="AN381" s="8">
        <v>1.9391</v>
      </c>
      <c r="AO381" s="8">
        <v>1.9079999999999999</v>
      </c>
      <c r="AP381" s="8">
        <v>1.9077999999999999</v>
      </c>
      <c r="AQ381" s="8">
        <v>1.9634</v>
      </c>
      <c r="AR381" s="8">
        <v>1.9512</v>
      </c>
      <c r="AS381" s="8">
        <v>2.0032999999999999</v>
      </c>
      <c r="AT381" s="8">
        <v>2.0019999999999998</v>
      </c>
      <c r="AU381" s="8">
        <v>2.0192000000000001</v>
      </c>
      <c r="AV381" s="8">
        <v>2.0110000000000001</v>
      </c>
      <c r="AW381" s="8">
        <v>2.0114000000000001</v>
      </c>
      <c r="AX381" s="8">
        <v>1.9974000000000001</v>
      </c>
      <c r="AY381" s="8">
        <v>1.9938</v>
      </c>
      <c r="AZ381" s="8">
        <v>1.9892000000000001</v>
      </c>
      <c r="BA381" s="8">
        <v>1.9863</v>
      </c>
      <c r="BB381" s="8">
        <v>1.9871000000000001</v>
      </c>
      <c r="BC381" s="8">
        <v>1.9857</v>
      </c>
      <c r="BD381" s="8">
        <v>1.9547000000000001</v>
      </c>
    </row>
    <row r="382" spans="2:56" x14ac:dyDescent="0.3">
      <c r="B382" s="35">
        <f t="shared" si="142"/>
        <v>2888</v>
      </c>
      <c r="C382" s="39">
        <f t="shared" si="143"/>
        <v>22.029526598340532</v>
      </c>
      <c r="D382" s="39">
        <f t="shared" si="144"/>
        <v>23.425573450463595</v>
      </c>
      <c r="E382" s="39">
        <f t="shared" si="145"/>
        <v>29.120546608101431</v>
      </c>
      <c r="F382" s="39">
        <f t="shared" si="146"/>
        <v>29.303562713518932</v>
      </c>
      <c r="G382" s="39">
        <f t="shared" si="147"/>
        <v>33.755490483162475</v>
      </c>
      <c r="H382" s="39">
        <f t="shared" si="148"/>
        <v>34.937530502684268</v>
      </c>
      <c r="I382" s="39">
        <f t="shared" si="149"/>
        <v>59.492679355783402</v>
      </c>
      <c r="J382" s="40">
        <f t="shared" si="150"/>
        <v>71.408247925817392</v>
      </c>
      <c r="K382" s="39">
        <f t="shared" si="151"/>
        <v>79.34577842850176</v>
      </c>
      <c r="L382" s="39">
        <f t="shared" si="152"/>
        <v>85.559297218155194</v>
      </c>
      <c r="M382" s="39">
        <f t="shared" si="153"/>
        <v>60.535627135187795</v>
      </c>
      <c r="N382" s="39">
        <f t="shared" si="154"/>
        <v>44.820644216690965</v>
      </c>
      <c r="O382" s="39"/>
      <c r="P382" s="39">
        <f t="shared" si="155"/>
        <v>52.32040019521714</v>
      </c>
      <c r="Q382" s="39">
        <f t="shared" si="156"/>
        <v>50.157149829184903</v>
      </c>
      <c r="R382" s="39">
        <f t="shared" si="157"/>
        <v>49.466813079551109</v>
      </c>
      <c r="S382" s="39">
        <f t="shared" si="158"/>
        <v>47.332601268911681</v>
      </c>
      <c r="T382" s="39">
        <f t="shared" si="159"/>
        <v>51.54001952171803</v>
      </c>
      <c r="U382" s="39">
        <f t="shared" si="160"/>
        <v>42.278184480234231</v>
      </c>
      <c r="V382" s="39">
        <f t="shared" si="161"/>
        <v>54.99048316251838</v>
      </c>
      <c r="W382" s="39">
        <f t="shared" si="162"/>
        <v>57.047584187408383</v>
      </c>
      <c r="X382" s="39">
        <f t="shared" si="163"/>
        <v>52.527818448023552</v>
      </c>
      <c r="Y382" s="39">
        <f t="shared" si="164"/>
        <v>57.679843826256665</v>
      </c>
      <c r="Z382" s="39">
        <f t="shared" si="165"/>
        <v>58.815275744265506</v>
      </c>
      <c r="AA382" s="39">
        <f t="shared" si="166"/>
        <v>59.882869692532957</v>
      </c>
      <c r="AB382" s="38"/>
      <c r="AE382" s="15">
        <v>3.3425925925925921E-2</v>
      </c>
      <c r="AF382" s="11">
        <f t="shared" si="167"/>
        <v>2888</v>
      </c>
      <c r="AG382" s="8">
        <v>2.0592000000000001</v>
      </c>
      <c r="AH382" s="8">
        <v>2.0411000000000001</v>
      </c>
      <c r="AI382" s="8">
        <v>2.0468000000000002</v>
      </c>
      <c r="AJ382" s="8">
        <v>2.0341999999999998</v>
      </c>
      <c r="AK382" s="8">
        <v>2.0352999999999999</v>
      </c>
      <c r="AL382" s="8">
        <v>2.0268000000000002</v>
      </c>
      <c r="AM382" s="8">
        <v>1.9624999999999999</v>
      </c>
      <c r="AN382" s="8">
        <v>1.9381999999999999</v>
      </c>
      <c r="AO382" s="8">
        <v>1.9077999999999999</v>
      </c>
      <c r="AP382" s="8">
        <v>1.9094</v>
      </c>
      <c r="AQ382" s="8">
        <v>1.9608000000000001</v>
      </c>
      <c r="AR382" s="8">
        <v>1.9534</v>
      </c>
      <c r="AS382" s="8">
        <v>2.0015999999999998</v>
      </c>
      <c r="AT382" s="8">
        <v>2.0019</v>
      </c>
      <c r="AU382" s="8">
        <v>2.0175999999999998</v>
      </c>
      <c r="AV382" s="8">
        <v>2.0137999999999998</v>
      </c>
      <c r="AW382" s="8">
        <v>2.0093000000000001</v>
      </c>
      <c r="AX382" s="8">
        <v>1.9976</v>
      </c>
      <c r="AY382" s="8">
        <v>1.9921</v>
      </c>
      <c r="AZ382" s="8">
        <v>1.988</v>
      </c>
      <c r="BA382" s="8">
        <v>1.9872000000000001</v>
      </c>
      <c r="BB382" s="8">
        <v>1.9869000000000001</v>
      </c>
      <c r="BC382" s="8">
        <v>1.9846999999999999</v>
      </c>
      <c r="BD382" s="8">
        <v>1.9531000000000001</v>
      </c>
    </row>
    <row r="383" spans="2:56" x14ac:dyDescent="0.3">
      <c r="B383" s="35">
        <f t="shared" si="142"/>
        <v>2896</v>
      </c>
      <c r="C383" s="39">
        <f t="shared" si="143"/>
        <v>22.419960956564228</v>
      </c>
      <c r="D383" s="39">
        <f t="shared" si="144"/>
        <v>24.2552464616886</v>
      </c>
      <c r="E383" s="39">
        <f t="shared" si="145"/>
        <v>28.974133723767732</v>
      </c>
      <c r="F383" s="39">
        <f t="shared" si="146"/>
        <v>28.76671547096154</v>
      </c>
      <c r="G383" s="39">
        <f t="shared" si="147"/>
        <v>33.023426061493339</v>
      </c>
      <c r="H383" s="39">
        <f t="shared" si="148"/>
        <v>35.035139092240136</v>
      </c>
      <c r="I383" s="39">
        <f t="shared" si="149"/>
        <v>60.175939482674494</v>
      </c>
      <c r="J383" s="40">
        <f t="shared" si="150"/>
        <v>71.847486578818803</v>
      </c>
      <c r="K383" s="39">
        <f t="shared" si="151"/>
        <v>79.687408491947295</v>
      </c>
      <c r="L383" s="39">
        <f t="shared" si="152"/>
        <v>85.754514397266931</v>
      </c>
      <c r="M383" s="39">
        <f t="shared" si="153"/>
        <v>59.657149829184966</v>
      </c>
      <c r="N383" s="39">
        <f t="shared" si="154"/>
        <v>45.601512933138039</v>
      </c>
      <c r="O383" s="39"/>
      <c r="P383" s="39">
        <f t="shared" si="155"/>
        <v>51.588335773548003</v>
      </c>
      <c r="Q383" s="39">
        <f t="shared" si="156"/>
        <v>49.571498291849679</v>
      </c>
      <c r="R383" s="39">
        <f t="shared" si="157"/>
        <v>49.076378721327409</v>
      </c>
      <c r="S383" s="39">
        <f t="shared" si="158"/>
        <v>48.015861395802773</v>
      </c>
      <c r="T383" s="39">
        <f t="shared" si="159"/>
        <v>50.661542215715201</v>
      </c>
      <c r="U383" s="39">
        <f t="shared" si="160"/>
        <v>42.61981454367988</v>
      </c>
      <c r="V383" s="39">
        <f t="shared" si="161"/>
        <v>55.234504636408055</v>
      </c>
      <c r="W383" s="39">
        <f t="shared" si="162"/>
        <v>56.65714982918491</v>
      </c>
      <c r="X383" s="39">
        <f t="shared" si="163"/>
        <v>53.015861395803014</v>
      </c>
      <c r="Y383" s="39">
        <f t="shared" si="164"/>
        <v>57.582235236700789</v>
      </c>
      <c r="Z383" s="39">
        <f t="shared" si="165"/>
        <v>58.864080039043444</v>
      </c>
      <c r="AA383" s="39">
        <f t="shared" si="166"/>
        <v>60.858955588091767</v>
      </c>
      <c r="AB383" s="38"/>
      <c r="AE383" s="15">
        <v>3.3518518518518517E-2</v>
      </c>
      <c r="AF383" s="11">
        <f t="shared" si="167"/>
        <v>2896</v>
      </c>
      <c r="AG383" s="8">
        <v>2.0583999999999998</v>
      </c>
      <c r="AH383" s="8">
        <v>2.0394000000000001</v>
      </c>
      <c r="AI383" s="8">
        <v>2.0470999999999999</v>
      </c>
      <c r="AJ383" s="8">
        <v>2.0352999999999999</v>
      </c>
      <c r="AK383" s="8">
        <v>2.0367999999999999</v>
      </c>
      <c r="AL383" s="8">
        <v>2.0266000000000002</v>
      </c>
      <c r="AM383" s="8">
        <v>1.9611000000000001</v>
      </c>
      <c r="AN383" s="8">
        <v>1.9373</v>
      </c>
      <c r="AO383" s="8">
        <v>1.9071</v>
      </c>
      <c r="AP383" s="8">
        <v>1.909</v>
      </c>
      <c r="AQ383" s="8">
        <v>1.9625999999999999</v>
      </c>
      <c r="AR383" s="8">
        <v>1.9518</v>
      </c>
      <c r="AS383" s="8">
        <v>2.0030999999999999</v>
      </c>
      <c r="AT383" s="8">
        <v>2.0030999999999999</v>
      </c>
      <c r="AU383" s="8">
        <v>2.0184000000000002</v>
      </c>
      <c r="AV383" s="8">
        <v>2.0124</v>
      </c>
      <c r="AW383" s="8">
        <v>2.0110999999999999</v>
      </c>
      <c r="AX383" s="8">
        <v>1.9968999999999999</v>
      </c>
      <c r="AY383" s="8">
        <v>1.9916</v>
      </c>
      <c r="AZ383" s="8">
        <v>1.9887999999999999</v>
      </c>
      <c r="BA383" s="8">
        <v>1.9862</v>
      </c>
      <c r="BB383" s="8">
        <v>1.9871000000000001</v>
      </c>
      <c r="BC383" s="8">
        <v>1.9845999999999999</v>
      </c>
      <c r="BD383" s="8">
        <v>1.9511000000000001</v>
      </c>
    </row>
    <row r="384" spans="2:56" x14ac:dyDescent="0.3">
      <c r="B384" s="35">
        <f t="shared" si="142"/>
        <v>2904</v>
      </c>
      <c r="C384" s="39">
        <f t="shared" si="143"/>
        <v>23.347242557344888</v>
      </c>
      <c r="D384" s="39">
        <f t="shared" si="144"/>
        <v>24.06002928257686</v>
      </c>
      <c r="E384" s="39">
        <f t="shared" si="145"/>
        <v>29.02293801854556</v>
      </c>
      <c r="F384" s="39">
        <f t="shared" si="146"/>
        <v>29.645192776964368</v>
      </c>
      <c r="G384" s="39">
        <f t="shared" si="147"/>
        <v>33.413860419716826</v>
      </c>
      <c r="H384" s="39">
        <f t="shared" si="148"/>
        <v>34.498291849682964</v>
      </c>
      <c r="I384" s="39">
        <f t="shared" si="149"/>
        <v>60.419960956564275</v>
      </c>
      <c r="J384" s="40">
        <f t="shared" si="150"/>
        <v>71.261835041483579</v>
      </c>
      <c r="K384" s="39">
        <f t="shared" si="151"/>
        <v>80.663494387506105</v>
      </c>
      <c r="L384" s="39">
        <f t="shared" si="152"/>
        <v>85.90092728160073</v>
      </c>
      <c r="M384" s="39">
        <f t="shared" si="153"/>
        <v>60.291605661298121</v>
      </c>
      <c r="N384" s="39">
        <f t="shared" si="154"/>
        <v>45.06466569058064</v>
      </c>
      <c r="O384" s="39"/>
      <c r="P384" s="39">
        <f t="shared" si="155"/>
        <v>52.369204489994971</v>
      </c>
      <c r="Q384" s="39">
        <f t="shared" si="156"/>
        <v>49.961932650073166</v>
      </c>
      <c r="R384" s="39">
        <f t="shared" si="157"/>
        <v>49.466813079551109</v>
      </c>
      <c r="S384" s="39">
        <f t="shared" si="158"/>
        <v>47.918252806246905</v>
      </c>
      <c r="T384" s="39">
        <f t="shared" si="159"/>
        <v>50.319912152269545</v>
      </c>
      <c r="U384" s="39">
        <f t="shared" si="160"/>
        <v>42.717423133235748</v>
      </c>
      <c r="V384" s="39">
        <f t="shared" si="161"/>
        <v>55.527330405075659</v>
      </c>
      <c r="W384" s="39">
        <f t="shared" si="162"/>
        <v>56.461932650073059</v>
      </c>
      <c r="X384" s="39">
        <f t="shared" si="163"/>
        <v>52.18618838457801</v>
      </c>
      <c r="Y384" s="39">
        <f t="shared" si="164"/>
        <v>57.484626647144921</v>
      </c>
      <c r="Z384" s="39">
        <f t="shared" si="165"/>
        <v>58.717667154709531</v>
      </c>
      <c r="AA384" s="39">
        <f t="shared" si="166"/>
        <v>59.834065397755026</v>
      </c>
      <c r="AB384" s="38"/>
      <c r="AE384" s="15">
        <v>3.3611111111111112E-2</v>
      </c>
      <c r="AF384" s="11">
        <f t="shared" si="167"/>
        <v>2904</v>
      </c>
      <c r="AG384" s="8">
        <v>2.0565000000000002</v>
      </c>
      <c r="AH384" s="8">
        <v>2.0398000000000001</v>
      </c>
      <c r="AI384" s="8">
        <v>2.0470000000000002</v>
      </c>
      <c r="AJ384" s="8">
        <v>2.0335000000000001</v>
      </c>
      <c r="AK384" s="8">
        <v>2.036</v>
      </c>
      <c r="AL384" s="8">
        <v>2.0276999999999998</v>
      </c>
      <c r="AM384" s="8">
        <v>1.9605999999999999</v>
      </c>
      <c r="AN384" s="8">
        <v>1.9384999999999999</v>
      </c>
      <c r="AO384" s="8">
        <v>1.9051</v>
      </c>
      <c r="AP384" s="8">
        <v>1.9087000000000001</v>
      </c>
      <c r="AQ384" s="8">
        <v>1.9613</v>
      </c>
      <c r="AR384" s="8">
        <v>1.9529000000000001</v>
      </c>
      <c r="AS384" s="8">
        <v>2.0015000000000001</v>
      </c>
      <c r="AT384" s="8">
        <v>2.0023</v>
      </c>
      <c r="AU384" s="8">
        <v>2.0175999999999998</v>
      </c>
      <c r="AV384" s="8">
        <v>2.0125999999999999</v>
      </c>
      <c r="AW384" s="8">
        <v>2.0118</v>
      </c>
      <c r="AX384" s="8">
        <v>1.9966999999999999</v>
      </c>
      <c r="AY384" s="8">
        <v>1.9910000000000001</v>
      </c>
      <c r="AZ384" s="8">
        <v>1.9892000000000001</v>
      </c>
      <c r="BA384" s="8">
        <v>1.9879</v>
      </c>
      <c r="BB384" s="8">
        <v>1.9873000000000001</v>
      </c>
      <c r="BC384" s="8">
        <v>1.9849000000000001</v>
      </c>
      <c r="BD384" s="8">
        <v>1.9532</v>
      </c>
    </row>
    <row r="385" spans="2:56" x14ac:dyDescent="0.3">
      <c r="B385" s="35">
        <f t="shared" si="142"/>
        <v>2911.9999999999995</v>
      </c>
      <c r="C385" s="39">
        <f t="shared" si="143"/>
        <v>21.785505124450964</v>
      </c>
      <c r="D385" s="39">
        <f t="shared" si="144"/>
        <v>24.352855051244468</v>
      </c>
      <c r="E385" s="39">
        <f t="shared" si="145"/>
        <v>29.071742313323607</v>
      </c>
      <c r="F385" s="39">
        <f t="shared" si="146"/>
        <v>29.498779892630672</v>
      </c>
      <c r="G385" s="39">
        <f t="shared" si="147"/>
        <v>33.169838945827038</v>
      </c>
      <c r="H385" s="39">
        <f t="shared" si="148"/>
        <v>34.595900439238832</v>
      </c>
      <c r="I385" s="39">
        <f t="shared" si="149"/>
        <v>59.395070766227533</v>
      </c>
      <c r="J385" s="40">
        <f t="shared" si="150"/>
        <v>71.408247925817392</v>
      </c>
      <c r="K385" s="39">
        <f t="shared" si="151"/>
        <v>80.663494387506105</v>
      </c>
      <c r="L385" s="39">
        <f t="shared" si="152"/>
        <v>85.364080039043458</v>
      </c>
      <c r="M385" s="39">
        <f t="shared" si="153"/>
        <v>59.608345534407029</v>
      </c>
      <c r="N385" s="39">
        <f t="shared" si="154"/>
        <v>45.211078574914559</v>
      </c>
      <c r="O385" s="39"/>
      <c r="P385" s="39">
        <f t="shared" si="155"/>
        <v>52.808443142996495</v>
      </c>
      <c r="Q385" s="39">
        <f t="shared" si="156"/>
        <v>49.913128355295115</v>
      </c>
      <c r="R385" s="39">
        <f t="shared" si="157"/>
        <v>48.97877013177154</v>
      </c>
      <c r="S385" s="39">
        <f t="shared" si="158"/>
        <v>48.943142996583646</v>
      </c>
      <c r="T385" s="39">
        <f t="shared" si="159"/>
        <v>51.003172279160637</v>
      </c>
      <c r="U385" s="39">
        <f t="shared" si="160"/>
        <v>41.985358711566612</v>
      </c>
      <c r="V385" s="39">
        <f t="shared" si="161"/>
        <v>54.551244509516849</v>
      </c>
      <c r="W385" s="39">
        <f t="shared" si="162"/>
        <v>56.559541239628928</v>
      </c>
      <c r="X385" s="39">
        <f t="shared" si="163"/>
        <v>51.990971205466273</v>
      </c>
      <c r="Y385" s="39">
        <f t="shared" si="164"/>
        <v>56.947779404587635</v>
      </c>
      <c r="Z385" s="39">
        <f t="shared" si="165"/>
        <v>59.498535871156598</v>
      </c>
      <c r="AA385" s="39">
        <f t="shared" si="166"/>
        <v>59.931673987310894</v>
      </c>
      <c r="AB385" s="38"/>
      <c r="AE385" s="15">
        <v>3.3703703703703701E-2</v>
      </c>
      <c r="AF385" s="11">
        <f t="shared" si="167"/>
        <v>2911.9999999999995</v>
      </c>
      <c r="AG385" s="8">
        <v>2.0596999999999999</v>
      </c>
      <c r="AH385" s="8">
        <v>2.0392000000000001</v>
      </c>
      <c r="AI385" s="8">
        <v>2.0468999999999999</v>
      </c>
      <c r="AJ385" s="8">
        <v>2.0337999999999998</v>
      </c>
      <c r="AK385" s="8">
        <v>2.0365000000000002</v>
      </c>
      <c r="AL385" s="8">
        <v>2.0274999999999999</v>
      </c>
      <c r="AM385" s="8">
        <v>1.9626999999999999</v>
      </c>
      <c r="AN385" s="8">
        <v>1.9381999999999999</v>
      </c>
      <c r="AO385" s="8">
        <v>1.9051</v>
      </c>
      <c r="AP385" s="8">
        <v>1.9097999999999999</v>
      </c>
      <c r="AQ385" s="8">
        <v>1.9626999999999999</v>
      </c>
      <c r="AR385" s="8">
        <v>1.9525999999999999</v>
      </c>
      <c r="AS385" s="8">
        <v>2.0005999999999999</v>
      </c>
      <c r="AT385" s="8">
        <v>2.0024000000000002</v>
      </c>
      <c r="AU385" s="8">
        <v>2.0186000000000002</v>
      </c>
      <c r="AV385" s="8">
        <v>2.0105</v>
      </c>
      <c r="AW385" s="8">
        <v>2.0104000000000002</v>
      </c>
      <c r="AX385" s="8">
        <v>1.9982</v>
      </c>
      <c r="AY385" s="8">
        <v>1.9930000000000001</v>
      </c>
      <c r="AZ385" s="8">
        <v>1.9890000000000001</v>
      </c>
      <c r="BA385" s="8">
        <v>1.9883</v>
      </c>
      <c r="BB385" s="8">
        <v>1.9883999999999999</v>
      </c>
      <c r="BC385" s="8">
        <v>1.9833000000000001</v>
      </c>
      <c r="BD385" s="8">
        <v>1.9530000000000001</v>
      </c>
    </row>
    <row r="386" spans="2:56" x14ac:dyDescent="0.3">
      <c r="B386" s="35">
        <f t="shared" si="142"/>
        <v>2920</v>
      </c>
      <c r="C386" s="39">
        <f t="shared" si="143"/>
        <v>22.615178135675968</v>
      </c>
      <c r="D386" s="39">
        <f t="shared" si="144"/>
        <v>23.376769155685764</v>
      </c>
      <c r="E386" s="39">
        <f t="shared" si="145"/>
        <v>29.315763787213172</v>
      </c>
      <c r="F386" s="39">
        <f t="shared" si="146"/>
        <v>29.303562713518932</v>
      </c>
      <c r="G386" s="39">
        <f t="shared" si="147"/>
        <v>32.632991703269866</v>
      </c>
      <c r="H386" s="39">
        <f t="shared" si="148"/>
        <v>34.595900439238832</v>
      </c>
      <c r="I386" s="39">
        <f t="shared" si="149"/>
        <v>59.687896534895145</v>
      </c>
      <c r="J386" s="40">
        <f t="shared" si="150"/>
        <v>69.992923377257057</v>
      </c>
      <c r="K386" s="39">
        <f t="shared" si="151"/>
        <v>80.077842850170782</v>
      </c>
      <c r="L386" s="39">
        <f t="shared" si="152"/>
        <v>85.266471449487582</v>
      </c>
      <c r="M386" s="39">
        <f t="shared" si="153"/>
        <v>59.510736944851054</v>
      </c>
      <c r="N386" s="39">
        <f t="shared" si="154"/>
        <v>45.357491459248365</v>
      </c>
      <c r="O386" s="39"/>
      <c r="P386" s="39">
        <f t="shared" si="155"/>
        <v>52.125183016105403</v>
      </c>
      <c r="Q386" s="39">
        <f t="shared" si="156"/>
        <v>49.864324060517291</v>
      </c>
      <c r="R386" s="39">
        <f t="shared" si="157"/>
        <v>49.466813079551109</v>
      </c>
      <c r="S386" s="39">
        <f t="shared" si="158"/>
        <v>47.576622742801248</v>
      </c>
      <c r="T386" s="39">
        <f t="shared" si="159"/>
        <v>51.149585163494542</v>
      </c>
      <c r="U386" s="39">
        <f t="shared" si="160"/>
        <v>42.08296730112248</v>
      </c>
      <c r="V386" s="39">
        <f t="shared" si="161"/>
        <v>55.136896046852179</v>
      </c>
      <c r="W386" s="39">
        <f t="shared" si="162"/>
        <v>56.803562713518708</v>
      </c>
      <c r="X386" s="39">
        <f t="shared" si="163"/>
        <v>52.283796974133878</v>
      </c>
      <c r="Y386" s="39">
        <f t="shared" si="164"/>
        <v>57.582235236700789</v>
      </c>
      <c r="Z386" s="39">
        <f t="shared" si="165"/>
        <v>58.912884333821374</v>
      </c>
      <c r="AA386" s="39">
        <f t="shared" si="166"/>
        <v>59.68765251342122</v>
      </c>
      <c r="AB386" s="38"/>
      <c r="AE386" s="15">
        <v>3.3796296296296297E-2</v>
      </c>
      <c r="AF386" s="11">
        <f t="shared" si="167"/>
        <v>2920</v>
      </c>
      <c r="AG386" s="8">
        <v>2.0579999999999998</v>
      </c>
      <c r="AH386" s="8">
        <v>2.0411999999999999</v>
      </c>
      <c r="AI386" s="8">
        <v>2.0464000000000002</v>
      </c>
      <c r="AJ386" s="8">
        <v>2.0341999999999998</v>
      </c>
      <c r="AK386" s="8">
        <v>2.0375999999999999</v>
      </c>
      <c r="AL386" s="8">
        <v>2.0274999999999999</v>
      </c>
      <c r="AM386" s="8">
        <v>1.9621</v>
      </c>
      <c r="AN386" s="8">
        <v>1.9411</v>
      </c>
      <c r="AO386" s="8">
        <v>1.9063000000000001</v>
      </c>
      <c r="AP386" s="8">
        <v>1.91</v>
      </c>
      <c r="AQ386" s="8">
        <v>1.9629000000000001</v>
      </c>
      <c r="AR386" s="8">
        <v>1.9522999999999999</v>
      </c>
      <c r="AS386" s="8">
        <v>2.0019999999999998</v>
      </c>
      <c r="AT386" s="8">
        <v>2.0024999999999999</v>
      </c>
      <c r="AU386" s="8">
        <v>2.0175999999999998</v>
      </c>
      <c r="AV386" s="8">
        <v>2.0133000000000001</v>
      </c>
      <c r="AW386" s="8">
        <v>2.0101</v>
      </c>
      <c r="AX386" s="8">
        <v>1.998</v>
      </c>
      <c r="AY386" s="8">
        <v>1.9918</v>
      </c>
      <c r="AZ386" s="8">
        <v>1.9884999999999999</v>
      </c>
      <c r="BA386" s="8">
        <v>1.9877</v>
      </c>
      <c r="BB386" s="8">
        <v>1.9871000000000001</v>
      </c>
      <c r="BC386" s="8">
        <v>1.9844999999999999</v>
      </c>
      <c r="BD386" s="8">
        <v>1.9535</v>
      </c>
    </row>
    <row r="387" spans="2:56" x14ac:dyDescent="0.3">
      <c r="B387" s="35">
        <f t="shared" si="142"/>
        <v>2928</v>
      </c>
      <c r="C387" s="39">
        <f t="shared" si="143"/>
        <v>21.834309419228788</v>
      </c>
      <c r="D387" s="39">
        <f t="shared" si="144"/>
        <v>23.474377745241636</v>
      </c>
      <c r="E387" s="39">
        <f t="shared" si="145"/>
        <v>29.852611029770564</v>
      </c>
      <c r="F387" s="39">
        <f t="shared" si="146"/>
        <v>29.254758418740888</v>
      </c>
      <c r="G387" s="39">
        <f t="shared" si="147"/>
        <v>32.68179599804769</v>
      </c>
      <c r="H387" s="39">
        <f t="shared" si="148"/>
        <v>34.400683260127089</v>
      </c>
      <c r="I387" s="39">
        <f t="shared" si="149"/>
        <v>60.175939482674494</v>
      </c>
      <c r="J387" s="40">
        <f t="shared" si="150"/>
        <v>70.969009272815867</v>
      </c>
      <c r="K387" s="39">
        <f t="shared" si="151"/>
        <v>79.736212786725233</v>
      </c>
      <c r="L387" s="39">
        <f t="shared" si="152"/>
        <v>85.412884333821395</v>
      </c>
      <c r="M387" s="39">
        <f t="shared" si="153"/>
        <v>59.754758418740842</v>
      </c>
      <c r="N387" s="39">
        <f t="shared" si="154"/>
        <v>43.990971205465961</v>
      </c>
      <c r="O387" s="39"/>
      <c r="P387" s="39">
        <f t="shared" si="155"/>
        <v>52.125183016105403</v>
      </c>
      <c r="Q387" s="39">
        <f t="shared" si="156"/>
        <v>49.815519765739246</v>
      </c>
      <c r="R387" s="39">
        <f t="shared" si="157"/>
        <v>49.173987310883277</v>
      </c>
      <c r="S387" s="39">
        <f t="shared" si="158"/>
        <v>48.943142996583646</v>
      </c>
      <c r="T387" s="39">
        <f t="shared" si="159"/>
        <v>51.100780868716505</v>
      </c>
      <c r="U387" s="39">
        <f t="shared" si="160"/>
        <v>42.571010248901835</v>
      </c>
      <c r="V387" s="39">
        <f t="shared" si="161"/>
        <v>54.551244509516849</v>
      </c>
      <c r="W387" s="39">
        <f t="shared" si="162"/>
        <v>57.486822840409801</v>
      </c>
      <c r="X387" s="39">
        <f t="shared" si="163"/>
        <v>53.064665690580952</v>
      </c>
      <c r="Y387" s="39">
        <f t="shared" si="164"/>
        <v>57.826256710590577</v>
      </c>
      <c r="Z387" s="39">
        <f t="shared" si="165"/>
        <v>59.254514397266924</v>
      </c>
      <c r="AA387" s="39">
        <f t="shared" si="166"/>
        <v>60.370912640312419</v>
      </c>
      <c r="AB387" s="38"/>
      <c r="AE387" s="15">
        <v>3.3888888888888885E-2</v>
      </c>
      <c r="AF387" s="11">
        <f t="shared" si="167"/>
        <v>2928</v>
      </c>
      <c r="AG387" s="8">
        <v>2.0596000000000001</v>
      </c>
      <c r="AH387" s="8">
        <v>2.0409999999999999</v>
      </c>
      <c r="AI387" s="8">
        <v>2.0453000000000001</v>
      </c>
      <c r="AJ387" s="8">
        <v>2.0343</v>
      </c>
      <c r="AK387" s="8">
        <v>2.0375000000000001</v>
      </c>
      <c r="AL387" s="8">
        <v>2.0278999999999998</v>
      </c>
      <c r="AM387" s="8">
        <v>1.9611000000000001</v>
      </c>
      <c r="AN387" s="8">
        <v>1.9391</v>
      </c>
      <c r="AO387" s="8">
        <v>1.907</v>
      </c>
      <c r="AP387" s="8">
        <v>1.9097</v>
      </c>
      <c r="AQ387" s="8">
        <v>1.9623999999999999</v>
      </c>
      <c r="AR387" s="8">
        <v>1.9551000000000001</v>
      </c>
      <c r="AS387" s="8">
        <v>2.0019999999999998</v>
      </c>
      <c r="AT387" s="8">
        <v>2.0026000000000002</v>
      </c>
      <c r="AU387" s="8">
        <v>2.0182000000000002</v>
      </c>
      <c r="AV387" s="8">
        <v>2.0105</v>
      </c>
      <c r="AW387" s="8">
        <v>2.0102000000000002</v>
      </c>
      <c r="AX387" s="8">
        <v>1.9970000000000001</v>
      </c>
      <c r="AY387" s="8">
        <v>1.9930000000000001</v>
      </c>
      <c r="AZ387" s="8">
        <v>1.9871000000000001</v>
      </c>
      <c r="BA387" s="8">
        <v>1.9861</v>
      </c>
      <c r="BB387" s="8">
        <v>1.9865999999999999</v>
      </c>
      <c r="BC387" s="8">
        <v>1.9838</v>
      </c>
      <c r="BD387" s="8">
        <v>1.9520999999999999</v>
      </c>
    </row>
    <row r="388" spans="2:56" x14ac:dyDescent="0.3">
      <c r="B388" s="35">
        <f t="shared" si="142"/>
        <v>2936</v>
      </c>
      <c r="C388" s="39">
        <f t="shared" si="143"/>
        <v>21.883113714006836</v>
      </c>
      <c r="D388" s="39">
        <f t="shared" si="144"/>
        <v>23.669594924353376</v>
      </c>
      <c r="E388" s="39">
        <f t="shared" si="145"/>
        <v>28.778916544655996</v>
      </c>
      <c r="F388" s="39">
        <f t="shared" si="146"/>
        <v>28.913128355295232</v>
      </c>
      <c r="G388" s="39">
        <f t="shared" si="147"/>
        <v>33.121034651049222</v>
      </c>
      <c r="H388" s="39">
        <f t="shared" si="148"/>
        <v>34.693509028794701</v>
      </c>
      <c r="I388" s="39">
        <f t="shared" si="149"/>
        <v>60.37115666178623</v>
      </c>
      <c r="J388" s="40">
        <f t="shared" si="150"/>
        <v>71.45705222059533</v>
      </c>
      <c r="K388" s="39">
        <f t="shared" si="151"/>
        <v>80.370668618838494</v>
      </c>
      <c r="L388" s="39">
        <f t="shared" si="152"/>
        <v>85.217667154709645</v>
      </c>
      <c r="M388" s="39">
        <f t="shared" si="153"/>
        <v>60.193997071742253</v>
      </c>
      <c r="N388" s="39">
        <f t="shared" si="154"/>
        <v>44.576622742801291</v>
      </c>
      <c r="O388" s="39"/>
      <c r="P388" s="39">
        <f t="shared" si="155"/>
        <v>51.832357247437571</v>
      </c>
      <c r="Q388" s="39">
        <f t="shared" si="156"/>
        <v>50.645192776964251</v>
      </c>
      <c r="R388" s="39">
        <f t="shared" si="157"/>
        <v>48.929965836993709</v>
      </c>
      <c r="S388" s="39">
        <f t="shared" si="158"/>
        <v>48.60151293313799</v>
      </c>
      <c r="T388" s="39">
        <f t="shared" si="159"/>
        <v>51.198389458272594</v>
      </c>
      <c r="U388" s="39">
        <f t="shared" si="160"/>
        <v>43.205466081015103</v>
      </c>
      <c r="V388" s="39">
        <f t="shared" si="161"/>
        <v>55.527330405075659</v>
      </c>
      <c r="W388" s="39">
        <f t="shared" si="162"/>
        <v>57.633235724743713</v>
      </c>
      <c r="X388" s="39">
        <f t="shared" si="163"/>
        <v>52.283796974133878</v>
      </c>
      <c r="Y388" s="39">
        <f t="shared" si="164"/>
        <v>58.216691068814058</v>
      </c>
      <c r="Z388" s="39">
        <f t="shared" si="165"/>
        <v>59.156905807711048</v>
      </c>
      <c r="AA388" s="39">
        <f t="shared" si="166"/>
        <v>59.492435334309477</v>
      </c>
      <c r="AB388" s="38"/>
      <c r="AE388" s="15">
        <v>3.3981481481481481E-2</v>
      </c>
      <c r="AF388" s="11">
        <f t="shared" si="167"/>
        <v>2936</v>
      </c>
      <c r="AG388" s="8">
        <v>2.0594999999999999</v>
      </c>
      <c r="AH388" s="8">
        <v>2.0406</v>
      </c>
      <c r="AI388" s="8">
        <v>2.0474999999999999</v>
      </c>
      <c r="AJ388" s="8">
        <v>2.0350000000000001</v>
      </c>
      <c r="AK388" s="8">
        <v>2.0366</v>
      </c>
      <c r="AL388" s="8">
        <v>2.0272999999999999</v>
      </c>
      <c r="AM388" s="8">
        <v>1.9607000000000001</v>
      </c>
      <c r="AN388" s="8">
        <v>1.9380999999999999</v>
      </c>
      <c r="AO388" s="8">
        <v>1.9056999999999999</v>
      </c>
      <c r="AP388" s="8">
        <v>1.9100999999999999</v>
      </c>
      <c r="AQ388" s="8">
        <v>1.9615</v>
      </c>
      <c r="AR388" s="8">
        <v>1.9539</v>
      </c>
      <c r="AS388" s="8">
        <v>2.0026000000000002</v>
      </c>
      <c r="AT388" s="8">
        <v>2.0009000000000001</v>
      </c>
      <c r="AU388" s="8">
        <v>2.0186999999999999</v>
      </c>
      <c r="AV388" s="8">
        <v>2.0112000000000001</v>
      </c>
      <c r="AW388" s="8">
        <v>2.0099999999999998</v>
      </c>
      <c r="AX388" s="8">
        <v>1.9957</v>
      </c>
      <c r="AY388" s="8">
        <v>1.9910000000000001</v>
      </c>
      <c r="AZ388" s="8">
        <v>1.9867999999999999</v>
      </c>
      <c r="BA388" s="8">
        <v>1.9877</v>
      </c>
      <c r="BB388" s="8">
        <v>1.9858</v>
      </c>
      <c r="BC388" s="8">
        <v>1.984</v>
      </c>
      <c r="BD388" s="8">
        <v>1.9539</v>
      </c>
    </row>
    <row r="389" spans="2:56" x14ac:dyDescent="0.3">
      <c r="B389" s="35">
        <f t="shared" si="142"/>
        <v>2944</v>
      </c>
      <c r="C389" s="39">
        <f t="shared" si="143"/>
        <v>22.273548072230316</v>
      </c>
      <c r="D389" s="39">
        <f t="shared" si="144"/>
        <v>24.011224987799032</v>
      </c>
      <c r="E389" s="39">
        <f t="shared" si="145"/>
        <v>29.169350902879476</v>
      </c>
      <c r="F389" s="39">
        <f t="shared" si="146"/>
        <v>29.74280136652024</v>
      </c>
      <c r="G389" s="39">
        <f t="shared" si="147"/>
        <v>33.07223035627117</v>
      </c>
      <c r="H389" s="39">
        <f t="shared" si="148"/>
        <v>34.30307467057122</v>
      </c>
      <c r="I389" s="39">
        <f t="shared" si="149"/>
        <v>60.663982430453949</v>
      </c>
      <c r="J389" s="40">
        <f t="shared" si="150"/>
        <v>70.92020497803793</v>
      </c>
      <c r="K389" s="39">
        <f t="shared" si="151"/>
        <v>80.761102977061981</v>
      </c>
      <c r="L389" s="39">
        <f t="shared" si="152"/>
        <v>85.461688628599319</v>
      </c>
      <c r="M389" s="39">
        <f t="shared" si="153"/>
        <v>59.901171303074648</v>
      </c>
      <c r="N389" s="39">
        <f t="shared" si="154"/>
        <v>45.015861395802709</v>
      </c>
      <c r="O389" s="39"/>
      <c r="P389" s="39">
        <f t="shared" si="155"/>
        <v>51.783552952659747</v>
      </c>
      <c r="Q389" s="39">
        <f t="shared" si="156"/>
        <v>50.840409956075995</v>
      </c>
      <c r="R389" s="39">
        <f t="shared" si="157"/>
        <v>49.857247437774582</v>
      </c>
      <c r="S389" s="39">
        <f t="shared" si="158"/>
        <v>48.406295754026253</v>
      </c>
      <c r="T389" s="39">
        <f t="shared" si="159"/>
        <v>51.588823816496074</v>
      </c>
      <c r="U389" s="39">
        <f t="shared" si="160"/>
        <v>43.01024890190336</v>
      </c>
      <c r="V389" s="39">
        <f t="shared" si="161"/>
        <v>55.088091752074249</v>
      </c>
      <c r="W389" s="39">
        <f t="shared" si="162"/>
        <v>56.901171303074577</v>
      </c>
      <c r="X389" s="39">
        <f t="shared" si="163"/>
        <v>52.869448511469209</v>
      </c>
      <c r="Y389" s="39">
        <f t="shared" si="164"/>
        <v>57.338213762811115</v>
      </c>
      <c r="Z389" s="39">
        <f t="shared" si="165"/>
        <v>59.108101512933111</v>
      </c>
      <c r="AA389" s="39">
        <f t="shared" si="166"/>
        <v>60.126891166422737</v>
      </c>
      <c r="AB389" s="38"/>
      <c r="AE389" s="15">
        <v>3.4074074074074076E-2</v>
      </c>
      <c r="AF389" s="11">
        <f t="shared" si="167"/>
        <v>2944</v>
      </c>
      <c r="AG389" s="8">
        <v>2.0587</v>
      </c>
      <c r="AH389" s="8">
        <v>2.0398999999999998</v>
      </c>
      <c r="AI389" s="8">
        <v>2.0467</v>
      </c>
      <c r="AJ389" s="8">
        <v>2.0333000000000001</v>
      </c>
      <c r="AK389" s="8">
        <v>2.0367000000000002</v>
      </c>
      <c r="AL389" s="8">
        <v>2.0280999999999998</v>
      </c>
      <c r="AM389" s="8">
        <v>1.9601</v>
      </c>
      <c r="AN389" s="8">
        <v>1.9392</v>
      </c>
      <c r="AO389" s="8">
        <v>1.9049</v>
      </c>
      <c r="AP389" s="8">
        <v>1.9096</v>
      </c>
      <c r="AQ389" s="8">
        <v>1.9621</v>
      </c>
      <c r="AR389" s="8">
        <v>1.9530000000000001</v>
      </c>
      <c r="AS389" s="8">
        <v>2.0026999999999999</v>
      </c>
      <c r="AT389" s="8">
        <v>2.0005000000000002</v>
      </c>
      <c r="AU389" s="8">
        <v>2.0167999999999999</v>
      </c>
      <c r="AV389" s="8">
        <v>2.0116000000000001</v>
      </c>
      <c r="AW389" s="8">
        <v>2.0091999999999999</v>
      </c>
      <c r="AX389" s="8">
        <v>1.9961</v>
      </c>
      <c r="AY389" s="8">
        <v>1.9919</v>
      </c>
      <c r="AZ389" s="8">
        <v>1.9883</v>
      </c>
      <c r="BA389" s="8">
        <v>1.9864999999999999</v>
      </c>
      <c r="BB389" s="8">
        <v>1.9876</v>
      </c>
      <c r="BC389" s="8">
        <v>1.9841</v>
      </c>
      <c r="BD389" s="8">
        <v>1.9525999999999999</v>
      </c>
    </row>
    <row r="390" spans="2:56" x14ac:dyDescent="0.3">
      <c r="B390" s="35">
        <f t="shared" si="142"/>
        <v>2952</v>
      </c>
      <c r="C390" s="39">
        <f t="shared" si="143"/>
        <v>22.419960956564228</v>
      </c>
      <c r="D390" s="39">
        <f t="shared" si="144"/>
        <v>23.864812103465116</v>
      </c>
      <c r="E390" s="39">
        <f t="shared" si="145"/>
        <v>29.510980966325128</v>
      </c>
      <c r="F390" s="39">
        <f t="shared" si="146"/>
        <v>29.449975597852628</v>
      </c>
      <c r="G390" s="39">
        <f t="shared" si="147"/>
        <v>32.877013177159434</v>
      </c>
      <c r="H390" s="39">
        <f t="shared" si="148"/>
        <v>34.547096144460788</v>
      </c>
      <c r="I390" s="39">
        <f t="shared" si="149"/>
        <v>59.883113714006882</v>
      </c>
      <c r="J390" s="40">
        <f t="shared" si="150"/>
        <v>71.213030746705542</v>
      </c>
      <c r="K390" s="39">
        <f t="shared" si="151"/>
        <v>80.712298682284043</v>
      </c>
      <c r="L390" s="39">
        <f t="shared" si="152"/>
        <v>84.729624206930183</v>
      </c>
      <c r="M390" s="39">
        <f t="shared" si="153"/>
        <v>60.340409956076059</v>
      </c>
      <c r="N390" s="39">
        <f t="shared" si="154"/>
        <v>45.65031722791597</v>
      </c>
      <c r="O390" s="39"/>
      <c r="P390" s="39">
        <f t="shared" si="155"/>
        <v>52.222791605661271</v>
      </c>
      <c r="Q390" s="39">
        <f t="shared" si="156"/>
        <v>49.961932650073166</v>
      </c>
      <c r="R390" s="39">
        <f t="shared" si="157"/>
        <v>50.442898975109806</v>
      </c>
      <c r="S390" s="39">
        <f t="shared" si="158"/>
        <v>49.138360175695382</v>
      </c>
      <c r="T390" s="39">
        <f t="shared" si="159"/>
        <v>51.588823816496074</v>
      </c>
      <c r="U390" s="39">
        <f t="shared" si="160"/>
        <v>42.473401659345967</v>
      </c>
      <c r="V390" s="39">
        <f t="shared" si="161"/>
        <v>54.453635919960981</v>
      </c>
      <c r="W390" s="39">
        <f t="shared" si="162"/>
        <v>57.584431429965676</v>
      </c>
      <c r="X390" s="39">
        <f t="shared" si="163"/>
        <v>53.357491459248557</v>
      </c>
      <c r="Y390" s="39">
        <f t="shared" si="164"/>
        <v>58.460712542703732</v>
      </c>
      <c r="Z390" s="39">
        <f t="shared" si="165"/>
        <v>58.815275744265506</v>
      </c>
      <c r="AA390" s="39">
        <f t="shared" si="166"/>
        <v>60.614934114202093</v>
      </c>
      <c r="AB390" s="38"/>
      <c r="AE390" s="15">
        <v>3.4166666666666672E-2</v>
      </c>
      <c r="AF390" s="11">
        <f t="shared" si="167"/>
        <v>2952</v>
      </c>
      <c r="AG390" s="8">
        <v>2.0583999999999998</v>
      </c>
      <c r="AH390" s="8">
        <v>2.0402</v>
      </c>
      <c r="AI390" s="8">
        <v>2.0459999999999998</v>
      </c>
      <c r="AJ390" s="8">
        <v>2.0339</v>
      </c>
      <c r="AK390" s="8">
        <v>2.0371000000000001</v>
      </c>
      <c r="AL390" s="8">
        <v>2.0276000000000001</v>
      </c>
      <c r="AM390" s="8">
        <v>1.9617</v>
      </c>
      <c r="AN390" s="8">
        <v>1.9386000000000001</v>
      </c>
      <c r="AO390" s="8">
        <v>1.905</v>
      </c>
      <c r="AP390" s="8">
        <v>1.9111</v>
      </c>
      <c r="AQ390" s="8">
        <v>1.9612000000000001</v>
      </c>
      <c r="AR390" s="8">
        <v>1.9517</v>
      </c>
      <c r="AS390" s="8">
        <v>2.0017999999999998</v>
      </c>
      <c r="AT390" s="8">
        <v>2.0023</v>
      </c>
      <c r="AU390" s="8">
        <v>2.0156000000000001</v>
      </c>
      <c r="AV390" s="8">
        <v>2.0101</v>
      </c>
      <c r="AW390" s="8">
        <v>2.0091999999999999</v>
      </c>
      <c r="AX390" s="8">
        <v>1.9972000000000001</v>
      </c>
      <c r="AY390" s="8">
        <v>1.9932000000000001</v>
      </c>
      <c r="AZ390" s="8">
        <v>1.9869000000000001</v>
      </c>
      <c r="BA390" s="8">
        <v>1.9855</v>
      </c>
      <c r="BB390" s="8">
        <v>1.9853000000000001</v>
      </c>
      <c r="BC390" s="8">
        <v>1.9846999999999999</v>
      </c>
      <c r="BD390" s="8">
        <v>1.9516</v>
      </c>
    </row>
    <row r="391" spans="2:56" x14ac:dyDescent="0.3">
      <c r="B391" s="35">
        <f t="shared" si="142"/>
        <v>2959.9999999999995</v>
      </c>
      <c r="C391" s="39">
        <f t="shared" si="143"/>
        <v>21.199853587115527</v>
      </c>
      <c r="D391" s="39">
        <f t="shared" si="144"/>
        <v>23.425573450463595</v>
      </c>
      <c r="E391" s="39">
        <f t="shared" si="145"/>
        <v>29.02293801854556</v>
      </c>
      <c r="F391" s="39">
        <f t="shared" si="146"/>
        <v>30.084431429965893</v>
      </c>
      <c r="G391" s="39">
        <f t="shared" si="147"/>
        <v>33.121034651049222</v>
      </c>
      <c r="H391" s="39">
        <f t="shared" si="148"/>
        <v>33.961444607125564</v>
      </c>
      <c r="I391" s="39">
        <f t="shared" si="149"/>
        <v>59.834309419228944</v>
      </c>
      <c r="J391" s="40">
        <f t="shared" si="150"/>
        <v>70.432162030258567</v>
      </c>
      <c r="K391" s="39">
        <f t="shared" si="151"/>
        <v>80.90751586139578</v>
      </c>
      <c r="L391" s="39">
        <f t="shared" si="152"/>
        <v>86.047340165934543</v>
      </c>
      <c r="M391" s="39">
        <f t="shared" si="153"/>
        <v>60.145192776964322</v>
      </c>
      <c r="N391" s="39">
        <f t="shared" si="154"/>
        <v>45.113469985358577</v>
      </c>
      <c r="O391" s="39"/>
      <c r="P391" s="39">
        <f t="shared" si="155"/>
        <v>52.076378721327359</v>
      </c>
      <c r="Q391" s="39">
        <f t="shared" si="156"/>
        <v>50.645192776964251</v>
      </c>
      <c r="R391" s="39">
        <f t="shared" si="157"/>
        <v>49.95485602733045</v>
      </c>
      <c r="S391" s="39">
        <f t="shared" si="158"/>
        <v>48.015861395802773</v>
      </c>
      <c r="T391" s="39">
        <f t="shared" si="159"/>
        <v>51.881649585163679</v>
      </c>
      <c r="U391" s="39">
        <f t="shared" si="160"/>
        <v>42.326988775012161</v>
      </c>
      <c r="V391" s="39">
        <f t="shared" si="161"/>
        <v>55.088091752074249</v>
      </c>
      <c r="W391" s="39">
        <f t="shared" si="162"/>
        <v>58.121278672523069</v>
      </c>
      <c r="X391" s="39">
        <f t="shared" si="163"/>
        <v>52.527818448023552</v>
      </c>
      <c r="Y391" s="39">
        <f t="shared" si="164"/>
        <v>57.972669594924383</v>
      </c>
      <c r="Z391" s="39">
        <f t="shared" si="165"/>
        <v>59.449731576378667</v>
      </c>
      <c r="AA391" s="39">
        <f t="shared" si="166"/>
        <v>60.322108345534488</v>
      </c>
      <c r="AB391" s="38"/>
      <c r="AE391" s="15">
        <v>3.425925925925926E-2</v>
      </c>
      <c r="AF391" s="11">
        <f t="shared" si="167"/>
        <v>2959.9999999999995</v>
      </c>
      <c r="AG391" s="8">
        <v>2.0609000000000002</v>
      </c>
      <c r="AH391" s="8">
        <v>2.0411000000000001</v>
      </c>
      <c r="AI391" s="8">
        <v>2.0470000000000002</v>
      </c>
      <c r="AJ391" s="8">
        <v>2.0326</v>
      </c>
      <c r="AK391" s="8">
        <v>2.0366</v>
      </c>
      <c r="AL391" s="8">
        <v>2.0287999999999999</v>
      </c>
      <c r="AM391" s="8">
        <v>1.9618</v>
      </c>
      <c r="AN391" s="8">
        <v>1.9401999999999999</v>
      </c>
      <c r="AO391" s="8">
        <v>1.9046000000000001</v>
      </c>
      <c r="AP391" s="8">
        <v>1.9084000000000001</v>
      </c>
      <c r="AQ391" s="8">
        <v>1.9616</v>
      </c>
      <c r="AR391" s="8">
        <v>1.9528000000000001</v>
      </c>
      <c r="AS391" s="8">
        <v>2.0021</v>
      </c>
      <c r="AT391" s="8">
        <v>2.0009000000000001</v>
      </c>
      <c r="AU391" s="8">
        <v>2.0165999999999999</v>
      </c>
      <c r="AV391" s="8">
        <v>2.0124</v>
      </c>
      <c r="AW391" s="8">
        <v>2.0085999999999999</v>
      </c>
      <c r="AX391" s="8">
        <v>1.9975000000000001</v>
      </c>
      <c r="AY391" s="8">
        <v>1.9919</v>
      </c>
      <c r="AZ391" s="8">
        <v>1.9858</v>
      </c>
      <c r="BA391" s="8">
        <v>1.9872000000000001</v>
      </c>
      <c r="BB391" s="8">
        <v>1.9863</v>
      </c>
      <c r="BC391" s="8">
        <v>1.9834000000000001</v>
      </c>
      <c r="BD391" s="8">
        <v>1.9521999999999999</v>
      </c>
    </row>
    <row r="392" spans="2:56" x14ac:dyDescent="0.3">
      <c r="B392" s="35">
        <f t="shared" si="142"/>
        <v>2967.9999999999995</v>
      </c>
      <c r="C392" s="39">
        <f t="shared" si="143"/>
        <v>21.73670082967292</v>
      </c>
      <c r="D392" s="39">
        <f t="shared" si="144"/>
        <v>23.620790629575332</v>
      </c>
      <c r="E392" s="39">
        <f t="shared" si="145"/>
        <v>28.925329428989691</v>
      </c>
      <c r="F392" s="39">
        <f t="shared" si="146"/>
        <v>29.645192776964368</v>
      </c>
      <c r="G392" s="39">
        <f t="shared" si="147"/>
        <v>32.925817471937471</v>
      </c>
      <c r="H392" s="39">
        <f t="shared" si="148"/>
        <v>35.132747681796005</v>
      </c>
      <c r="I392" s="39">
        <f t="shared" si="149"/>
        <v>60.566373840898081</v>
      </c>
      <c r="J392" s="40">
        <f t="shared" si="150"/>
        <v>70.57857491459238</v>
      </c>
      <c r="K392" s="39">
        <f t="shared" si="151"/>
        <v>80.419472913616431</v>
      </c>
      <c r="L392" s="39">
        <f t="shared" si="152"/>
        <v>85.071254270375732</v>
      </c>
      <c r="M392" s="39">
        <f t="shared" si="153"/>
        <v>59.80356271351878</v>
      </c>
      <c r="N392" s="39">
        <f t="shared" si="154"/>
        <v>44.674231332357166</v>
      </c>
      <c r="O392" s="39"/>
      <c r="P392" s="39">
        <f t="shared" si="155"/>
        <v>52.222791605661271</v>
      </c>
      <c r="Q392" s="39">
        <f t="shared" si="156"/>
        <v>50.303562713518815</v>
      </c>
      <c r="R392" s="39">
        <f t="shared" si="157"/>
        <v>49.271595900439358</v>
      </c>
      <c r="S392" s="39">
        <f t="shared" si="158"/>
        <v>48.406295754026253</v>
      </c>
      <c r="T392" s="39">
        <f t="shared" si="159"/>
        <v>51.832845290385642</v>
      </c>
      <c r="U392" s="39">
        <f t="shared" si="160"/>
        <v>43.40068326012684</v>
      </c>
      <c r="V392" s="39">
        <f t="shared" si="161"/>
        <v>54.600048804294893</v>
      </c>
      <c r="W392" s="39">
        <f t="shared" si="162"/>
        <v>57.096388482186327</v>
      </c>
      <c r="X392" s="39">
        <f t="shared" si="163"/>
        <v>53.259882869692689</v>
      </c>
      <c r="Y392" s="39">
        <f t="shared" si="164"/>
        <v>58.851146900927326</v>
      </c>
      <c r="Z392" s="39">
        <f t="shared" si="165"/>
        <v>59.937774524158122</v>
      </c>
      <c r="AA392" s="39">
        <f t="shared" si="166"/>
        <v>60.126891166422737</v>
      </c>
      <c r="AB392" s="38"/>
      <c r="AE392" s="15">
        <v>3.4351851851851849E-2</v>
      </c>
      <c r="AF392" s="11">
        <f t="shared" si="167"/>
        <v>2967.9999999999995</v>
      </c>
      <c r="AG392" s="8">
        <v>2.0598000000000001</v>
      </c>
      <c r="AH392" s="8">
        <v>2.0407000000000002</v>
      </c>
      <c r="AI392" s="8">
        <v>2.0472000000000001</v>
      </c>
      <c r="AJ392" s="8">
        <v>2.0335000000000001</v>
      </c>
      <c r="AK392" s="8">
        <v>2.0369999999999999</v>
      </c>
      <c r="AL392" s="8">
        <v>2.0264000000000002</v>
      </c>
      <c r="AM392" s="8">
        <v>1.9602999999999999</v>
      </c>
      <c r="AN392" s="8">
        <v>1.9399</v>
      </c>
      <c r="AO392" s="8">
        <v>1.9056</v>
      </c>
      <c r="AP392" s="8">
        <v>1.9104000000000001</v>
      </c>
      <c r="AQ392" s="8">
        <v>1.9622999999999999</v>
      </c>
      <c r="AR392" s="8">
        <v>1.9537</v>
      </c>
      <c r="AS392" s="8">
        <v>2.0017999999999998</v>
      </c>
      <c r="AT392" s="8">
        <v>2.0015999999999998</v>
      </c>
      <c r="AU392" s="8">
        <v>2.0179999999999998</v>
      </c>
      <c r="AV392" s="8">
        <v>2.0116000000000001</v>
      </c>
      <c r="AW392" s="8">
        <v>2.0087000000000002</v>
      </c>
      <c r="AX392" s="8">
        <v>1.9953000000000001</v>
      </c>
      <c r="AY392" s="8">
        <v>1.9928999999999999</v>
      </c>
      <c r="AZ392" s="8">
        <v>1.9879</v>
      </c>
      <c r="BA392" s="8">
        <v>1.9857</v>
      </c>
      <c r="BB392" s="8">
        <v>1.9844999999999999</v>
      </c>
      <c r="BC392" s="8">
        <v>1.9823999999999999</v>
      </c>
      <c r="BD392" s="8">
        <v>1.9525999999999999</v>
      </c>
    </row>
    <row r="393" spans="2:56" x14ac:dyDescent="0.3">
      <c r="B393" s="35">
        <f t="shared" si="142"/>
        <v>2976</v>
      </c>
      <c r="C393" s="39">
        <f t="shared" si="143"/>
        <v>22.224743777452272</v>
      </c>
      <c r="D393" s="39">
        <f t="shared" si="144"/>
        <v>23.767203513909248</v>
      </c>
      <c r="E393" s="39">
        <f t="shared" si="145"/>
        <v>29.755002440214696</v>
      </c>
      <c r="F393" s="39">
        <f t="shared" si="146"/>
        <v>29.303562713518932</v>
      </c>
      <c r="G393" s="39">
        <f t="shared" si="147"/>
        <v>33.706686188384438</v>
      </c>
      <c r="H393" s="39">
        <f t="shared" si="148"/>
        <v>34.010248901903395</v>
      </c>
      <c r="I393" s="39">
        <f t="shared" si="149"/>
        <v>60.029526598340688</v>
      </c>
      <c r="J393" s="40">
        <f t="shared" si="150"/>
        <v>70.724987798926193</v>
      </c>
      <c r="K393" s="39">
        <f t="shared" si="151"/>
        <v>80.32186432406057</v>
      </c>
      <c r="L393" s="39">
        <f t="shared" si="152"/>
        <v>85.803318692044868</v>
      </c>
      <c r="M393" s="39">
        <f t="shared" si="153"/>
        <v>59.608345534407029</v>
      </c>
      <c r="N393" s="39">
        <f t="shared" si="154"/>
        <v>45.308687164470427</v>
      </c>
      <c r="O393" s="39"/>
      <c r="P393" s="39">
        <f t="shared" si="155"/>
        <v>52.613225963884759</v>
      </c>
      <c r="Q393" s="39">
        <f t="shared" si="156"/>
        <v>49.717911176183378</v>
      </c>
      <c r="R393" s="39">
        <f t="shared" si="157"/>
        <v>49.125183016105453</v>
      </c>
      <c r="S393" s="39">
        <f t="shared" si="158"/>
        <v>48.162274280136472</v>
      </c>
      <c r="T393" s="39">
        <f t="shared" si="159"/>
        <v>51.735236700829766</v>
      </c>
      <c r="U393" s="39">
        <f t="shared" si="160"/>
        <v>42.473401659345967</v>
      </c>
      <c r="V393" s="39">
        <f t="shared" si="161"/>
        <v>54.307223035627182</v>
      </c>
      <c r="W393" s="39">
        <f t="shared" si="162"/>
        <v>57.633235724743713</v>
      </c>
      <c r="X393" s="39">
        <f t="shared" si="163"/>
        <v>52.77183992191334</v>
      </c>
      <c r="Y393" s="39">
        <f t="shared" si="164"/>
        <v>58.948755490483194</v>
      </c>
      <c r="Z393" s="39">
        <f t="shared" si="165"/>
        <v>59.840165934602247</v>
      </c>
      <c r="AA393" s="39">
        <f t="shared" si="166"/>
        <v>60.468521229868287</v>
      </c>
      <c r="AB393" s="38"/>
      <c r="AE393" s="15">
        <v>3.4444444444444444E-2</v>
      </c>
      <c r="AF393" s="11">
        <f t="shared" si="167"/>
        <v>2976</v>
      </c>
      <c r="AG393" s="8">
        <v>2.0588000000000002</v>
      </c>
      <c r="AH393" s="8">
        <v>2.0404</v>
      </c>
      <c r="AI393" s="8">
        <v>2.0455000000000001</v>
      </c>
      <c r="AJ393" s="8">
        <v>2.0341999999999998</v>
      </c>
      <c r="AK393" s="8">
        <v>2.0354000000000001</v>
      </c>
      <c r="AL393" s="8">
        <v>2.0287000000000002</v>
      </c>
      <c r="AM393" s="8">
        <v>1.9614</v>
      </c>
      <c r="AN393" s="8">
        <v>1.9396</v>
      </c>
      <c r="AO393" s="8">
        <v>1.9057999999999999</v>
      </c>
      <c r="AP393" s="8">
        <v>1.9089</v>
      </c>
      <c r="AQ393" s="8">
        <v>1.9626999999999999</v>
      </c>
      <c r="AR393" s="8">
        <v>1.9523999999999999</v>
      </c>
      <c r="AS393" s="8">
        <v>2.0009999999999999</v>
      </c>
      <c r="AT393" s="8">
        <v>2.0028000000000001</v>
      </c>
      <c r="AU393" s="8">
        <v>2.0183</v>
      </c>
      <c r="AV393" s="8">
        <v>2.0121000000000002</v>
      </c>
      <c r="AW393" s="8">
        <v>2.0089000000000001</v>
      </c>
      <c r="AX393" s="8">
        <v>1.9972000000000001</v>
      </c>
      <c r="AY393" s="8">
        <v>1.9935</v>
      </c>
      <c r="AZ393" s="8">
        <v>1.9867999999999999</v>
      </c>
      <c r="BA393" s="8">
        <v>1.9866999999999999</v>
      </c>
      <c r="BB393" s="8">
        <v>1.9843</v>
      </c>
      <c r="BC393" s="8">
        <v>1.9825999999999999</v>
      </c>
      <c r="BD393" s="8">
        <v>1.9519</v>
      </c>
    </row>
    <row r="394" spans="2:56" x14ac:dyDescent="0.3">
      <c r="B394" s="35">
        <f t="shared" si="142"/>
        <v>2984.0000000000005</v>
      </c>
      <c r="C394" s="39">
        <f t="shared" si="143"/>
        <v>22.761591020009668</v>
      </c>
      <c r="D394" s="39">
        <f t="shared" si="144"/>
        <v>23.571986334797508</v>
      </c>
      <c r="E394" s="39">
        <f t="shared" si="145"/>
        <v>29.462176671547084</v>
      </c>
      <c r="F394" s="39">
        <f t="shared" si="146"/>
        <v>29.449975597852628</v>
      </c>
      <c r="G394" s="39">
        <f t="shared" si="147"/>
        <v>33.462664714494871</v>
      </c>
      <c r="H394" s="39">
        <f t="shared" si="148"/>
        <v>33.912640312347527</v>
      </c>
      <c r="I394" s="39">
        <f t="shared" si="149"/>
        <v>59.883113714006882</v>
      </c>
      <c r="J394" s="40">
        <f t="shared" si="150"/>
        <v>70.724987798926193</v>
      </c>
      <c r="K394" s="39">
        <f t="shared" si="151"/>
        <v>79.931429965836969</v>
      </c>
      <c r="L394" s="39">
        <f t="shared" si="152"/>
        <v>85.608101512933132</v>
      </c>
      <c r="M394" s="39">
        <f t="shared" si="153"/>
        <v>60.096388482186384</v>
      </c>
      <c r="N394" s="39">
        <f t="shared" si="154"/>
        <v>45.308687164470427</v>
      </c>
      <c r="O394" s="39"/>
      <c r="P394" s="39">
        <f t="shared" si="155"/>
        <v>53.198877501219975</v>
      </c>
      <c r="Q394" s="39">
        <f t="shared" si="156"/>
        <v>50.059541239629034</v>
      </c>
      <c r="R394" s="39">
        <f t="shared" si="157"/>
        <v>49.515617374328926</v>
      </c>
      <c r="S394" s="39">
        <f t="shared" si="158"/>
        <v>48.943142996583646</v>
      </c>
      <c r="T394" s="39">
        <f t="shared" si="159"/>
        <v>51.881649585163679</v>
      </c>
      <c r="U394" s="39">
        <f t="shared" si="160"/>
        <v>43.107857491459235</v>
      </c>
      <c r="V394" s="39">
        <f t="shared" si="161"/>
        <v>54.40483162518305</v>
      </c>
      <c r="W394" s="39">
        <f t="shared" si="162"/>
        <v>57.584431429965676</v>
      </c>
      <c r="X394" s="39">
        <f t="shared" si="163"/>
        <v>54.479990239141181</v>
      </c>
      <c r="Y394" s="39">
        <f t="shared" si="164"/>
        <v>58.363103953147863</v>
      </c>
      <c r="Z394" s="39">
        <f t="shared" si="165"/>
        <v>59.791361639824316</v>
      </c>
      <c r="AA394" s="39">
        <f t="shared" si="166"/>
        <v>60.322108345534488</v>
      </c>
      <c r="AB394" s="38"/>
      <c r="AE394" s="15">
        <v>3.453703703703704E-2</v>
      </c>
      <c r="AF394" s="11">
        <f t="shared" si="167"/>
        <v>2984.0000000000005</v>
      </c>
      <c r="AG394" s="8">
        <v>2.0577000000000001</v>
      </c>
      <c r="AH394" s="8">
        <v>2.0407999999999999</v>
      </c>
      <c r="AI394" s="8">
        <v>2.0461</v>
      </c>
      <c r="AJ394" s="8">
        <v>2.0339</v>
      </c>
      <c r="AK394" s="8">
        <v>2.0358999999999998</v>
      </c>
      <c r="AL394" s="8">
        <v>2.0289000000000001</v>
      </c>
      <c r="AM394" s="8">
        <v>1.9617</v>
      </c>
      <c r="AN394" s="8">
        <v>1.9396</v>
      </c>
      <c r="AO394" s="8">
        <v>1.9066000000000001</v>
      </c>
      <c r="AP394" s="8">
        <v>1.9093</v>
      </c>
      <c r="AQ394" s="8">
        <v>1.9617</v>
      </c>
      <c r="AR394" s="8">
        <v>1.9523999999999999</v>
      </c>
      <c r="AS394" s="8">
        <v>1.9998</v>
      </c>
      <c r="AT394" s="8">
        <v>2.0021</v>
      </c>
      <c r="AU394" s="8">
        <v>2.0175000000000001</v>
      </c>
      <c r="AV394" s="8">
        <v>2.0105</v>
      </c>
      <c r="AW394" s="8">
        <v>2.0085999999999999</v>
      </c>
      <c r="AX394" s="8">
        <v>1.9959</v>
      </c>
      <c r="AY394" s="8">
        <v>1.9933000000000001</v>
      </c>
      <c r="AZ394" s="8">
        <v>1.9869000000000001</v>
      </c>
      <c r="BA394" s="8">
        <v>1.9832000000000001</v>
      </c>
      <c r="BB394" s="8">
        <v>1.9855</v>
      </c>
      <c r="BC394" s="8">
        <v>1.9826999999999999</v>
      </c>
      <c r="BD394" s="8">
        <v>1.9521999999999999</v>
      </c>
    </row>
    <row r="395" spans="2:56" x14ac:dyDescent="0.3">
      <c r="B395" s="35">
        <f t="shared" si="142"/>
        <v>2992</v>
      </c>
      <c r="C395" s="39">
        <f t="shared" si="143"/>
        <v>21.785505124450964</v>
      </c>
      <c r="D395" s="39">
        <f t="shared" si="144"/>
        <v>23.181551976574028</v>
      </c>
      <c r="E395" s="39">
        <f t="shared" si="145"/>
        <v>30.047828208882308</v>
      </c>
      <c r="F395" s="39">
        <f t="shared" si="146"/>
        <v>29.693997071742412</v>
      </c>
      <c r="G395" s="39">
        <f t="shared" si="147"/>
        <v>33.267447535382907</v>
      </c>
      <c r="H395" s="39">
        <f t="shared" si="148"/>
        <v>34.644704734016656</v>
      </c>
      <c r="I395" s="39">
        <f t="shared" si="149"/>
        <v>60.078330893118618</v>
      </c>
      <c r="J395" s="40">
        <f t="shared" si="150"/>
        <v>70.822596388482054</v>
      </c>
      <c r="K395" s="39">
        <f t="shared" si="151"/>
        <v>80.419472913616431</v>
      </c>
      <c r="L395" s="39">
        <f t="shared" si="152"/>
        <v>85.949731576378667</v>
      </c>
      <c r="M395" s="39">
        <f t="shared" si="153"/>
        <v>59.657149829184966</v>
      </c>
      <c r="N395" s="39">
        <f t="shared" si="154"/>
        <v>45.65031722791597</v>
      </c>
      <c r="O395" s="39"/>
      <c r="P395" s="39">
        <f t="shared" si="155"/>
        <v>52.466813079550839</v>
      </c>
      <c r="Q395" s="39">
        <f t="shared" si="156"/>
        <v>50.791605661298171</v>
      </c>
      <c r="R395" s="39">
        <f t="shared" si="157"/>
        <v>49.564421669106977</v>
      </c>
      <c r="S395" s="39">
        <f t="shared" si="158"/>
        <v>48.699121522693858</v>
      </c>
      <c r="T395" s="39">
        <f t="shared" si="159"/>
        <v>51.247193753050418</v>
      </c>
      <c r="U395" s="39">
        <f t="shared" si="160"/>
        <v>42.180575890678348</v>
      </c>
      <c r="V395" s="39">
        <f t="shared" si="161"/>
        <v>54.307223035627182</v>
      </c>
      <c r="W395" s="39">
        <f t="shared" si="162"/>
        <v>58.462908735968611</v>
      </c>
      <c r="X395" s="39">
        <f t="shared" si="163"/>
        <v>53.455100048804425</v>
      </c>
      <c r="Y395" s="39">
        <f t="shared" si="164"/>
        <v>58.70473401659352</v>
      </c>
      <c r="Z395" s="39">
        <f t="shared" si="165"/>
        <v>59.596144460712466</v>
      </c>
      <c r="AA395" s="39">
        <f t="shared" si="166"/>
        <v>60.663738408980031</v>
      </c>
      <c r="AB395" s="38"/>
      <c r="AE395" s="15">
        <v>3.4629629629629628E-2</v>
      </c>
      <c r="AF395" s="11">
        <f t="shared" si="167"/>
        <v>2992</v>
      </c>
      <c r="AG395" s="8">
        <v>2.0596999999999999</v>
      </c>
      <c r="AH395" s="8">
        <v>2.0415999999999999</v>
      </c>
      <c r="AI395" s="8">
        <v>2.0449000000000002</v>
      </c>
      <c r="AJ395" s="8">
        <v>2.0333999999999999</v>
      </c>
      <c r="AK395" s="8">
        <v>2.0363000000000002</v>
      </c>
      <c r="AL395" s="8">
        <v>2.0274000000000001</v>
      </c>
      <c r="AM395" s="8">
        <v>1.9613</v>
      </c>
      <c r="AN395" s="8">
        <v>1.9394</v>
      </c>
      <c r="AO395" s="8">
        <v>1.9056</v>
      </c>
      <c r="AP395" s="8">
        <v>1.9086000000000001</v>
      </c>
      <c r="AQ395" s="8">
        <v>1.9625999999999999</v>
      </c>
      <c r="AR395" s="8">
        <v>1.9517</v>
      </c>
      <c r="AS395" s="8">
        <v>2.0013000000000001</v>
      </c>
      <c r="AT395" s="8">
        <v>2.0005999999999999</v>
      </c>
      <c r="AU395" s="8">
        <v>2.0173999999999999</v>
      </c>
      <c r="AV395" s="8">
        <v>2.0110000000000001</v>
      </c>
      <c r="AW395" s="8">
        <v>2.0099</v>
      </c>
      <c r="AX395" s="8">
        <v>1.9978</v>
      </c>
      <c r="AY395" s="8">
        <v>1.9935</v>
      </c>
      <c r="AZ395" s="8">
        <v>1.9851000000000001</v>
      </c>
      <c r="BA395" s="8">
        <v>1.9853000000000001</v>
      </c>
      <c r="BB395" s="8">
        <v>1.9847999999999999</v>
      </c>
      <c r="BC395" s="8">
        <v>1.9831000000000001</v>
      </c>
      <c r="BD395" s="8">
        <v>1.9515</v>
      </c>
    </row>
    <row r="396" spans="2:56" x14ac:dyDescent="0.3">
      <c r="B396" s="35">
        <f t="shared" si="142"/>
        <v>3000</v>
      </c>
      <c r="C396" s="39">
        <f t="shared" si="143"/>
        <v>23.054416788677276</v>
      </c>
      <c r="D396" s="39">
        <f t="shared" si="144"/>
        <v>23.327964860907723</v>
      </c>
      <c r="E396" s="39">
        <f t="shared" si="145"/>
        <v>28.827720839433823</v>
      </c>
      <c r="F396" s="39">
        <f t="shared" si="146"/>
        <v>29.547584187408496</v>
      </c>
      <c r="G396" s="39">
        <f t="shared" si="147"/>
        <v>32.828208882381603</v>
      </c>
      <c r="H396" s="39">
        <f t="shared" si="148"/>
        <v>34.254270375793183</v>
      </c>
      <c r="I396" s="39">
        <f t="shared" si="149"/>
        <v>59.883113714006882</v>
      </c>
      <c r="J396" s="40">
        <f t="shared" si="150"/>
        <v>69.700097608589431</v>
      </c>
      <c r="K396" s="39">
        <f t="shared" si="151"/>
        <v>81.200341630063505</v>
      </c>
      <c r="L396" s="39">
        <f t="shared" si="152"/>
        <v>87.41386041971694</v>
      </c>
      <c r="M396" s="39">
        <f t="shared" si="153"/>
        <v>59.901171303074648</v>
      </c>
      <c r="N396" s="39">
        <f t="shared" si="154"/>
        <v>45.406295754026296</v>
      </c>
      <c r="O396" s="39"/>
      <c r="P396" s="39">
        <f t="shared" si="155"/>
        <v>52.466813079550839</v>
      </c>
      <c r="Q396" s="39">
        <f t="shared" si="156"/>
        <v>50.010736944850983</v>
      </c>
      <c r="R396" s="39">
        <f t="shared" si="157"/>
        <v>50.589311859443718</v>
      </c>
      <c r="S396" s="39">
        <f t="shared" si="158"/>
        <v>50.260858955587999</v>
      </c>
      <c r="T396" s="39">
        <f t="shared" si="159"/>
        <v>51.295998047828462</v>
      </c>
      <c r="U396" s="39">
        <f t="shared" si="160"/>
        <v>41.741337237676937</v>
      </c>
      <c r="V396" s="39">
        <f t="shared" si="161"/>
        <v>54.258418740849244</v>
      </c>
      <c r="W396" s="39">
        <f t="shared" si="162"/>
        <v>57.730844314299581</v>
      </c>
      <c r="X396" s="39">
        <f t="shared" si="163"/>
        <v>53.747925817472151</v>
      </c>
      <c r="Y396" s="39">
        <f t="shared" si="164"/>
        <v>58.119082479258189</v>
      </c>
      <c r="Z396" s="39">
        <f t="shared" si="165"/>
        <v>59.693753050268334</v>
      </c>
      <c r="AA396" s="39">
        <f t="shared" si="166"/>
        <v>62.274280136652095</v>
      </c>
      <c r="AB396" s="38"/>
      <c r="AE396" s="15">
        <v>3.4722222222222224E-2</v>
      </c>
      <c r="AF396" s="11">
        <f t="shared" si="167"/>
        <v>3000</v>
      </c>
      <c r="AG396" s="8">
        <v>2.0571000000000002</v>
      </c>
      <c r="AH396" s="8">
        <v>2.0413000000000001</v>
      </c>
      <c r="AI396" s="8">
        <v>2.0474000000000001</v>
      </c>
      <c r="AJ396" s="8">
        <v>2.0337000000000001</v>
      </c>
      <c r="AK396" s="8">
        <v>2.0371999999999999</v>
      </c>
      <c r="AL396" s="8">
        <v>2.0282</v>
      </c>
      <c r="AM396" s="8">
        <v>1.9617</v>
      </c>
      <c r="AN396" s="8">
        <v>1.9417</v>
      </c>
      <c r="AO396" s="8">
        <v>1.9039999999999999</v>
      </c>
      <c r="AP396" s="8">
        <v>1.9056</v>
      </c>
      <c r="AQ396" s="8">
        <v>1.9621</v>
      </c>
      <c r="AR396" s="8">
        <v>1.9521999999999999</v>
      </c>
      <c r="AS396" s="8">
        <v>2.0013000000000001</v>
      </c>
      <c r="AT396" s="8">
        <v>2.0022000000000002</v>
      </c>
      <c r="AU396" s="8">
        <v>2.0152999999999999</v>
      </c>
      <c r="AV396" s="8">
        <v>2.0078</v>
      </c>
      <c r="AW396" s="8">
        <v>2.0097999999999998</v>
      </c>
      <c r="AX396" s="8">
        <v>1.9986999999999999</v>
      </c>
      <c r="AY396" s="8">
        <v>1.9936</v>
      </c>
      <c r="AZ396" s="8">
        <v>1.9865999999999999</v>
      </c>
      <c r="BA396" s="8">
        <v>1.9846999999999999</v>
      </c>
      <c r="BB396" s="8">
        <v>1.986</v>
      </c>
      <c r="BC396" s="8">
        <v>1.9829000000000001</v>
      </c>
      <c r="BD396" s="8">
        <v>1.9481999999999999</v>
      </c>
    </row>
    <row r="397" spans="2:56" x14ac:dyDescent="0.3">
      <c r="B397" s="35">
        <f t="shared" si="142"/>
        <v>3008</v>
      </c>
      <c r="C397" s="39">
        <f t="shared" si="143"/>
        <v>22.90800390434358</v>
      </c>
      <c r="D397" s="39">
        <f t="shared" si="144"/>
        <v>23.523182040019464</v>
      </c>
      <c r="E397" s="39">
        <f t="shared" si="145"/>
        <v>28.827720839433823</v>
      </c>
      <c r="F397" s="39">
        <f t="shared" si="146"/>
        <v>29.108345534406975</v>
      </c>
      <c r="G397" s="39">
        <f t="shared" si="147"/>
        <v>33.169838945827038</v>
      </c>
      <c r="H397" s="39">
        <f t="shared" si="148"/>
        <v>34.156661786237308</v>
      </c>
      <c r="I397" s="39">
        <f t="shared" si="149"/>
        <v>60.37115666178623</v>
      </c>
      <c r="J397" s="40">
        <f t="shared" si="150"/>
        <v>70.334553440702692</v>
      </c>
      <c r="K397" s="39">
        <f t="shared" si="151"/>
        <v>81.200341630063505</v>
      </c>
      <c r="L397" s="39">
        <f t="shared" si="152"/>
        <v>87.657881893606628</v>
      </c>
      <c r="M397" s="39">
        <f t="shared" si="153"/>
        <v>59.510736944851054</v>
      </c>
      <c r="N397" s="39">
        <f t="shared" si="154"/>
        <v>45.552708638360102</v>
      </c>
      <c r="O397" s="39"/>
      <c r="P397" s="39">
        <f t="shared" si="155"/>
        <v>52.418008784773008</v>
      </c>
      <c r="Q397" s="39">
        <f t="shared" si="156"/>
        <v>50.352367008296639</v>
      </c>
      <c r="R397" s="39">
        <f t="shared" si="157"/>
        <v>49.710834553440677</v>
      </c>
      <c r="S397" s="39">
        <f t="shared" si="158"/>
        <v>49.91922889214235</v>
      </c>
      <c r="T397" s="39">
        <f t="shared" si="159"/>
        <v>52.613714006832815</v>
      </c>
      <c r="U397" s="39">
        <f t="shared" si="160"/>
        <v>42.229380185456293</v>
      </c>
      <c r="V397" s="39">
        <f t="shared" si="161"/>
        <v>54.551244509516849</v>
      </c>
      <c r="W397" s="39">
        <f t="shared" si="162"/>
        <v>57.047584187408383</v>
      </c>
      <c r="X397" s="39">
        <f t="shared" si="163"/>
        <v>55.016837481698573</v>
      </c>
      <c r="Y397" s="39">
        <f t="shared" si="164"/>
        <v>59.095168374816993</v>
      </c>
      <c r="Z397" s="39">
        <f t="shared" si="165"/>
        <v>60.669838945827145</v>
      </c>
      <c r="AA397" s="39">
        <f t="shared" si="166"/>
        <v>60.956564177647635</v>
      </c>
      <c r="AB397" s="38"/>
      <c r="AE397" s="15">
        <v>3.4814814814814812E-2</v>
      </c>
      <c r="AF397" s="11">
        <f t="shared" si="167"/>
        <v>3008</v>
      </c>
      <c r="AG397" s="8">
        <v>2.0573999999999999</v>
      </c>
      <c r="AH397" s="8">
        <v>2.0409000000000002</v>
      </c>
      <c r="AI397" s="8">
        <v>2.0474000000000001</v>
      </c>
      <c r="AJ397" s="8">
        <v>2.0346000000000002</v>
      </c>
      <c r="AK397" s="8">
        <v>2.0365000000000002</v>
      </c>
      <c r="AL397" s="8">
        <v>2.0284</v>
      </c>
      <c r="AM397" s="8">
        <v>1.9607000000000001</v>
      </c>
      <c r="AN397" s="8">
        <v>1.9403999999999999</v>
      </c>
      <c r="AO397" s="8">
        <v>1.9039999999999999</v>
      </c>
      <c r="AP397" s="8">
        <v>1.9051</v>
      </c>
      <c r="AQ397" s="8">
        <v>1.9629000000000001</v>
      </c>
      <c r="AR397" s="8">
        <v>1.9519</v>
      </c>
      <c r="AS397" s="8">
        <v>2.0013999999999998</v>
      </c>
      <c r="AT397" s="8">
        <v>2.0015000000000001</v>
      </c>
      <c r="AU397" s="8">
        <v>2.0171000000000001</v>
      </c>
      <c r="AV397" s="8">
        <v>2.0085000000000002</v>
      </c>
      <c r="AW397" s="8">
        <v>2.0070999999999999</v>
      </c>
      <c r="AX397" s="8">
        <v>1.9977</v>
      </c>
      <c r="AY397" s="8">
        <v>1.9930000000000001</v>
      </c>
      <c r="AZ397" s="8">
        <v>1.988</v>
      </c>
      <c r="BA397" s="8">
        <v>1.9821</v>
      </c>
      <c r="BB397" s="8">
        <v>1.984</v>
      </c>
      <c r="BC397" s="8">
        <v>1.9809000000000001</v>
      </c>
      <c r="BD397" s="8">
        <v>1.9509000000000001</v>
      </c>
    </row>
    <row r="398" spans="2:56" x14ac:dyDescent="0.3">
      <c r="B398" s="35">
        <f t="shared" si="142"/>
        <v>3016</v>
      </c>
      <c r="C398" s="39">
        <f t="shared" si="143"/>
        <v>21.346266471449439</v>
      </c>
      <c r="D398" s="39">
        <f t="shared" si="144"/>
        <v>24.011224987799032</v>
      </c>
      <c r="E398" s="39">
        <f t="shared" si="145"/>
        <v>28.437286481210339</v>
      </c>
      <c r="F398" s="39">
        <f t="shared" si="146"/>
        <v>29.889214250854153</v>
      </c>
      <c r="G398" s="39">
        <f t="shared" si="147"/>
        <v>32.730600292825734</v>
      </c>
      <c r="H398" s="39">
        <f t="shared" si="148"/>
        <v>34.791117618350569</v>
      </c>
      <c r="I398" s="39">
        <f t="shared" si="149"/>
        <v>60.51756954612015</v>
      </c>
      <c r="J398" s="40">
        <f t="shared" si="150"/>
        <v>70.236944851146731</v>
      </c>
      <c r="K398" s="39">
        <f t="shared" si="151"/>
        <v>80.126647144948819</v>
      </c>
      <c r="L398" s="39">
        <f t="shared" si="152"/>
        <v>86.97462176671543</v>
      </c>
      <c r="M398" s="39">
        <f t="shared" si="153"/>
        <v>59.705954123962904</v>
      </c>
      <c r="N398" s="39">
        <f t="shared" si="154"/>
        <v>44.820644216690965</v>
      </c>
      <c r="O398" s="39"/>
      <c r="P398" s="39">
        <f t="shared" si="155"/>
        <v>53.003660322108232</v>
      </c>
      <c r="Q398" s="39">
        <f t="shared" si="156"/>
        <v>49.766715470961415</v>
      </c>
      <c r="R398" s="39">
        <f t="shared" si="157"/>
        <v>49.613225963884801</v>
      </c>
      <c r="S398" s="39">
        <f t="shared" si="158"/>
        <v>48.503904343582121</v>
      </c>
      <c r="T398" s="39">
        <f t="shared" si="159"/>
        <v>51.93045387994151</v>
      </c>
      <c r="U398" s="39">
        <f t="shared" si="160"/>
        <v>42.717423133235748</v>
      </c>
      <c r="V398" s="39">
        <f t="shared" si="161"/>
        <v>54.551244509516849</v>
      </c>
      <c r="W398" s="39">
        <f t="shared" si="162"/>
        <v>57.535627135187738</v>
      </c>
      <c r="X398" s="39">
        <f t="shared" si="163"/>
        <v>53.064665690580952</v>
      </c>
      <c r="Y398" s="39">
        <f t="shared" si="164"/>
        <v>58.70473401659352</v>
      </c>
      <c r="Z398" s="39">
        <f t="shared" si="165"/>
        <v>59.498535871156598</v>
      </c>
      <c r="AA398" s="39">
        <f t="shared" si="166"/>
        <v>61.054172767203511</v>
      </c>
      <c r="AB398" s="38"/>
      <c r="AE398" s="15">
        <v>3.4907407407407408E-2</v>
      </c>
      <c r="AF398" s="11">
        <f t="shared" si="167"/>
        <v>3016</v>
      </c>
      <c r="AG398" s="8">
        <v>2.0606</v>
      </c>
      <c r="AH398" s="8">
        <v>2.0398999999999998</v>
      </c>
      <c r="AI398" s="8">
        <v>2.0482</v>
      </c>
      <c r="AJ398" s="8">
        <v>2.0329999999999999</v>
      </c>
      <c r="AK398" s="8">
        <v>2.0373999999999999</v>
      </c>
      <c r="AL398" s="8">
        <v>2.0270999999999999</v>
      </c>
      <c r="AM398" s="8">
        <v>1.9603999999999999</v>
      </c>
      <c r="AN398" s="8">
        <v>1.9406000000000001</v>
      </c>
      <c r="AO398" s="8">
        <v>1.9061999999999999</v>
      </c>
      <c r="AP398" s="8">
        <v>1.9065000000000001</v>
      </c>
      <c r="AQ398" s="8">
        <v>1.9624999999999999</v>
      </c>
      <c r="AR398" s="8">
        <v>1.9534</v>
      </c>
      <c r="AS398" s="8">
        <v>2.0002</v>
      </c>
      <c r="AT398" s="8">
        <v>2.0026999999999999</v>
      </c>
      <c r="AU398" s="8">
        <v>2.0173000000000001</v>
      </c>
      <c r="AV398" s="8">
        <v>2.0114000000000001</v>
      </c>
      <c r="AW398" s="8">
        <v>2.0085000000000002</v>
      </c>
      <c r="AX398" s="8">
        <v>1.9966999999999999</v>
      </c>
      <c r="AY398" s="8">
        <v>1.9930000000000001</v>
      </c>
      <c r="AZ398" s="8">
        <v>1.9870000000000001</v>
      </c>
      <c r="BA398" s="8">
        <v>1.9861</v>
      </c>
      <c r="BB398" s="8">
        <v>1.9847999999999999</v>
      </c>
      <c r="BC398" s="8">
        <v>1.9833000000000001</v>
      </c>
      <c r="BD398" s="8">
        <v>1.9507000000000001</v>
      </c>
    </row>
    <row r="399" spans="2:56" x14ac:dyDescent="0.3">
      <c r="B399" s="35">
        <f t="shared" si="142"/>
        <v>3023.9999999999995</v>
      </c>
      <c r="C399" s="39">
        <f t="shared" si="143"/>
        <v>22.175939482674448</v>
      </c>
      <c r="D399" s="39">
        <f t="shared" si="144"/>
        <v>23.083943387018156</v>
      </c>
      <c r="E399" s="39">
        <f t="shared" si="145"/>
        <v>29.2181551976573</v>
      </c>
      <c r="F399" s="39">
        <f t="shared" si="146"/>
        <v>28.864324060517408</v>
      </c>
      <c r="G399" s="39">
        <f t="shared" si="147"/>
        <v>33.853099072718351</v>
      </c>
      <c r="H399" s="39">
        <f t="shared" si="148"/>
        <v>34.986334797462312</v>
      </c>
      <c r="I399" s="39">
        <f t="shared" si="149"/>
        <v>60.615178135676018</v>
      </c>
      <c r="J399" s="40">
        <f t="shared" si="150"/>
        <v>69.79770619814532</v>
      </c>
      <c r="K399" s="39">
        <f t="shared" si="151"/>
        <v>80.565885797950244</v>
      </c>
      <c r="L399" s="39">
        <f t="shared" si="152"/>
        <v>86.388970229380192</v>
      </c>
      <c r="M399" s="39">
        <f t="shared" si="153"/>
        <v>59.80356271351878</v>
      </c>
      <c r="N399" s="39">
        <f t="shared" si="154"/>
        <v>45.65031722791597</v>
      </c>
      <c r="O399" s="39"/>
      <c r="P399" s="39">
        <f t="shared" si="155"/>
        <v>52.32040019521714</v>
      </c>
      <c r="Q399" s="39">
        <f t="shared" si="156"/>
        <v>50.254758418740771</v>
      </c>
      <c r="R399" s="39">
        <f t="shared" si="157"/>
        <v>49.515617374328926</v>
      </c>
      <c r="S399" s="39">
        <f t="shared" si="158"/>
        <v>48.503904343582121</v>
      </c>
      <c r="T399" s="39">
        <f t="shared" si="159"/>
        <v>51.39360663738433</v>
      </c>
      <c r="U399" s="39">
        <f t="shared" si="160"/>
        <v>43.01024890190336</v>
      </c>
      <c r="V399" s="39">
        <f t="shared" si="161"/>
        <v>54.209614446071299</v>
      </c>
      <c r="W399" s="39">
        <f t="shared" si="162"/>
        <v>57.340409956076002</v>
      </c>
      <c r="X399" s="39">
        <f t="shared" si="163"/>
        <v>53.064665690580952</v>
      </c>
      <c r="Y399" s="39">
        <f t="shared" si="164"/>
        <v>58.265495363591995</v>
      </c>
      <c r="Z399" s="39">
        <f t="shared" si="165"/>
        <v>60.523426061493339</v>
      </c>
      <c r="AA399" s="39">
        <f t="shared" si="166"/>
        <v>61.005368472425573</v>
      </c>
      <c r="AB399" s="38"/>
      <c r="AE399" s="15">
        <v>3.4999999999999996E-2</v>
      </c>
      <c r="AF399" s="11">
        <f t="shared" si="167"/>
        <v>3023.9999999999995</v>
      </c>
      <c r="AG399" s="8">
        <v>2.0589</v>
      </c>
      <c r="AH399" s="8">
        <v>2.0417999999999998</v>
      </c>
      <c r="AI399" s="8">
        <v>2.0466000000000002</v>
      </c>
      <c r="AJ399" s="8">
        <v>2.0350999999999999</v>
      </c>
      <c r="AK399" s="8">
        <v>2.0350999999999999</v>
      </c>
      <c r="AL399" s="8">
        <v>2.0266999999999999</v>
      </c>
      <c r="AM399" s="8">
        <v>1.9601999999999999</v>
      </c>
      <c r="AN399" s="8">
        <v>1.9415</v>
      </c>
      <c r="AO399" s="8">
        <v>1.9053</v>
      </c>
      <c r="AP399" s="8">
        <v>1.9077</v>
      </c>
      <c r="AQ399" s="8">
        <v>1.9622999999999999</v>
      </c>
      <c r="AR399" s="8">
        <v>1.9517</v>
      </c>
      <c r="AS399" s="8">
        <v>2.0015999999999998</v>
      </c>
      <c r="AT399" s="8">
        <v>2.0017</v>
      </c>
      <c r="AU399" s="8">
        <v>2.0175000000000001</v>
      </c>
      <c r="AV399" s="8">
        <v>2.0114000000000001</v>
      </c>
      <c r="AW399" s="8">
        <v>2.0095999999999998</v>
      </c>
      <c r="AX399" s="8">
        <v>1.9961</v>
      </c>
      <c r="AY399" s="8">
        <v>1.9937</v>
      </c>
      <c r="AZ399" s="8">
        <v>1.9874000000000001</v>
      </c>
      <c r="BA399" s="8">
        <v>1.9861</v>
      </c>
      <c r="BB399" s="8">
        <v>1.9857</v>
      </c>
      <c r="BC399" s="8">
        <v>1.9812000000000001</v>
      </c>
      <c r="BD399" s="8">
        <v>1.9508000000000001</v>
      </c>
    </row>
    <row r="400" spans="2:56" x14ac:dyDescent="0.3">
      <c r="B400" s="35">
        <f t="shared" si="142"/>
        <v>3032</v>
      </c>
      <c r="C400" s="39">
        <f t="shared" si="143"/>
        <v>21.492679355783352</v>
      </c>
      <c r="D400" s="39">
        <f t="shared" si="144"/>
        <v>23.230356271351852</v>
      </c>
      <c r="E400" s="39">
        <f t="shared" si="145"/>
        <v>28.534895070766211</v>
      </c>
      <c r="F400" s="39">
        <f t="shared" si="146"/>
        <v>30.474865788189376</v>
      </c>
      <c r="G400" s="39">
        <f t="shared" si="147"/>
        <v>33.21864324060509</v>
      </c>
      <c r="H400" s="39">
        <f t="shared" si="148"/>
        <v>34.254270375793183</v>
      </c>
      <c r="I400" s="39">
        <f t="shared" si="149"/>
        <v>60.468765251342212</v>
      </c>
      <c r="J400" s="39">
        <f t="shared" si="150"/>
        <v>71.310639336261517</v>
      </c>
      <c r="K400" s="39">
        <f t="shared" si="151"/>
        <v>80.175451439726757</v>
      </c>
      <c r="L400" s="39">
        <f t="shared" si="152"/>
        <v>86.388970229380192</v>
      </c>
      <c r="M400" s="39">
        <f t="shared" si="153"/>
        <v>59.608345534407029</v>
      </c>
      <c r="N400" s="39">
        <f t="shared" si="154"/>
        <v>44.918252806246834</v>
      </c>
      <c r="O400" s="39"/>
      <c r="P400" s="39">
        <f t="shared" si="155"/>
        <v>54.02855051244498</v>
      </c>
      <c r="Q400" s="39">
        <f t="shared" si="156"/>
        <v>50.352367008296639</v>
      </c>
      <c r="R400" s="39">
        <f t="shared" si="157"/>
        <v>51.614202049780459</v>
      </c>
      <c r="S400" s="39">
        <f t="shared" si="158"/>
        <v>49.675207418252782</v>
      </c>
      <c r="T400" s="39">
        <f t="shared" si="159"/>
        <v>52.418496827721079</v>
      </c>
      <c r="U400" s="39">
        <f t="shared" si="160"/>
        <v>42.424597364568029</v>
      </c>
      <c r="V400" s="39">
        <f t="shared" si="161"/>
        <v>54.551244509516849</v>
      </c>
      <c r="W400" s="39">
        <f t="shared" si="162"/>
        <v>57.389214250853932</v>
      </c>
      <c r="X400" s="39">
        <f t="shared" si="163"/>
        <v>52.869448511469209</v>
      </c>
      <c r="Y400" s="39">
        <f t="shared" si="164"/>
        <v>58.948755490483194</v>
      </c>
      <c r="Z400" s="39">
        <f t="shared" si="165"/>
        <v>60.230600292825734</v>
      </c>
      <c r="AA400" s="39">
        <f t="shared" si="166"/>
        <v>61.054172767203511</v>
      </c>
      <c r="AB400" s="38"/>
      <c r="AE400" s="15">
        <v>3.5092592592592592E-2</v>
      </c>
      <c r="AF400" s="11">
        <f t="shared" si="167"/>
        <v>3032</v>
      </c>
      <c r="AG400" s="8">
        <v>2.0602999999999998</v>
      </c>
      <c r="AH400" s="8">
        <v>2.0415000000000001</v>
      </c>
      <c r="AI400" s="8">
        <v>2.048</v>
      </c>
      <c r="AJ400" s="8">
        <v>2.0318000000000001</v>
      </c>
      <c r="AK400" s="8">
        <v>2.0364</v>
      </c>
      <c r="AL400" s="8">
        <v>2.0282</v>
      </c>
      <c r="AM400" s="8">
        <v>1.9604999999999999</v>
      </c>
      <c r="AN400" s="8">
        <v>1.9383999999999999</v>
      </c>
      <c r="AO400" s="8">
        <v>1.9060999999999999</v>
      </c>
      <c r="AP400" s="8">
        <v>1.9077</v>
      </c>
      <c r="AQ400" s="8">
        <v>1.9626999999999999</v>
      </c>
      <c r="AR400" s="8">
        <v>1.9532</v>
      </c>
      <c r="AS400" s="8">
        <v>1.9981</v>
      </c>
      <c r="AT400" s="8">
        <v>2.0015000000000001</v>
      </c>
      <c r="AU400" s="8">
        <v>2.0131999999999999</v>
      </c>
      <c r="AV400" s="8">
        <v>2.0089999999999999</v>
      </c>
      <c r="AW400" s="8">
        <v>2.0074999999999998</v>
      </c>
      <c r="AX400" s="8">
        <v>1.9973000000000001</v>
      </c>
      <c r="AY400" s="8">
        <v>1.9930000000000001</v>
      </c>
      <c r="AZ400" s="8">
        <v>1.9873000000000001</v>
      </c>
      <c r="BA400" s="8">
        <v>1.9864999999999999</v>
      </c>
      <c r="BB400" s="8">
        <v>1.9843</v>
      </c>
      <c r="BC400" s="8">
        <v>1.9818</v>
      </c>
      <c r="BD400" s="8">
        <v>1.9507000000000001</v>
      </c>
    </row>
    <row r="401" spans="2:56" x14ac:dyDescent="0.3">
      <c r="B401" s="35">
        <f t="shared" si="142"/>
        <v>3040.0000000000005</v>
      </c>
      <c r="C401" s="39">
        <f t="shared" si="143"/>
        <v>22.468765251342056</v>
      </c>
      <c r="D401" s="39">
        <f t="shared" si="144"/>
        <v>23.230356271351852</v>
      </c>
      <c r="E401" s="39">
        <f t="shared" si="145"/>
        <v>28.778916544655996</v>
      </c>
      <c r="F401" s="39">
        <f t="shared" si="146"/>
        <v>29.596388482186544</v>
      </c>
      <c r="G401" s="39">
        <f t="shared" si="147"/>
        <v>32.828208882381603</v>
      </c>
      <c r="H401" s="39">
        <f t="shared" si="148"/>
        <v>34.791117618350569</v>
      </c>
      <c r="I401" s="39">
        <f t="shared" si="149"/>
        <v>59.834309419228944</v>
      </c>
      <c r="J401" s="39">
        <f t="shared" si="150"/>
        <v>71.115422157149666</v>
      </c>
      <c r="K401" s="39">
        <f t="shared" si="151"/>
        <v>79.443387018057621</v>
      </c>
      <c r="L401" s="39">
        <f t="shared" si="152"/>
        <v>87.511469009272815</v>
      </c>
      <c r="M401" s="39">
        <f t="shared" si="153"/>
        <v>59.754758418740842</v>
      </c>
      <c r="N401" s="39">
        <f t="shared" si="154"/>
        <v>45.357491459248365</v>
      </c>
      <c r="O401" s="39"/>
      <c r="P401" s="39">
        <f t="shared" si="155"/>
        <v>52.906051732552363</v>
      </c>
      <c r="Q401" s="39">
        <f t="shared" si="156"/>
        <v>50.693997071742295</v>
      </c>
      <c r="R401" s="39">
        <f t="shared" si="157"/>
        <v>50.247681795998062</v>
      </c>
      <c r="S401" s="39">
        <f t="shared" si="158"/>
        <v>49.138360175695382</v>
      </c>
      <c r="T401" s="39">
        <f t="shared" si="159"/>
        <v>52.857735480722383</v>
      </c>
      <c r="U401" s="39">
        <f t="shared" si="160"/>
        <v>42.424597364568029</v>
      </c>
      <c r="V401" s="39">
        <f t="shared" si="161"/>
        <v>54.551244509516849</v>
      </c>
      <c r="W401" s="39">
        <f t="shared" si="162"/>
        <v>58.267691556856875</v>
      </c>
      <c r="X401" s="39">
        <f t="shared" si="163"/>
        <v>53.064665690580952</v>
      </c>
      <c r="Y401" s="39">
        <f t="shared" si="164"/>
        <v>59.095168374816993</v>
      </c>
      <c r="Z401" s="39">
        <f t="shared" si="165"/>
        <v>60.816251830161065</v>
      </c>
      <c r="AA401" s="39">
        <f t="shared" si="166"/>
        <v>61.591020009760896</v>
      </c>
      <c r="AB401" s="38"/>
      <c r="AE401" s="15">
        <v>3.5185185185185187E-2</v>
      </c>
      <c r="AF401" s="11">
        <f t="shared" si="167"/>
        <v>3040.0000000000005</v>
      </c>
      <c r="AG401" s="8">
        <v>2.0583</v>
      </c>
      <c r="AH401" s="8">
        <v>2.0415000000000001</v>
      </c>
      <c r="AI401" s="8">
        <v>2.0474999999999999</v>
      </c>
      <c r="AJ401" s="8">
        <v>2.0335999999999999</v>
      </c>
      <c r="AK401" s="8">
        <v>2.0371999999999999</v>
      </c>
      <c r="AL401" s="8">
        <v>2.0270999999999999</v>
      </c>
      <c r="AM401" s="8">
        <v>1.9618</v>
      </c>
      <c r="AN401" s="8">
        <v>1.9388000000000001</v>
      </c>
      <c r="AO401" s="8">
        <v>1.9076</v>
      </c>
      <c r="AP401" s="8">
        <v>1.9054</v>
      </c>
      <c r="AQ401" s="8">
        <v>1.9623999999999999</v>
      </c>
      <c r="AR401" s="8">
        <v>1.9522999999999999</v>
      </c>
      <c r="AS401" s="8">
        <v>2.0004</v>
      </c>
      <c r="AT401" s="8">
        <v>2.0007999999999999</v>
      </c>
      <c r="AU401" s="8">
        <v>2.016</v>
      </c>
      <c r="AV401" s="8">
        <v>2.0101</v>
      </c>
      <c r="AW401" s="8">
        <v>2.0066000000000002</v>
      </c>
      <c r="AX401" s="8">
        <v>1.9973000000000001</v>
      </c>
      <c r="AY401" s="8">
        <v>1.9930000000000001</v>
      </c>
      <c r="AZ401" s="8">
        <v>1.9855</v>
      </c>
      <c r="BA401" s="8">
        <v>1.9861</v>
      </c>
      <c r="BB401" s="8">
        <v>1.984</v>
      </c>
      <c r="BC401" s="8">
        <v>1.9805999999999999</v>
      </c>
      <c r="BD401" s="8">
        <v>1.9496</v>
      </c>
    </row>
    <row r="402" spans="2:56" x14ac:dyDescent="0.3">
      <c r="B402" s="35">
        <f t="shared" si="142"/>
        <v>3048</v>
      </c>
      <c r="C402" s="39">
        <f t="shared" si="143"/>
        <v>22.1271351878964</v>
      </c>
      <c r="D402" s="39">
        <f t="shared" si="144"/>
        <v>23.816007808687292</v>
      </c>
      <c r="E402" s="39">
        <f t="shared" si="145"/>
        <v>28.876525134211864</v>
      </c>
      <c r="F402" s="39">
        <f t="shared" si="146"/>
        <v>29.254758418740888</v>
      </c>
      <c r="G402" s="39">
        <f t="shared" si="147"/>
        <v>33.950707662274219</v>
      </c>
      <c r="H402" s="39">
        <f t="shared" si="148"/>
        <v>34.644704734016656</v>
      </c>
      <c r="I402" s="39">
        <f t="shared" si="149"/>
        <v>59.492679355783402</v>
      </c>
      <c r="J402" s="39">
        <f t="shared" si="150"/>
        <v>70.773792093704131</v>
      </c>
      <c r="K402" s="39">
        <f t="shared" si="151"/>
        <v>80.809907271839919</v>
      </c>
      <c r="L402" s="39">
        <f t="shared" si="152"/>
        <v>86.584187408491943</v>
      </c>
      <c r="M402" s="39">
        <f t="shared" si="153"/>
        <v>59.510736944851054</v>
      </c>
      <c r="N402" s="39">
        <f t="shared" si="154"/>
        <v>45.601512933138039</v>
      </c>
      <c r="O402" s="39"/>
      <c r="P402" s="39">
        <f t="shared" si="155"/>
        <v>52.906051732552363</v>
      </c>
      <c r="Q402" s="39">
        <f t="shared" si="156"/>
        <v>50.401171303074683</v>
      </c>
      <c r="R402" s="39">
        <f t="shared" si="157"/>
        <v>50.10126891166415</v>
      </c>
      <c r="S402" s="39">
        <f t="shared" si="158"/>
        <v>49.235968765251251</v>
      </c>
      <c r="T402" s="39">
        <f t="shared" si="159"/>
        <v>52.906539775500434</v>
      </c>
      <c r="U402" s="39">
        <f t="shared" si="160"/>
        <v>44.132747681795976</v>
      </c>
      <c r="V402" s="39">
        <f t="shared" si="161"/>
        <v>54.697657393850761</v>
      </c>
      <c r="W402" s="39">
        <f t="shared" si="162"/>
        <v>57.242801366520133</v>
      </c>
      <c r="X402" s="39">
        <f t="shared" si="163"/>
        <v>53.455100048804425</v>
      </c>
      <c r="Y402" s="39">
        <f t="shared" si="164"/>
        <v>58.70473401659352</v>
      </c>
      <c r="Z402" s="39">
        <f t="shared" si="165"/>
        <v>60.767447535383127</v>
      </c>
      <c r="AA402" s="39">
        <f t="shared" si="166"/>
        <v>60.712542703757961</v>
      </c>
      <c r="AB402" s="38"/>
      <c r="AE402" s="15">
        <v>3.5277777777777776E-2</v>
      </c>
      <c r="AF402" s="11">
        <f t="shared" si="167"/>
        <v>3048</v>
      </c>
      <c r="AG402" s="8">
        <v>2.0590000000000002</v>
      </c>
      <c r="AH402" s="8">
        <v>2.0402999999999998</v>
      </c>
      <c r="AI402" s="8">
        <v>2.0472999999999999</v>
      </c>
      <c r="AJ402" s="8">
        <v>2.0343</v>
      </c>
      <c r="AK402" s="8">
        <v>2.0348999999999999</v>
      </c>
      <c r="AL402" s="8">
        <v>2.0274000000000001</v>
      </c>
      <c r="AM402" s="8">
        <v>1.9624999999999999</v>
      </c>
      <c r="AN402" s="8">
        <v>1.9395</v>
      </c>
      <c r="AO402" s="8">
        <v>1.9048</v>
      </c>
      <c r="AP402" s="8">
        <v>1.9073</v>
      </c>
      <c r="AQ402" s="8">
        <v>1.9629000000000001</v>
      </c>
      <c r="AR402" s="8">
        <v>1.9518</v>
      </c>
      <c r="AS402" s="8">
        <v>2.0004</v>
      </c>
      <c r="AT402" s="8">
        <v>2.0013999999999998</v>
      </c>
      <c r="AU402" s="8">
        <v>2.0163000000000002</v>
      </c>
      <c r="AV402" s="8">
        <v>2.0099</v>
      </c>
      <c r="AW402" s="8">
        <v>2.0065</v>
      </c>
      <c r="AX402" s="8">
        <v>1.9938</v>
      </c>
      <c r="AY402" s="8">
        <v>1.9926999999999999</v>
      </c>
      <c r="AZ402" s="8">
        <v>1.9876</v>
      </c>
      <c r="BA402" s="8">
        <v>1.9853000000000001</v>
      </c>
      <c r="BB402" s="8">
        <v>1.9847999999999999</v>
      </c>
      <c r="BC402" s="8">
        <v>1.9806999999999999</v>
      </c>
      <c r="BD402" s="8">
        <v>1.9514</v>
      </c>
    </row>
    <row r="403" spans="2:56" x14ac:dyDescent="0.3">
      <c r="B403" s="35">
        <f t="shared" si="142"/>
        <v>3056</v>
      </c>
      <c r="C403" s="39">
        <f t="shared" si="143"/>
        <v>21.883113714006836</v>
      </c>
      <c r="D403" s="39">
        <f t="shared" si="144"/>
        <v>23.523182040019464</v>
      </c>
      <c r="E403" s="39">
        <f t="shared" si="145"/>
        <v>28.388482186432512</v>
      </c>
      <c r="F403" s="39">
        <f t="shared" si="146"/>
        <v>30.474865788189376</v>
      </c>
      <c r="G403" s="39">
        <f t="shared" si="147"/>
        <v>33.950707662274219</v>
      </c>
      <c r="H403" s="39">
        <f t="shared" si="148"/>
        <v>34.400683260127089</v>
      </c>
      <c r="I403" s="39">
        <f t="shared" si="149"/>
        <v>60.078330893118618</v>
      </c>
      <c r="J403" s="39">
        <f t="shared" si="150"/>
        <v>70.724987798926193</v>
      </c>
      <c r="K403" s="39">
        <f t="shared" si="151"/>
        <v>79.736212786725233</v>
      </c>
      <c r="L403" s="39">
        <f t="shared" si="152"/>
        <v>87.072230356271291</v>
      </c>
      <c r="M403" s="39">
        <f t="shared" si="153"/>
        <v>59.559541239628992</v>
      </c>
      <c r="N403" s="39">
        <f t="shared" si="154"/>
        <v>45.113469985358577</v>
      </c>
      <c r="O403" s="39"/>
      <c r="P403" s="39">
        <f t="shared" si="155"/>
        <v>53.296486090775844</v>
      </c>
      <c r="Q403" s="39">
        <f t="shared" si="156"/>
        <v>49.571498291849679</v>
      </c>
      <c r="R403" s="39">
        <f t="shared" si="157"/>
        <v>49.515617374328926</v>
      </c>
      <c r="S403" s="39">
        <f t="shared" si="158"/>
        <v>48.699121522693858</v>
      </c>
      <c r="T403" s="39">
        <f t="shared" si="159"/>
        <v>52.564909712054771</v>
      </c>
      <c r="U403" s="39">
        <f t="shared" si="160"/>
        <v>42.473401659345967</v>
      </c>
      <c r="V403" s="39">
        <f t="shared" si="161"/>
        <v>54.941678867740436</v>
      </c>
      <c r="W403" s="39">
        <f t="shared" si="162"/>
        <v>59.829428989751008</v>
      </c>
      <c r="X403" s="39">
        <f t="shared" si="163"/>
        <v>53.357491459248557</v>
      </c>
      <c r="Y403" s="39">
        <f t="shared" si="164"/>
        <v>59.192776964372868</v>
      </c>
      <c r="Z403" s="39">
        <f t="shared" si="165"/>
        <v>59.791361639824316</v>
      </c>
      <c r="AA403" s="39">
        <f t="shared" si="166"/>
        <v>61.346998535871222</v>
      </c>
      <c r="AB403" s="38"/>
      <c r="AE403" s="15">
        <v>3.5370370370370365E-2</v>
      </c>
      <c r="AF403" s="11">
        <f t="shared" si="167"/>
        <v>3056</v>
      </c>
      <c r="AG403" s="8">
        <v>2.0594999999999999</v>
      </c>
      <c r="AH403" s="8">
        <v>2.0409000000000002</v>
      </c>
      <c r="AI403" s="8">
        <v>2.0482999999999998</v>
      </c>
      <c r="AJ403" s="8">
        <v>2.0318000000000001</v>
      </c>
      <c r="AK403" s="8">
        <v>2.0348999999999999</v>
      </c>
      <c r="AL403" s="8">
        <v>2.0278999999999998</v>
      </c>
      <c r="AM403" s="8">
        <v>1.9613</v>
      </c>
      <c r="AN403" s="8">
        <v>1.9396</v>
      </c>
      <c r="AO403" s="8">
        <v>1.907</v>
      </c>
      <c r="AP403" s="8">
        <v>1.9063000000000001</v>
      </c>
      <c r="AQ403" s="8">
        <v>1.9628000000000001</v>
      </c>
      <c r="AR403" s="8">
        <v>1.9528000000000001</v>
      </c>
      <c r="AS403" s="8">
        <v>1.9996</v>
      </c>
      <c r="AT403" s="8">
        <v>2.0030999999999999</v>
      </c>
      <c r="AU403" s="8">
        <v>2.0175000000000001</v>
      </c>
      <c r="AV403" s="8">
        <v>2.0110000000000001</v>
      </c>
      <c r="AW403" s="8">
        <v>2.0072000000000001</v>
      </c>
      <c r="AX403" s="8">
        <v>1.9972000000000001</v>
      </c>
      <c r="AY403" s="8">
        <v>1.9922</v>
      </c>
      <c r="AZ403" s="8">
        <v>1.9823</v>
      </c>
      <c r="BA403" s="8">
        <v>1.9855</v>
      </c>
      <c r="BB403" s="8">
        <v>1.9838</v>
      </c>
      <c r="BC403" s="8">
        <v>1.9826999999999999</v>
      </c>
      <c r="BD403" s="8">
        <v>1.9500999999999999</v>
      </c>
    </row>
    <row r="404" spans="2:56" x14ac:dyDescent="0.3">
      <c r="B404" s="35">
        <f t="shared" ref="B404:B467" si="168">AF404</f>
        <v>3064</v>
      </c>
      <c r="C404" s="39">
        <f t="shared" si="143"/>
        <v>21.980722303562704</v>
      </c>
      <c r="D404" s="39">
        <f t="shared" si="144"/>
        <v>23.376769155685764</v>
      </c>
      <c r="E404" s="39">
        <f t="shared" si="145"/>
        <v>28.925329428989691</v>
      </c>
      <c r="F404" s="39">
        <f t="shared" si="146"/>
        <v>31.255734504636553</v>
      </c>
      <c r="G404" s="39">
        <f t="shared" si="147"/>
        <v>33.316251830160958</v>
      </c>
      <c r="H404" s="39">
        <f t="shared" si="148"/>
        <v>34.888726207906437</v>
      </c>
      <c r="I404" s="39">
        <f t="shared" si="149"/>
        <v>60.029526598340688</v>
      </c>
      <c r="J404" s="39">
        <f t="shared" si="150"/>
        <v>70.041727672034995</v>
      </c>
      <c r="K404" s="39">
        <f t="shared" si="151"/>
        <v>80.565885797950244</v>
      </c>
      <c r="L404" s="39">
        <f t="shared" si="152"/>
        <v>87.316251830161065</v>
      </c>
      <c r="M404" s="39">
        <f t="shared" si="153"/>
        <v>60.047584187408447</v>
      </c>
      <c r="N404" s="39">
        <f t="shared" si="154"/>
        <v>45.796730112249776</v>
      </c>
      <c r="O404" s="39"/>
      <c r="P404" s="39">
        <f t="shared" si="155"/>
        <v>53.6381161542215</v>
      </c>
      <c r="Q404" s="39">
        <f t="shared" si="156"/>
        <v>50.645192776964251</v>
      </c>
      <c r="R404" s="39">
        <f t="shared" si="157"/>
        <v>51.077354807223074</v>
      </c>
      <c r="S404" s="39">
        <f t="shared" si="158"/>
        <v>48.796730112249733</v>
      </c>
      <c r="T404" s="39">
        <f t="shared" si="159"/>
        <v>52.320888238165203</v>
      </c>
      <c r="U404" s="39">
        <f t="shared" si="160"/>
        <v>43.107857491459235</v>
      </c>
      <c r="V404" s="39">
        <f t="shared" si="161"/>
        <v>55.380917520741853</v>
      </c>
      <c r="W404" s="39">
        <f t="shared" si="162"/>
        <v>57.43801854563187</v>
      </c>
      <c r="X404" s="39">
        <f t="shared" si="163"/>
        <v>53.699121522694213</v>
      </c>
      <c r="Y404" s="39">
        <f t="shared" si="164"/>
        <v>59.095168374816993</v>
      </c>
      <c r="Z404" s="39">
        <f t="shared" si="165"/>
        <v>61.011469009272801</v>
      </c>
      <c r="AA404" s="39">
        <f t="shared" si="166"/>
        <v>61.005368472425573</v>
      </c>
      <c r="AB404" s="38"/>
      <c r="AE404" s="15">
        <v>3.5462962962962967E-2</v>
      </c>
      <c r="AF404" s="11">
        <f t="shared" si="167"/>
        <v>3064</v>
      </c>
      <c r="AG404" s="8">
        <v>2.0592999999999999</v>
      </c>
      <c r="AH404" s="8">
        <v>2.0411999999999999</v>
      </c>
      <c r="AI404" s="8">
        <v>2.0472000000000001</v>
      </c>
      <c r="AJ404" s="8">
        <v>2.0301999999999998</v>
      </c>
      <c r="AK404" s="8">
        <v>2.0362</v>
      </c>
      <c r="AL404" s="8">
        <v>2.0268999999999999</v>
      </c>
      <c r="AM404" s="8">
        <v>1.9614</v>
      </c>
      <c r="AN404" s="8">
        <v>1.9410000000000001</v>
      </c>
      <c r="AO404" s="8">
        <v>1.9053</v>
      </c>
      <c r="AP404" s="8">
        <v>1.9057999999999999</v>
      </c>
      <c r="AQ404" s="8">
        <v>1.9618</v>
      </c>
      <c r="AR404" s="8">
        <v>1.9514</v>
      </c>
      <c r="AS404" s="8">
        <v>1.9988999999999999</v>
      </c>
      <c r="AT404" s="8">
        <v>2.0009000000000001</v>
      </c>
      <c r="AU404" s="8">
        <v>2.0143</v>
      </c>
      <c r="AV404" s="8">
        <v>2.0108000000000001</v>
      </c>
      <c r="AW404" s="8">
        <v>2.0076999999999998</v>
      </c>
      <c r="AX404" s="8">
        <v>1.9959</v>
      </c>
      <c r="AY404" s="8">
        <v>1.9913000000000001</v>
      </c>
      <c r="AZ404" s="8">
        <v>1.9872000000000001</v>
      </c>
      <c r="BA404" s="8">
        <v>1.9847999999999999</v>
      </c>
      <c r="BB404" s="8">
        <v>1.984</v>
      </c>
      <c r="BC404" s="8">
        <v>1.9802</v>
      </c>
      <c r="BD404" s="8">
        <v>1.9508000000000001</v>
      </c>
    </row>
    <row r="405" spans="2:56" x14ac:dyDescent="0.3">
      <c r="B405" s="35">
        <f t="shared" si="168"/>
        <v>3071.9999999999995</v>
      </c>
      <c r="C405" s="39">
        <f t="shared" ref="C405:C471" si="169">((C$9-AG405-($A$5*$A$9*((C$3/10^6)-((C$3/10^6)*EXP(-1*$A$11*$B405)))))/(($A$5+$A$7)*$A$9))*10^6</f>
        <v>22.273548072230316</v>
      </c>
      <c r="D405" s="39">
        <f t="shared" ref="D405:D471" si="170">((D$9-AH405-($A$5*$A$9*((D$3/10^6)-((D$3/10^6)*EXP(-1*$A$11*$B405)))))/(($A$5+$A$7)*$A$9))*10^6</f>
        <v>23.620790629575332</v>
      </c>
      <c r="E405" s="39">
        <f t="shared" ref="E405:E471" si="171">((E$9-AI405-($A$5*$A$9*((E$3/10^6)-((E$3/10^6)*EXP(-1*$A$11*$B405)))))/(($A$5+$A$7)*$A$9))*10^6</f>
        <v>28.437286481210339</v>
      </c>
      <c r="F405" s="39">
        <f t="shared" ref="F405:F471" si="172">((F$9-AJ405-($A$5*$A$9*((F$3/10^6)-((F$3/10^6)*EXP(-1*$A$11*$B405)))))/(($A$5+$A$7)*$A$9))*10^6</f>
        <v>31.548560273304162</v>
      </c>
      <c r="G405" s="39">
        <f t="shared" ref="G405:G471" si="173">((G$9-AK405-($A$5*$A$9*((G$3/10^6)-((G$3/10^6)*EXP(-1*$A$11*$B405)))))/(($A$5+$A$7)*$A$9))*10^6</f>
        <v>33.853099072718351</v>
      </c>
      <c r="H405" s="39">
        <f t="shared" ref="H405:H471" si="174">((H$9-AL405-($A$5*$A$9*((H$3/10^6)-((H$3/10^6)*EXP(-1*$A$11*$B405)))))/(($A$5+$A$7)*$A$9))*10^6</f>
        <v>35.035139092240136</v>
      </c>
      <c r="I405" s="39">
        <f t="shared" ref="I405:I471" si="175">((I$9-AM405-($A$5*$A$9*((I$3/10^6)-((I$3/10^6)*EXP(-1*$A$11*$B405)))))/(($A$5+$A$7)*$A$9))*10^6</f>
        <v>59.687896534895145</v>
      </c>
      <c r="J405" s="39">
        <f t="shared" ref="J405:J471" si="176">((J$9-AN405-($A$5*$A$9*((J$3/10^6)-((J$3/10^6)*EXP(-1*$A$11*$B405)))))/(($A$5+$A$7)*$A$9))*10^6</f>
        <v>70.139336261590856</v>
      </c>
      <c r="K405" s="39">
        <f t="shared" ref="K405:K471" si="177">((K$9-AO405-($A$5*$A$9*((K$3/10^6)-((K$3/10^6)*EXP(-1*$A$11*$B405)))))/(($A$5+$A$7)*$A$9))*10^6</f>
        <v>80.029038555392845</v>
      </c>
      <c r="L405" s="39">
        <f t="shared" ref="L405:L471" si="178">((L$9-AP405-($A$5*$A$9*((L$3/10^6)-((L$3/10^6)*EXP(-1*$A$11*$B405)))))/(($A$5+$A$7)*$A$9))*10^6</f>
        <v>87.218643240605203</v>
      </c>
      <c r="M405" s="39">
        <f t="shared" ref="M405:M471" si="179">((M$9-AQ405-($A$5*$A$9*((M$3/10^6)-((M$3/10^6)*EXP(-1*$A$11*$B405)))))/(($A$5+$A$7)*$A$9))*10^6</f>
        <v>59.022693997071705</v>
      </c>
      <c r="N405" s="39">
        <f t="shared" ref="N405:N471" si="180">((N$9-AR405-($A$5*$A$9*((N$3/10^6)-((N$3/10^6)*EXP(-1*$A$11*$B405)))))/(($A$5+$A$7)*$A$9))*10^6</f>
        <v>45.455100048804233</v>
      </c>
      <c r="O405" s="39"/>
      <c r="P405" s="39">
        <f t="shared" ref="P405:P471" si="181">((P$9-AS405-($A$5*$A$9*((P$3/10^6)-((P$3/10^6)*EXP(-1*$A$13*$B405)))))/(($A$5+$A$7)*$A$9))*10^6</f>
        <v>53.247681795997906</v>
      </c>
      <c r="Q405" s="39">
        <f t="shared" ref="Q405:Q471" si="182">((Q$9-AT405-($A$5*$A$9*((Q$3/10^6)-((Q$3/10^6)*EXP(-1*$A$13*$B405)))))/(($A$5+$A$7)*$A$9))*10^6</f>
        <v>50.596388482186427</v>
      </c>
      <c r="R405" s="39">
        <f t="shared" ref="R405:R471" si="183">((R$9-AU405-($A$5*$A$9*((R$3/10^6)-((R$3/10^6)*EXP(-1*$A$13*$B405)))))/(($A$5+$A$7)*$A$9))*10^6</f>
        <v>49.95485602733045</v>
      </c>
      <c r="S405" s="39">
        <f t="shared" ref="S405:S471" si="184">((S$9-AV405-($A$5*$A$9*((S$3/10^6)-((S$3/10^6)*EXP(-1*$A$13*$B405)))))/(($A$5+$A$7)*$A$9))*10^6</f>
        <v>49.38238164958517</v>
      </c>
      <c r="T405" s="39">
        <f t="shared" ref="T405:T471" si="185">((T$9-AW405-($A$5*$A$9*((T$3/10^6)-((T$3/10^6)*EXP(-1*$A$13*$B405)))))/(($A$5+$A$7)*$A$9))*10^6</f>
        <v>52.467301122498903</v>
      </c>
      <c r="U405" s="39">
        <f t="shared" ref="U405:U471" si="186">((U$9-AX405-($A$5*$A$9*((U$3/10^6)-((U$3/10^6)*EXP(-1*$A$13*$B405)))))/(($A$5+$A$7)*$A$9))*10^6</f>
        <v>42.961444607125429</v>
      </c>
      <c r="V405" s="39">
        <f t="shared" ref="V405:V471" si="187">((V$9-AY405-($A$5*$A$9*((V$3/10^6)-((V$3/10^6)*EXP(-1*$A$13*$B405)))))/(($A$5+$A$7)*$A$9))*10^6</f>
        <v>55.185700341630117</v>
      </c>
      <c r="W405" s="39">
        <f t="shared" ref="W405:W471" si="188">((W$9-AZ405-($A$5*$A$9*((W$3/10^6)-((W$3/10^6)*EXP(-1*$A$13*$B405)))))/(($A$5+$A$7)*$A$9))*10^6</f>
        <v>57.193997071742196</v>
      </c>
      <c r="X405" s="39">
        <f t="shared" ref="X405:X471" si="189">((X$9-BA405-($A$5*$A$9*((X$3/10^6)-((X$3/10^6)*EXP(-1*$A$13*$B405)))))/(($A$5+$A$7)*$A$9))*10^6</f>
        <v>53.455100048804425</v>
      </c>
      <c r="Y405" s="39">
        <f t="shared" ref="Y405:Y471" si="190">((Y$9-BB405-($A$5*$A$9*((Y$3/10^6)-((Y$3/10^6)*EXP(-1*$A$13*$B405)))))/(($A$5+$A$7)*$A$9))*10^6</f>
        <v>58.70473401659352</v>
      </c>
      <c r="Z405" s="39">
        <f t="shared" ref="Z405:Z471" si="191">((Z$9-BC405-($A$5*$A$9*((Z$3/10^6)-((Z$3/10^6)*EXP(-1*$A$13*$B405)))))/(($A$5+$A$7)*$A$9))*10^6</f>
        <v>61.206686188384538</v>
      </c>
      <c r="AA405" s="39">
        <f t="shared" ref="AA405:AA471" si="192">((AA$9-BD405-($A$5*$A$9*((AA$3/10^6)-((AA$3/10^6)*EXP(-1*$A$13*$B405)))))/(($A$5+$A$7)*$A$9))*10^6</f>
        <v>61.005368472425573</v>
      </c>
      <c r="AB405" s="38"/>
      <c r="AE405" s="15">
        <v>3.5555555555555556E-2</v>
      </c>
      <c r="AF405" s="11">
        <f t="shared" si="167"/>
        <v>3071.9999999999995</v>
      </c>
      <c r="AG405" s="8">
        <v>2.0587</v>
      </c>
      <c r="AH405" s="8">
        <v>2.0407000000000002</v>
      </c>
      <c r="AI405" s="8">
        <v>2.0482</v>
      </c>
      <c r="AJ405" s="8">
        <v>2.0295999999999998</v>
      </c>
      <c r="AK405" s="8">
        <v>2.0350999999999999</v>
      </c>
      <c r="AL405" s="8">
        <v>2.0266000000000002</v>
      </c>
      <c r="AM405" s="8">
        <v>1.9621</v>
      </c>
      <c r="AN405" s="8">
        <v>1.9408000000000001</v>
      </c>
      <c r="AO405" s="8">
        <v>1.9064000000000001</v>
      </c>
      <c r="AP405" s="8">
        <v>1.9059999999999999</v>
      </c>
      <c r="AQ405" s="8">
        <v>1.9639</v>
      </c>
      <c r="AR405" s="8">
        <v>1.9520999999999999</v>
      </c>
      <c r="AS405" s="8">
        <v>1.9997</v>
      </c>
      <c r="AT405" s="8">
        <v>2.0009999999999999</v>
      </c>
      <c r="AU405" s="8">
        <v>2.0165999999999999</v>
      </c>
      <c r="AV405" s="8">
        <v>2.0095999999999998</v>
      </c>
      <c r="AW405" s="8">
        <v>2.0074000000000001</v>
      </c>
      <c r="AX405" s="8">
        <v>1.9962</v>
      </c>
      <c r="AY405" s="8">
        <v>1.9917</v>
      </c>
      <c r="AZ405" s="8">
        <v>1.9877</v>
      </c>
      <c r="BA405" s="8">
        <v>1.9853000000000001</v>
      </c>
      <c r="BB405" s="8">
        <v>1.9847999999999999</v>
      </c>
      <c r="BC405" s="8">
        <v>1.9798</v>
      </c>
      <c r="BD405" s="8">
        <v>1.9508000000000001</v>
      </c>
    </row>
    <row r="406" spans="2:56" x14ac:dyDescent="0.3">
      <c r="B406" s="35">
        <f t="shared" si="168"/>
        <v>3080</v>
      </c>
      <c r="C406" s="39">
        <f t="shared" si="169"/>
        <v>22.175939482674448</v>
      </c>
      <c r="D406" s="39">
        <f t="shared" si="170"/>
        <v>23.91361639824316</v>
      </c>
      <c r="E406" s="39">
        <f t="shared" si="171"/>
        <v>28.876525134211864</v>
      </c>
      <c r="F406" s="39">
        <f t="shared" si="172"/>
        <v>31.060517325524593</v>
      </c>
      <c r="G406" s="39">
        <f t="shared" si="173"/>
        <v>33.804294777940306</v>
      </c>
      <c r="H406" s="39">
        <f t="shared" si="174"/>
        <v>34.547096144460788</v>
      </c>
      <c r="I406" s="39">
        <f t="shared" si="175"/>
        <v>60.127135187896556</v>
      </c>
      <c r="J406" s="39">
        <f t="shared" si="176"/>
        <v>69.651293313811493</v>
      </c>
      <c r="K406" s="39">
        <f t="shared" si="177"/>
        <v>80.32186432406057</v>
      </c>
      <c r="L406" s="39">
        <f t="shared" si="178"/>
        <v>87.560273304050739</v>
      </c>
      <c r="M406" s="39">
        <f t="shared" si="179"/>
        <v>60.193997071742253</v>
      </c>
      <c r="N406" s="39">
        <f t="shared" si="180"/>
        <v>45.943142996583589</v>
      </c>
      <c r="O406" s="39"/>
      <c r="P406" s="39">
        <f t="shared" si="181"/>
        <v>53.003660322108232</v>
      </c>
      <c r="Q406" s="39">
        <f t="shared" si="182"/>
        <v>49.913128355295115</v>
      </c>
      <c r="R406" s="39">
        <f t="shared" si="183"/>
        <v>51.174963396778942</v>
      </c>
      <c r="S406" s="39">
        <f t="shared" si="184"/>
        <v>49.38238164958517</v>
      </c>
      <c r="T406" s="39">
        <f t="shared" si="185"/>
        <v>52.418496827721079</v>
      </c>
      <c r="U406" s="39">
        <f t="shared" si="186"/>
        <v>43.351878965348909</v>
      </c>
      <c r="V406" s="39">
        <f t="shared" si="187"/>
        <v>54.746461688628699</v>
      </c>
      <c r="W406" s="39">
        <f t="shared" si="188"/>
        <v>57.096388482186327</v>
      </c>
      <c r="X406" s="39">
        <f t="shared" si="189"/>
        <v>53.406295754026495</v>
      </c>
      <c r="Y406" s="39">
        <f t="shared" si="190"/>
        <v>58.948755490483194</v>
      </c>
      <c r="Z406" s="39">
        <f t="shared" si="191"/>
        <v>60.37701317715954</v>
      </c>
      <c r="AA406" s="39">
        <f t="shared" si="192"/>
        <v>61.737432894094709</v>
      </c>
      <c r="AB406" s="38"/>
      <c r="AE406" s="15">
        <v>3.5648148148148151E-2</v>
      </c>
      <c r="AF406" s="11">
        <f t="shared" ref="AF406:AF469" si="193">AE406*24*60*60</f>
        <v>3080</v>
      </c>
      <c r="AG406" s="8">
        <v>2.0589</v>
      </c>
      <c r="AH406" s="8">
        <v>2.0400999999999998</v>
      </c>
      <c r="AI406" s="8">
        <v>2.0472999999999999</v>
      </c>
      <c r="AJ406" s="8">
        <v>2.0306000000000002</v>
      </c>
      <c r="AK406" s="8">
        <v>2.0352000000000001</v>
      </c>
      <c r="AL406" s="8">
        <v>2.0276000000000001</v>
      </c>
      <c r="AM406" s="8">
        <v>1.9612000000000001</v>
      </c>
      <c r="AN406" s="8">
        <v>1.9418</v>
      </c>
      <c r="AO406" s="8">
        <v>1.9057999999999999</v>
      </c>
      <c r="AP406" s="8">
        <v>1.9053</v>
      </c>
      <c r="AQ406" s="8">
        <v>1.9615</v>
      </c>
      <c r="AR406" s="8">
        <v>1.9511000000000001</v>
      </c>
      <c r="AS406" s="8">
        <v>2.0002</v>
      </c>
      <c r="AT406" s="8">
        <v>2.0024000000000002</v>
      </c>
      <c r="AU406" s="8">
        <v>2.0141</v>
      </c>
      <c r="AV406" s="8">
        <v>2.0095999999999998</v>
      </c>
      <c r="AW406" s="8">
        <v>2.0074999999999998</v>
      </c>
      <c r="AX406" s="8">
        <v>1.9954000000000001</v>
      </c>
      <c r="AY406" s="8">
        <v>1.9925999999999999</v>
      </c>
      <c r="AZ406" s="8">
        <v>1.9879</v>
      </c>
      <c r="BA406" s="8">
        <v>1.9854000000000001</v>
      </c>
      <c r="BB406" s="8">
        <v>1.9843</v>
      </c>
      <c r="BC406" s="8">
        <v>1.9815</v>
      </c>
      <c r="BD406" s="8">
        <v>1.9493</v>
      </c>
    </row>
    <row r="407" spans="2:56" x14ac:dyDescent="0.3">
      <c r="B407" s="35">
        <f t="shared" si="168"/>
        <v>3088.0000000000005</v>
      </c>
      <c r="C407" s="39">
        <f t="shared" si="169"/>
        <v>22.663982430453796</v>
      </c>
      <c r="D407" s="39">
        <f t="shared" si="170"/>
        <v>23.327964860907723</v>
      </c>
      <c r="E407" s="39">
        <f t="shared" si="171"/>
        <v>28.681307955100124</v>
      </c>
      <c r="F407" s="39">
        <f t="shared" si="172"/>
        <v>30.670082967301116</v>
      </c>
      <c r="G407" s="39">
        <f t="shared" si="173"/>
        <v>33.365056124938995</v>
      </c>
      <c r="H407" s="39">
        <f t="shared" si="174"/>
        <v>34.644704734016656</v>
      </c>
      <c r="I407" s="39">
        <f t="shared" si="175"/>
        <v>59.590287945339277</v>
      </c>
      <c r="J407" s="39">
        <f t="shared" si="176"/>
        <v>69.944119082479119</v>
      </c>
      <c r="K407" s="39">
        <f t="shared" si="177"/>
        <v>80.273060029282632</v>
      </c>
      <c r="L407" s="39">
        <f t="shared" si="178"/>
        <v>87.755490483162504</v>
      </c>
      <c r="M407" s="39">
        <f t="shared" si="179"/>
        <v>59.949975597852578</v>
      </c>
      <c r="N407" s="39">
        <f t="shared" si="180"/>
        <v>45.699121522693908</v>
      </c>
      <c r="O407" s="39"/>
      <c r="P407" s="39">
        <f t="shared" si="181"/>
        <v>53.49170326988758</v>
      </c>
      <c r="Q407" s="39">
        <f t="shared" si="182"/>
        <v>49.913128355295115</v>
      </c>
      <c r="R407" s="39">
        <f t="shared" si="183"/>
        <v>50.10126891166415</v>
      </c>
      <c r="S407" s="39">
        <f t="shared" si="184"/>
        <v>48.943142996583646</v>
      </c>
      <c r="T407" s="39">
        <f t="shared" si="185"/>
        <v>52.711322596388683</v>
      </c>
      <c r="U407" s="39">
        <f t="shared" si="186"/>
        <v>43.742313323572496</v>
      </c>
      <c r="V407" s="39">
        <f t="shared" si="187"/>
        <v>54.79526598340663</v>
      </c>
      <c r="W407" s="39">
        <f t="shared" si="188"/>
        <v>57.926061493411332</v>
      </c>
      <c r="X407" s="39">
        <f t="shared" si="189"/>
        <v>53.699121522694213</v>
      </c>
      <c r="Y407" s="39">
        <f t="shared" si="190"/>
        <v>59.095168374816993</v>
      </c>
      <c r="Z407" s="39">
        <f t="shared" si="191"/>
        <v>60.669838945827145</v>
      </c>
      <c r="AA407" s="39">
        <f t="shared" si="192"/>
        <v>61.835041483650571</v>
      </c>
      <c r="AB407" s="38"/>
      <c r="AE407" s="15">
        <v>3.5740740740740747E-2</v>
      </c>
      <c r="AF407" s="11">
        <f t="shared" si="193"/>
        <v>3088.0000000000005</v>
      </c>
      <c r="AG407" s="8">
        <v>2.0579000000000001</v>
      </c>
      <c r="AH407" s="8">
        <v>2.0413000000000001</v>
      </c>
      <c r="AI407" s="8">
        <v>2.0476999999999999</v>
      </c>
      <c r="AJ407" s="8">
        <v>2.0314000000000001</v>
      </c>
      <c r="AK407" s="8">
        <v>2.0360999999999998</v>
      </c>
      <c r="AL407" s="8">
        <v>2.0274000000000001</v>
      </c>
      <c r="AM407" s="8">
        <v>1.9622999999999999</v>
      </c>
      <c r="AN407" s="8">
        <v>1.9412</v>
      </c>
      <c r="AO407" s="8">
        <v>1.9058999999999999</v>
      </c>
      <c r="AP407" s="8">
        <v>1.9049</v>
      </c>
      <c r="AQ407" s="8">
        <v>1.962</v>
      </c>
      <c r="AR407" s="8">
        <v>1.9516</v>
      </c>
      <c r="AS407" s="8">
        <v>1.9992000000000001</v>
      </c>
      <c r="AT407" s="8">
        <v>2.0024000000000002</v>
      </c>
      <c r="AU407" s="8">
        <v>2.0163000000000002</v>
      </c>
      <c r="AV407" s="8">
        <v>2.0105</v>
      </c>
      <c r="AW407" s="8">
        <v>2.0068999999999999</v>
      </c>
      <c r="AX407" s="8">
        <v>1.9945999999999999</v>
      </c>
      <c r="AY407" s="8">
        <v>1.9924999999999999</v>
      </c>
      <c r="AZ407" s="8">
        <v>1.9862</v>
      </c>
      <c r="BA407" s="8">
        <v>1.9847999999999999</v>
      </c>
      <c r="BB407" s="8">
        <v>1.984</v>
      </c>
      <c r="BC407" s="8">
        <v>1.9809000000000001</v>
      </c>
      <c r="BD407" s="8">
        <v>1.9491000000000001</v>
      </c>
    </row>
    <row r="408" spans="2:56" x14ac:dyDescent="0.3">
      <c r="B408" s="35">
        <f t="shared" si="168"/>
        <v>3096.0000000000005</v>
      </c>
      <c r="C408" s="39">
        <f t="shared" si="169"/>
        <v>21.931918008784663</v>
      </c>
      <c r="D408" s="39">
        <f t="shared" si="170"/>
        <v>23.91361639824316</v>
      </c>
      <c r="E408" s="39">
        <f t="shared" si="171"/>
        <v>28.681307955100124</v>
      </c>
      <c r="F408" s="39">
        <f t="shared" si="172"/>
        <v>32.475841874085035</v>
      </c>
      <c r="G408" s="39">
        <f t="shared" si="173"/>
        <v>33.462664714494871</v>
      </c>
      <c r="H408" s="39">
        <f t="shared" si="174"/>
        <v>35.083943387018188</v>
      </c>
      <c r="I408" s="39">
        <f t="shared" si="175"/>
        <v>60.322352367008293</v>
      </c>
      <c r="J408" s="39">
        <f t="shared" si="176"/>
        <v>69.358467545143895</v>
      </c>
      <c r="K408" s="39">
        <f t="shared" si="177"/>
        <v>79.492191312835558</v>
      </c>
      <c r="L408" s="39">
        <f t="shared" si="178"/>
        <v>86.388970229380192</v>
      </c>
      <c r="M408" s="39">
        <f t="shared" si="179"/>
        <v>60.291605661298121</v>
      </c>
      <c r="N408" s="39">
        <f t="shared" si="180"/>
        <v>45.699121522693908</v>
      </c>
      <c r="O408" s="39"/>
      <c r="P408" s="39">
        <f t="shared" si="181"/>
        <v>53.49170326988758</v>
      </c>
      <c r="Q408" s="39">
        <f t="shared" si="182"/>
        <v>50.205954123962947</v>
      </c>
      <c r="R408" s="39">
        <f t="shared" si="183"/>
        <v>50.540507564665674</v>
      </c>
      <c r="S408" s="39">
        <f t="shared" si="184"/>
        <v>49.284773060029302</v>
      </c>
      <c r="T408" s="39">
        <f t="shared" si="185"/>
        <v>53.052952659834126</v>
      </c>
      <c r="U408" s="39">
        <f t="shared" si="186"/>
        <v>43.254270375793034</v>
      </c>
      <c r="V408" s="39">
        <f t="shared" si="187"/>
        <v>55.234504636408055</v>
      </c>
      <c r="W408" s="39">
        <f t="shared" si="188"/>
        <v>58.609321620302531</v>
      </c>
      <c r="X408" s="39">
        <f t="shared" si="189"/>
        <v>54.626403123474979</v>
      </c>
      <c r="Y408" s="39">
        <f t="shared" si="190"/>
        <v>59.534407027818418</v>
      </c>
      <c r="Z408" s="39">
        <f t="shared" si="191"/>
        <v>61.450707662274212</v>
      </c>
      <c r="AA408" s="39">
        <f t="shared" si="192"/>
        <v>62.030258662762328</v>
      </c>
      <c r="AB408" s="38"/>
      <c r="AE408" s="15">
        <v>3.5833333333333335E-2</v>
      </c>
      <c r="AF408" s="11">
        <f t="shared" si="193"/>
        <v>3096.0000000000005</v>
      </c>
      <c r="AG408" s="8">
        <v>2.0594000000000001</v>
      </c>
      <c r="AH408" s="8">
        <v>2.0400999999999998</v>
      </c>
      <c r="AI408" s="8">
        <v>2.0476999999999999</v>
      </c>
      <c r="AJ408" s="8">
        <v>2.0276999999999998</v>
      </c>
      <c r="AK408" s="8">
        <v>2.0358999999999998</v>
      </c>
      <c r="AL408" s="8">
        <v>2.0265</v>
      </c>
      <c r="AM408" s="8">
        <v>1.9608000000000001</v>
      </c>
      <c r="AN408" s="8">
        <v>1.9423999999999999</v>
      </c>
      <c r="AO408" s="8">
        <v>1.9075</v>
      </c>
      <c r="AP408" s="8">
        <v>1.9077</v>
      </c>
      <c r="AQ408" s="8">
        <v>1.9613</v>
      </c>
      <c r="AR408" s="8">
        <v>1.9516</v>
      </c>
      <c r="AS408" s="8">
        <v>1.9992000000000001</v>
      </c>
      <c r="AT408" s="8">
        <v>2.0017999999999998</v>
      </c>
      <c r="AU408" s="8">
        <v>2.0154000000000001</v>
      </c>
      <c r="AV408" s="8">
        <v>2.0097999999999998</v>
      </c>
      <c r="AW408" s="8">
        <v>2.0062000000000002</v>
      </c>
      <c r="AX408" s="8">
        <v>1.9956</v>
      </c>
      <c r="AY408" s="8">
        <v>1.9916</v>
      </c>
      <c r="AZ408" s="8">
        <v>1.9847999999999999</v>
      </c>
      <c r="BA408" s="8">
        <v>1.9829000000000001</v>
      </c>
      <c r="BB408" s="8">
        <v>1.9831000000000001</v>
      </c>
      <c r="BC408" s="8">
        <v>1.9793000000000001</v>
      </c>
      <c r="BD408" s="8">
        <v>1.9487000000000001</v>
      </c>
    </row>
    <row r="409" spans="2:56" x14ac:dyDescent="0.3">
      <c r="B409" s="35">
        <f t="shared" si="168"/>
        <v>3104</v>
      </c>
      <c r="C409" s="39">
        <f t="shared" si="169"/>
        <v>22.32235236700814</v>
      </c>
      <c r="D409" s="39">
        <f t="shared" si="170"/>
        <v>23.132747681795983</v>
      </c>
      <c r="E409" s="39">
        <f t="shared" si="171"/>
        <v>28.046852122986859</v>
      </c>
      <c r="F409" s="39">
        <f t="shared" si="172"/>
        <v>31.743777452415898</v>
      </c>
      <c r="G409" s="39">
        <f t="shared" si="173"/>
        <v>33.023426061493339</v>
      </c>
      <c r="H409" s="39">
        <f t="shared" si="174"/>
        <v>35.279160566129924</v>
      </c>
      <c r="I409" s="39">
        <f t="shared" si="175"/>
        <v>60.859199609565692</v>
      </c>
      <c r="J409" s="39">
        <f t="shared" si="176"/>
        <v>69.79770619814532</v>
      </c>
      <c r="K409" s="39">
        <f t="shared" si="177"/>
        <v>80.858711566617842</v>
      </c>
      <c r="L409" s="39">
        <f t="shared" si="178"/>
        <v>87.511469009272815</v>
      </c>
      <c r="M409" s="39">
        <f t="shared" si="179"/>
        <v>60.145192776964322</v>
      </c>
      <c r="N409" s="39">
        <f t="shared" si="180"/>
        <v>45.894338701805651</v>
      </c>
      <c r="O409" s="39"/>
      <c r="P409" s="39">
        <f t="shared" si="181"/>
        <v>53.979746217667042</v>
      </c>
      <c r="Q409" s="39">
        <f t="shared" si="182"/>
        <v>50.791605661298171</v>
      </c>
      <c r="R409" s="39">
        <f t="shared" si="183"/>
        <v>50.345290385553938</v>
      </c>
      <c r="S409" s="39">
        <f t="shared" si="184"/>
        <v>49.333577354807126</v>
      </c>
      <c r="T409" s="39">
        <f t="shared" si="185"/>
        <v>52.955344070278251</v>
      </c>
      <c r="U409" s="39">
        <f t="shared" si="186"/>
        <v>44.669594924353369</v>
      </c>
      <c r="V409" s="39">
        <f t="shared" si="187"/>
        <v>54.941678867740436</v>
      </c>
      <c r="W409" s="39">
        <f t="shared" si="188"/>
        <v>58.0236700829672</v>
      </c>
      <c r="X409" s="39">
        <f t="shared" si="189"/>
        <v>53.894338701805957</v>
      </c>
      <c r="Y409" s="39">
        <f t="shared" si="190"/>
        <v>59.436798438262542</v>
      </c>
      <c r="Z409" s="39">
        <f t="shared" si="191"/>
        <v>61.060273304050739</v>
      </c>
      <c r="AA409" s="39">
        <f t="shared" si="192"/>
        <v>63.103953147877107</v>
      </c>
      <c r="AB409" s="38"/>
      <c r="AE409" s="15">
        <v>3.5925925925925924E-2</v>
      </c>
      <c r="AF409" s="11">
        <f t="shared" si="193"/>
        <v>3104</v>
      </c>
      <c r="AG409" s="8">
        <v>2.0586000000000002</v>
      </c>
      <c r="AH409" s="8">
        <v>2.0417000000000001</v>
      </c>
      <c r="AI409" s="8">
        <v>2.0489999999999999</v>
      </c>
      <c r="AJ409" s="8">
        <v>2.0291999999999999</v>
      </c>
      <c r="AK409" s="8">
        <v>2.0367999999999999</v>
      </c>
      <c r="AL409" s="8">
        <v>2.0261</v>
      </c>
      <c r="AM409" s="8">
        <v>1.9597</v>
      </c>
      <c r="AN409" s="8">
        <v>1.9415</v>
      </c>
      <c r="AO409" s="8">
        <v>1.9047000000000001</v>
      </c>
      <c r="AP409" s="8">
        <v>1.9054</v>
      </c>
      <c r="AQ409" s="8">
        <v>1.9616</v>
      </c>
      <c r="AR409" s="8">
        <v>1.9512</v>
      </c>
      <c r="AS409" s="8">
        <v>1.9982</v>
      </c>
      <c r="AT409" s="8">
        <v>2.0005999999999999</v>
      </c>
      <c r="AU409" s="8">
        <v>2.0158</v>
      </c>
      <c r="AV409" s="8">
        <v>2.0097</v>
      </c>
      <c r="AW409" s="8">
        <v>2.0064000000000002</v>
      </c>
      <c r="AX409" s="8">
        <v>1.9926999999999999</v>
      </c>
      <c r="AY409" s="8">
        <v>1.9922</v>
      </c>
      <c r="AZ409" s="8">
        <v>1.986</v>
      </c>
      <c r="BA409" s="8">
        <v>1.9843999999999999</v>
      </c>
      <c r="BB409" s="8">
        <v>1.9833000000000001</v>
      </c>
      <c r="BC409" s="8">
        <v>1.9801</v>
      </c>
      <c r="BD409" s="8">
        <v>1.9464999999999999</v>
      </c>
    </row>
    <row r="410" spans="2:56" x14ac:dyDescent="0.3">
      <c r="B410" s="35">
        <f t="shared" si="168"/>
        <v>3112</v>
      </c>
      <c r="C410" s="39">
        <f t="shared" si="169"/>
        <v>22.566373840897924</v>
      </c>
      <c r="D410" s="39">
        <f t="shared" si="170"/>
        <v>22.595900439238591</v>
      </c>
      <c r="E410" s="39">
        <f t="shared" si="171"/>
        <v>27.802830649097075</v>
      </c>
      <c r="F410" s="39">
        <f t="shared" si="172"/>
        <v>32.378233284529166</v>
      </c>
      <c r="G410" s="39">
        <f t="shared" si="173"/>
        <v>33.462664714494871</v>
      </c>
      <c r="H410" s="39">
        <f t="shared" si="174"/>
        <v>34.8399219131284</v>
      </c>
      <c r="I410" s="39">
        <f t="shared" si="175"/>
        <v>60.468765251342212</v>
      </c>
      <c r="J410" s="39">
        <f t="shared" si="176"/>
        <v>69.748901903367369</v>
      </c>
      <c r="K410" s="39">
        <f t="shared" si="177"/>
        <v>79.882625671059046</v>
      </c>
      <c r="L410" s="39">
        <f t="shared" si="178"/>
        <v>87.218643240605203</v>
      </c>
      <c r="M410" s="39">
        <f t="shared" si="179"/>
        <v>59.80356271351878</v>
      </c>
      <c r="N410" s="39">
        <f t="shared" si="180"/>
        <v>45.503904343582164</v>
      </c>
      <c r="O410" s="39"/>
      <c r="P410" s="39">
        <f t="shared" si="181"/>
        <v>54.02855051244498</v>
      </c>
      <c r="Q410" s="39">
        <f t="shared" si="182"/>
        <v>51.621278672523175</v>
      </c>
      <c r="R410" s="39">
        <f t="shared" si="183"/>
        <v>50.735724743777418</v>
      </c>
      <c r="S410" s="39">
        <f t="shared" si="184"/>
        <v>49.724011713030606</v>
      </c>
      <c r="T410" s="39">
        <f t="shared" si="185"/>
        <v>53.150561249390208</v>
      </c>
      <c r="U410" s="39">
        <f t="shared" si="186"/>
        <v>43.498291849682708</v>
      </c>
      <c r="V410" s="39">
        <f t="shared" si="187"/>
        <v>56.259394826744796</v>
      </c>
      <c r="W410" s="39">
        <f t="shared" si="188"/>
        <v>57.535627135187738</v>
      </c>
      <c r="X410" s="39">
        <f t="shared" si="189"/>
        <v>54.675207418253024</v>
      </c>
      <c r="Y410" s="39">
        <f t="shared" si="190"/>
        <v>59.48560273304048</v>
      </c>
      <c r="Z410" s="39">
        <f t="shared" si="191"/>
        <v>61.548316251830087</v>
      </c>
      <c r="AA410" s="39">
        <f t="shared" si="192"/>
        <v>61.346998535871222</v>
      </c>
      <c r="AB410" s="38"/>
      <c r="AE410" s="15">
        <v>3.6018518518518519E-2</v>
      </c>
      <c r="AF410" s="11">
        <f t="shared" si="193"/>
        <v>3112</v>
      </c>
      <c r="AG410" s="8">
        <v>2.0581</v>
      </c>
      <c r="AH410" s="8">
        <v>2.0428000000000002</v>
      </c>
      <c r="AI410" s="8">
        <v>2.0495000000000001</v>
      </c>
      <c r="AJ410" s="8">
        <v>2.0278999999999998</v>
      </c>
      <c r="AK410" s="8">
        <v>2.0358999999999998</v>
      </c>
      <c r="AL410" s="8">
        <v>2.0270000000000001</v>
      </c>
      <c r="AM410" s="8">
        <v>1.9604999999999999</v>
      </c>
      <c r="AN410" s="8">
        <v>1.9416</v>
      </c>
      <c r="AO410" s="8">
        <v>1.9067000000000001</v>
      </c>
      <c r="AP410" s="8">
        <v>1.9059999999999999</v>
      </c>
      <c r="AQ410" s="8">
        <v>1.9622999999999999</v>
      </c>
      <c r="AR410" s="8">
        <v>1.952</v>
      </c>
      <c r="AS410" s="8">
        <v>1.9981</v>
      </c>
      <c r="AT410" s="8">
        <v>1.9988999999999999</v>
      </c>
      <c r="AU410" s="8">
        <v>2.0150000000000001</v>
      </c>
      <c r="AV410" s="8">
        <v>2.0089000000000001</v>
      </c>
      <c r="AW410" s="8">
        <v>2.0059999999999998</v>
      </c>
      <c r="AX410" s="8">
        <v>1.9951000000000001</v>
      </c>
      <c r="AY410" s="8">
        <v>1.9895</v>
      </c>
      <c r="AZ410" s="8">
        <v>1.9870000000000001</v>
      </c>
      <c r="BA410" s="8">
        <v>1.9827999999999999</v>
      </c>
      <c r="BB410" s="8">
        <v>1.9832000000000001</v>
      </c>
      <c r="BC410" s="8">
        <v>1.9791000000000001</v>
      </c>
      <c r="BD410" s="8">
        <v>1.9500999999999999</v>
      </c>
    </row>
    <row r="411" spans="2:56" x14ac:dyDescent="0.3">
      <c r="B411" s="35">
        <f t="shared" si="168"/>
        <v>3120</v>
      </c>
      <c r="C411" s="39">
        <f t="shared" si="169"/>
        <v>23.298438262567057</v>
      </c>
      <c r="D411" s="39">
        <f t="shared" si="170"/>
        <v>23.327964860907723</v>
      </c>
      <c r="E411" s="39">
        <f t="shared" si="171"/>
        <v>28.486090775988384</v>
      </c>
      <c r="F411" s="39">
        <f t="shared" si="172"/>
        <v>31.938994631527645</v>
      </c>
      <c r="G411" s="39">
        <f t="shared" si="173"/>
        <v>33.413860419716826</v>
      </c>
      <c r="H411" s="39">
        <f t="shared" si="174"/>
        <v>35.083943387018188</v>
      </c>
      <c r="I411" s="39">
        <f t="shared" si="175"/>
        <v>60.761591020009824</v>
      </c>
      <c r="J411" s="39">
        <f t="shared" si="176"/>
        <v>69.895314787701182</v>
      </c>
      <c r="K411" s="39">
        <f t="shared" si="177"/>
        <v>80.419472913616431</v>
      </c>
      <c r="L411" s="39">
        <f t="shared" si="178"/>
        <v>87.999511957052164</v>
      </c>
      <c r="M411" s="39">
        <f t="shared" si="179"/>
        <v>60.389214250853996</v>
      </c>
      <c r="N411" s="39">
        <f t="shared" si="180"/>
        <v>45.943142996583589</v>
      </c>
      <c r="O411" s="39"/>
      <c r="P411" s="39">
        <f t="shared" si="181"/>
        <v>53.68692044899943</v>
      </c>
      <c r="Q411" s="39">
        <f t="shared" si="182"/>
        <v>50.596388482186427</v>
      </c>
      <c r="R411" s="39">
        <f t="shared" si="183"/>
        <v>51.223767691556986</v>
      </c>
      <c r="S411" s="39">
        <f t="shared" si="184"/>
        <v>49.821620302586474</v>
      </c>
      <c r="T411" s="39">
        <f t="shared" si="185"/>
        <v>52.760126891166514</v>
      </c>
      <c r="U411" s="39">
        <f t="shared" si="186"/>
        <v>43.156661786237166</v>
      </c>
      <c r="V411" s="39">
        <f t="shared" si="187"/>
        <v>55.771351878965447</v>
      </c>
      <c r="W411" s="39">
        <f t="shared" si="188"/>
        <v>57.779648609077519</v>
      </c>
      <c r="X411" s="39">
        <f t="shared" si="189"/>
        <v>54.479990239141181</v>
      </c>
      <c r="Y411" s="39">
        <f t="shared" si="190"/>
        <v>59.046364080039062</v>
      </c>
      <c r="Z411" s="39">
        <f t="shared" si="191"/>
        <v>61.450707662274212</v>
      </c>
      <c r="AA411" s="39">
        <f t="shared" si="192"/>
        <v>61.737432894094709</v>
      </c>
      <c r="AB411" s="38"/>
      <c r="AE411" s="15">
        <v>3.6111111111111115E-2</v>
      </c>
      <c r="AF411" s="11">
        <f t="shared" si="193"/>
        <v>3120</v>
      </c>
      <c r="AG411" s="8">
        <v>2.0566</v>
      </c>
      <c r="AH411" s="8">
        <v>2.0413000000000001</v>
      </c>
      <c r="AI411" s="8">
        <v>2.0480999999999998</v>
      </c>
      <c r="AJ411" s="8">
        <v>2.0287999999999999</v>
      </c>
      <c r="AK411" s="8">
        <v>2.036</v>
      </c>
      <c r="AL411" s="8">
        <v>2.0265</v>
      </c>
      <c r="AM411" s="8">
        <v>1.9599</v>
      </c>
      <c r="AN411" s="8">
        <v>1.9413</v>
      </c>
      <c r="AO411" s="8">
        <v>1.9056</v>
      </c>
      <c r="AP411" s="8">
        <v>1.9044000000000001</v>
      </c>
      <c r="AQ411" s="8">
        <v>1.9611000000000001</v>
      </c>
      <c r="AR411" s="8">
        <v>1.9511000000000001</v>
      </c>
      <c r="AS411" s="8">
        <v>1.9987999999999999</v>
      </c>
      <c r="AT411" s="8">
        <v>2.0009999999999999</v>
      </c>
      <c r="AU411" s="8">
        <v>2.0139999999999998</v>
      </c>
      <c r="AV411" s="8">
        <v>2.0087000000000002</v>
      </c>
      <c r="AW411" s="8">
        <v>2.0068000000000001</v>
      </c>
      <c r="AX411" s="8">
        <v>1.9958</v>
      </c>
      <c r="AY411" s="8">
        <v>1.9904999999999999</v>
      </c>
      <c r="AZ411" s="8">
        <v>1.9864999999999999</v>
      </c>
      <c r="BA411" s="8">
        <v>1.9832000000000001</v>
      </c>
      <c r="BB411" s="8">
        <v>1.9841</v>
      </c>
      <c r="BC411" s="8">
        <v>1.9793000000000001</v>
      </c>
      <c r="BD411" s="8">
        <v>1.9493</v>
      </c>
    </row>
    <row r="412" spans="2:56" x14ac:dyDescent="0.3">
      <c r="B412" s="35">
        <f t="shared" si="168"/>
        <v>3127.9999999999995</v>
      </c>
      <c r="C412" s="39">
        <f t="shared" si="169"/>
        <v>22.859199609565536</v>
      </c>
      <c r="D412" s="39">
        <f t="shared" si="170"/>
        <v>23.474377745241636</v>
      </c>
      <c r="E412" s="39">
        <f t="shared" si="171"/>
        <v>27.802830649097075</v>
      </c>
      <c r="F412" s="39">
        <f t="shared" si="172"/>
        <v>31.060517325524593</v>
      </c>
      <c r="G412" s="39">
        <f t="shared" si="173"/>
        <v>33.511469009272695</v>
      </c>
      <c r="H412" s="39">
        <f t="shared" si="174"/>
        <v>35.327964860907969</v>
      </c>
      <c r="I412" s="39">
        <f t="shared" si="175"/>
        <v>61.24963396778918</v>
      </c>
      <c r="J412" s="39">
        <f t="shared" si="176"/>
        <v>70.139336261590856</v>
      </c>
      <c r="K412" s="39">
        <f t="shared" si="177"/>
        <v>80.565885797950244</v>
      </c>
      <c r="L412" s="39">
        <f t="shared" si="178"/>
        <v>88.097120546608139</v>
      </c>
      <c r="M412" s="39">
        <f t="shared" si="179"/>
        <v>61.023670082967257</v>
      </c>
      <c r="N412" s="39">
        <f t="shared" si="180"/>
        <v>46.284773060029238</v>
      </c>
      <c r="O412" s="39"/>
      <c r="P412" s="39">
        <f t="shared" si="181"/>
        <v>53.735724743777368</v>
      </c>
      <c r="Q412" s="39">
        <f t="shared" si="182"/>
        <v>50.449975597852514</v>
      </c>
      <c r="R412" s="39">
        <f t="shared" si="183"/>
        <v>51.028550512445022</v>
      </c>
      <c r="S412" s="39">
        <f t="shared" si="184"/>
        <v>49.138360175695382</v>
      </c>
      <c r="T412" s="39">
        <f t="shared" si="185"/>
        <v>52.857735480722383</v>
      </c>
      <c r="U412" s="39">
        <f t="shared" si="186"/>
        <v>43.254270375793034</v>
      </c>
      <c r="V412" s="39">
        <f t="shared" si="187"/>
        <v>55.917764763299253</v>
      </c>
      <c r="W412" s="39">
        <f t="shared" si="188"/>
        <v>57.730844314299581</v>
      </c>
      <c r="X412" s="39">
        <f t="shared" si="189"/>
        <v>54.187164470473562</v>
      </c>
      <c r="Y412" s="39">
        <f t="shared" si="190"/>
        <v>59.48560273304048</v>
      </c>
      <c r="Z412" s="39">
        <f t="shared" si="191"/>
        <v>60.962664714494871</v>
      </c>
      <c r="AA412" s="39">
        <f t="shared" si="192"/>
        <v>62.615910200097645</v>
      </c>
      <c r="AB412" s="38"/>
      <c r="AE412" s="15">
        <v>3.6203703703703703E-2</v>
      </c>
      <c r="AF412" s="11">
        <f t="shared" si="193"/>
        <v>3127.9999999999995</v>
      </c>
      <c r="AG412" s="8">
        <v>2.0575000000000001</v>
      </c>
      <c r="AH412" s="8">
        <v>2.0409999999999999</v>
      </c>
      <c r="AI412" s="8">
        <v>2.0495000000000001</v>
      </c>
      <c r="AJ412" s="8">
        <v>2.0306000000000002</v>
      </c>
      <c r="AK412" s="8">
        <v>2.0358000000000001</v>
      </c>
      <c r="AL412" s="8">
        <v>2.0259999999999998</v>
      </c>
      <c r="AM412" s="8">
        <v>1.9589000000000001</v>
      </c>
      <c r="AN412" s="8">
        <v>1.9408000000000001</v>
      </c>
      <c r="AO412" s="8">
        <v>1.9053</v>
      </c>
      <c r="AP412" s="8">
        <v>1.9041999999999999</v>
      </c>
      <c r="AQ412" s="8">
        <v>1.9598</v>
      </c>
      <c r="AR412" s="8">
        <v>1.9503999999999999</v>
      </c>
      <c r="AS412" s="8">
        <v>1.9986999999999999</v>
      </c>
      <c r="AT412" s="8">
        <v>2.0013000000000001</v>
      </c>
      <c r="AU412" s="8">
        <v>2.0144000000000002</v>
      </c>
      <c r="AV412" s="8">
        <v>2.0101</v>
      </c>
      <c r="AW412" s="8">
        <v>2.0066000000000002</v>
      </c>
      <c r="AX412" s="8">
        <v>1.9956</v>
      </c>
      <c r="AY412" s="8">
        <v>1.9902</v>
      </c>
      <c r="AZ412" s="8">
        <v>1.9865999999999999</v>
      </c>
      <c r="BA412" s="8">
        <v>1.9838</v>
      </c>
      <c r="BB412" s="8">
        <v>1.9832000000000001</v>
      </c>
      <c r="BC412" s="8">
        <v>1.9802999999999999</v>
      </c>
      <c r="BD412" s="8">
        <v>1.9475</v>
      </c>
    </row>
    <row r="413" spans="2:56" x14ac:dyDescent="0.3">
      <c r="B413" s="35">
        <f t="shared" si="168"/>
        <v>3135.9999999999995</v>
      </c>
      <c r="C413" s="39">
        <f t="shared" si="169"/>
        <v>21.980722303562704</v>
      </c>
      <c r="D413" s="39">
        <f t="shared" si="170"/>
        <v>23.620790629575332</v>
      </c>
      <c r="E413" s="39">
        <f t="shared" si="171"/>
        <v>28.095656417764687</v>
      </c>
      <c r="F413" s="39">
        <f t="shared" si="172"/>
        <v>31.450951683748293</v>
      </c>
      <c r="G413" s="39">
        <f t="shared" si="173"/>
        <v>33.169838945827038</v>
      </c>
      <c r="H413" s="39">
        <f t="shared" si="174"/>
        <v>35.230356271352093</v>
      </c>
      <c r="I413" s="39">
        <f t="shared" si="175"/>
        <v>59.590287945339277</v>
      </c>
      <c r="J413" s="39">
        <f t="shared" si="176"/>
        <v>70.383357735480629</v>
      </c>
      <c r="K413" s="39">
        <f t="shared" si="177"/>
        <v>80.370668618838494</v>
      </c>
      <c r="L413" s="39">
        <f t="shared" si="178"/>
        <v>87.804294777940427</v>
      </c>
      <c r="M413" s="39">
        <f t="shared" si="179"/>
        <v>60.193997071742253</v>
      </c>
      <c r="N413" s="39">
        <f t="shared" si="180"/>
        <v>45.259882869692497</v>
      </c>
      <c r="O413" s="39"/>
      <c r="P413" s="39">
        <f t="shared" si="181"/>
        <v>53.979746217667042</v>
      </c>
      <c r="Q413" s="39">
        <f t="shared" si="182"/>
        <v>51.133235724743713</v>
      </c>
      <c r="R413" s="39">
        <f t="shared" si="183"/>
        <v>50.540507564665674</v>
      </c>
      <c r="S413" s="39">
        <f t="shared" si="184"/>
        <v>49.675207418252782</v>
      </c>
      <c r="T413" s="39">
        <f t="shared" si="185"/>
        <v>53.052952659834126</v>
      </c>
      <c r="U413" s="39">
        <f t="shared" si="186"/>
        <v>44.230356271351845</v>
      </c>
      <c r="V413" s="39">
        <f t="shared" si="187"/>
        <v>55.332113225963923</v>
      </c>
      <c r="W413" s="39">
        <f t="shared" si="188"/>
        <v>57.584431429965676</v>
      </c>
      <c r="X413" s="39">
        <f t="shared" si="189"/>
        <v>54.284773060029437</v>
      </c>
      <c r="Y413" s="39">
        <f t="shared" si="190"/>
        <v>59.436798438262542</v>
      </c>
      <c r="Z413" s="39">
        <f t="shared" si="191"/>
        <v>62.036359199609549</v>
      </c>
      <c r="AA413" s="39">
        <f t="shared" si="192"/>
        <v>62.518301610541769</v>
      </c>
      <c r="AB413" s="38"/>
      <c r="AE413" s="15">
        <v>3.6296296296296292E-2</v>
      </c>
      <c r="AF413" s="11">
        <f t="shared" si="193"/>
        <v>3135.9999999999995</v>
      </c>
      <c r="AG413" s="8">
        <v>2.0592999999999999</v>
      </c>
      <c r="AH413" s="8">
        <v>2.0407000000000002</v>
      </c>
      <c r="AI413" s="8">
        <v>2.0489000000000002</v>
      </c>
      <c r="AJ413" s="8">
        <v>2.0297999999999998</v>
      </c>
      <c r="AK413" s="8">
        <v>2.0365000000000002</v>
      </c>
      <c r="AL413" s="8">
        <v>2.0261999999999998</v>
      </c>
      <c r="AM413" s="8">
        <v>1.9622999999999999</v>
      </c>
      <c r="AN413" s="8">
        <v>1.9402999999999999</v>
      </c>
      <c r="AO413" s="8">
        <v>1.9056999999999999</v>
      </c>
      <c r="AP413" s="8">
        <v>1.9048</v>
      </c>
      <c r="AQ413" s="8">
        <v>1.9615</v>
      </c>
      <c r="AR413" s="8">
        <v>1.9524999999999999</v>
      </c>
      <c r="AS413" s="8">
        <v>1.9982</v>
      </c>
      <c r="AT413" s="8">
        <v>1.9999</v>
      </c>
      <c r="AU413" s="8">
        <v>2.0154000000000001</v>
      </c>
      <c r="AV413" s="8">
        <v>2.0089999999999999</v>
      </c>
      <c r="AW413" s="8">
        <v>2.0062000000000002</v>
      </c>
      <c r="AX413" s="8">
        <v>1.9936</v>
      </c>
      <c r="AY413" s="8">
        <v>1.9914000000000001</v>
      </c>
      <c r="AZ413" s="8">
        <v>1.9869000000000001</v>
      </c>
      <c r="BA413" s="8">
        <v>1.9836</v>
      </c>
      <c r="BB413" s="8">
        <v>1.9833000000000001</v>
      </c>
      <c r="BC413" s="8">
        <v>1.9781</v>
      </c>
      <c r="BD413" s="8">
        <v>1.9477</v>
      </c>
    </row>
    <row r="414" spans="2:56" x14ac:dyDescent="0.3">
      <c r="B414" s="35">
        <f t="shared" si="168"/>
        <v>3144</v>
      </c>
      <c r="C414" s="39">
        <f t="shared" si="169"/>
        <v>21.590287945339224</v>
      </c>
      <c r="D414" s="39">
        <f t="shared" si="170"/>
        <v>23.718399219131204</v>
      </c>
      <c r="E414" s="39">
        <f t="shared" si="171"/>
        <v>27.461200585651639</v>
      </c>
      <c r="F414" s="39">
        <f t="shared" si="172"/>
        <v>31.499755978526121</v>
      </c>
      <c r="G414" s="39">
        <f t="shared" si="173"/>
        <v>33.023426061493339</v>
      </c>
      <c r="H414" s="39">
        <f t="shared" si="174"/>
        <v>35.620790629575573</v>
      </c>
      <c r="I414" s="39">
        <f t="shared" si="175"/>
        <v>60.468765251342212</v>
      </c>
      <c r="J414" s="39">
        <f t="shared" si="176"/>
        <v>69.60248901903357</v>
      </c>
      <c r="K414" s="39">
        <f t="shared" si="177"/>
        <v>79.78501708150317</v>
      </c>
      <c r="L414" s="39">
        <f t="shared" si="178"/>
        <v>88.341142020497813</v>
      </c>
      <c r="M414" s="39">
        <f t="shared" si="179"/>
        <v>59.901171303074648</v>
      </c>
      <c r="N414" s="39">
        <f t="shared" si="180"/>
        <v>45.211078574914559</v>
      </c>
      <c r="O414" s="39"/>
      <c r="P414" s="39">
        <f t="shared" si="181"/>
        <v>53.6381161542215</v>
      </c>
      <c r="Q414" s="39">
        <f t="shared" si="182"/>
        <v>50.303562713518815</v>
      </c>
      <c r="R414" s="39">
        <f t="shared" si="183"/>
        <v>50.540507564665674</v>
      </c>
      <c r="S414" s="39">
        <f t="shared" si="184"/>
        <v>49.138360175695382</v>
      </c>
      <c r="T414" s="39">
        <f t="shared" si="185"/>
        <v>53.833821376281307</v>
      </c>
      <c r="U414" s="39">
        <f t="shared" si="186"/>
        <v>43.595900439238683</v>
      </c>
      <c r="V414" s="39">
        <f t="shared" si="187"/>
        <v>55.868960468521315</v>
      </c>
      <c r="W414" s="39">
        <f t="shared" si="188"/>
        <v>57.633235724743713</v>
      </c>
      <c r="X414" s="39">
        <f t="shared" si="189"/>
        <v>54.235968765251499</v>
      </c>
      <c r="Y414" s="39">
        <f t="shared" si="190"/>
        <v>59.241581259150799</v>
      </c>
      <c r="Z414" s="39">
        <f t="shared" si="191"/>
        <v>61.304294777940413</v>
      </c>
      <c r="AA414" s="39">
        <f t="shared" si="192"/>
        <v>62.127867252318296</v>
      </c>
      <c r="AB414" s="38"/>
      <c r="AE414" s="15">
        <v>3.6388888888888887E-2</v>
      </c>
      <c r="AF414" s="11">
        <f t="shared" si="193"/>
        <v>3144</v>
      </c>
      <c r="AG414" s="8">
        <v>2.0600999999999998</v>
      </c>
      <c r="AH414" s="8">
        <v>2.0405000000000002</v>
      </c>
      <c r="AI414" s="8">
        <v>2.0501999999999998</v>
      </c>
      <c r="AJ414" s="8">
        <v>2.0297000000000001</v>
      </c>
      <c r="AK414" s="8">
        <v>2.0367999999999999</v>
      </c>
      <c r="AL414" s="8">
        <v>2.0253999999999999</v>
      </c>
      <c r="AM414" s="8">
        <v>1.9604999999999999</v>
      </c>
      <c r="AN414" s="8">
        <v>1.9419</v>
      </c>
      <c r="AO414" s="8">
        <v>1.9069</v>
      </c>
      <c r="AP414" s="8">
        <v>1.9036999999999999</v>
      </c>
      <c r="AQ414" s="8">
        <v>1.9621</v>
      </c>
      <c r="AR414" s="8">
        <v>1.9525999999999999</v>
      </c>
      <c r="AS414" s="8">
        <v>1.9988999999999999</v>
      </c>
      <c r="AT414" s="8">
        <v>2.0015999999999998</v>
      </c>
      <c r="AU414" s="8">
        <v>2.0154000000000001</v>
      </c>
      <c r="AV414" s="8">
        <v>2.0101</v>
      </c>
      <c r="AW414" s="8">
        <v>2.0045999999999999</v>
      </c>
      <c r="AX414" s="8">
        <v>1.9948999999999999</v>
      </c>
      <c r="AY414" s="8">
        <v>1.9903</v>
      </c>
      <c r="AZ414" s="8">
        <v>1.9867999999999999</v>
      </c>
      <c r="BA414" s="8">
        <v>1.9837</v>
      </c>
      <c r="BB414" s="8">
        <v>1.9837</v>
      </c>
      <c r="BC414" s="8">
        <v>1.9796</v>
      </c>
      <c r="BD414" s="8">
        <v>1.9484999999999999</v>
      </c>
    </row>
    <row r="415" spans="2:56" x14ac:dyDescent="0.3">
      <c r="B415" s="35">
        <f t="shared" si="168"/>
        <v>3152.0000000000005</v>
      </c>
      <c r="C415" s="39">
        <f t="shared" si="169"/>
        <v>22.859199609565536</v>
      </c>
      <c r="D415" s="39">
        <f t="shared" si="170"/>
        <v>23.718399219131204</v>
      </c>
      <c r="E415" s="39">
        <f t="shared" si="171"/>
        <v>28.144460712542728</v>
      </c>
      <c r="F415" s="39">
        <f t="shared" si="172"/>
        <v>32.183016105417209</v>
      </c>
      <c r="G415" s="39">
        <f t="shared" si="173"/>
        <v>33.121034651049222</v>
      </c>
      <c r="H415" s="39">
        <f t="shared" si="174"/>
        <v>34.30307467057122</v>
      </c>
      <c r="I415" s="39">
        <f t="shared" si="175"/>
        <v>60.615178135676018</v>
      </c>
      <c r="J415" s="39">
        <f t="shared" si="176"/>
        <v>70.236944851146731</v>
      </c>
      <c r="K415" s="39">
        <f t="shared" si="177"/>
        <v>80.419472913616431</v>
      </c>
      <c r="L415" s="39">
        <f t="shared" si="178"/>
        <v>87.755490483162504</v>
      </c>
      <c r="M415" s="39">
        <f t="shared" si="179"/>
        <v>59.998779892630516</v>
      </c>
      <c r="N415" s="39">
        <f t="shared" si="180"/>
        <v>46.040751586139457</v>
      </c>
      <c r="O415" s="39"/>
      <c r="P415" s="39">
        <f t="shared" si="181"/>
        <v>54.07735480722291</v>
      </c>
      <c r="Q415" s="39">
        <f t="shared" si="182"/>
        <v>50.254758418740771</v>
      </c>
      <c r="R415" s="39">
        <f t="shared" si="183"/>
        <v>52.053440702781771</v>
      </c>
      <c r="S415" s="39">
        <f t="shared" si="184"/>
        <v>50.260858955587999</v>
      </c>
      <c r="T415" s="39">
        <f t="shared" si="185"/>
        <v>53.44338701805782</v>
      </c>
      <c r="U415" s="39">
        <f t="shared" si="186"/>
        <v>42.863836017569554</v>
      </c>
      <c r="V415" s="39">
        <f t="shared" si="187"/>
        <v>55.088091752074249</v>
      </c>
      <c r="W415" s="39">
        <f t="shared" si="188"/>
        <v>58.560517325524479</v>
      </c>
      <c r="X415" s="39">
        <f t="shared" si="189"/>
        <v>54.528794533919111</v>
      </c>
      <c r="Y415" s="39">
        <f t="shared" si="190"/>
        <v>59.339189848706667</v>
      </c>
      <c r="Z415" s="39">
        <f t="shared" si="191"/>
        <v>61.548316251830087</v>
      </c>
      <c r="AA415" s="39">
        <f t="shared" si="192"/>
        <v>62.518301610541769</v>
      </c>
      <c r="AB415" s="38"/>
      <c r="AE415" s="15">
        <v>3.6481481481481483E-2</v>
      </c>
      <c r="AF415" s="11">
        <f t="shared" si="193"/>
        <v>3152.0000000000005</v>
      </c>
      <c r="AG415" s="8">
        <v>2.0575000000000001</v>
      </c>
      <c r="AH415" s="8">
        <v>2.0405000000000002</v>
      </c>
      <c r="AI415" s="8">
        <v>2.0488</v>
      </c>
      <c r="AJ415" s="8">
        <v>2.0283000000000002</v>
      </c>
      <c r="AK415" s="8">
        <v>2.0366</v>
      </c>
      <c r="AL415" s="8">
        <v>2.0280999999999998</v>
      </c>
      <c r="AM415" s="8">
        <v>1.9601999999999999</v>
      </c>
      <c r="AN415" s="8">
        <v>1.9406000000000001</v>
      </c>
      <c r="AO415" s="8">
        <v>1.9056</v>
      </c>
      <c r="AP415" s="8">
        <v>1.9049</v>
      </c>
      <c r="AQ415" s="8">
        <v>1.9619</v>
      </c>
      <c r="AR415" s="8">
        <v>1.9509000000000001</v>
      </c>
      <c r="AS415" s="8">
        <v>1.998</v>
      </c>
      <c r="AT415" s="8">
        <v>2.0017</v>
      </c>
      <c r="AU415" s="8">
        <v>2.0123000000000002</v>
      </c>
      <c r="AV415" s="8">
        <v>2.0078</v>
      </c>
      <c r="AW415" s="8">
        <v>2.0053999999999998</v>
      </c>
      <c r="AX415" s="8">
        <v>1.9964</v>
      </c>
      <c r="AY415" s="8">
        <v>1.9919</v>
      </c>
      <c r="AZ415" s="8">
        <v>1.9849000000000001</v>
      </c>
      <c r="BA415" s="8">
        <v>1.9831000000000001</v>
      </c>
      <c r="BB415" s="8">
        <v>1.9835</v>
      </c>
      <c r="BC415" s="8">
        <v>1.9791000000000001</v>
      </c>
      <c r="BD415" s="8">
        <v>1.9477</v>
      </c>
    </row>
    <row r="416" spans="2:56" x14ac:dyDescent="0.3">
      <c r="B416" s="35">
        <f t="shared" si="168"/>
        <v>3160</v>
      </c>
      <c r="C416" s="39">
        <f t="shared" si="169"/>
        <v>23.005612493899449</v>
      </c>
      <c r="D416" s="39">
        <f t="shared" si="170"/>
        <v>23.425573450463595</v>
      </c>
      <c r="E416" s="39">
        <f t="shared" si="171"/>
        <v>27.607613469985338</v>
      </c>
      <c r="F416" s="39">
        <f t="shared" si="172"/>
        <v>31.743777452415898</v>
      </c>
      <c r="G416" s="39">
        <f t="shared" si="173"/>
        <v>32.779404587603558</v>
      </c>
      <c r="H416" s="39">
        <f t="shared" si="174"/>
        <v>35.474377745241661</v>
      </c>
      <c r="I416" s="39">
        <f t="shared" si="175"/>
        <v>60.51756954612015</v>
      </c>
      <c r="J416" s="39">
        <f t="shared" si="176"/>
        <v>69.992923377257057</v>
      </c>
      <c r="K416" s="39">
        <f t="shared" si="177"/>
        <v>81.249145924841443</v>
      </c>
      <c r="L416" s="39">
        <f t="shared" si="178"/>
        <v>87.706686188384566</v>
      </c>
      <c r="M416" s="39">
        <f t="shared" si="179"/>
        <v>61.023670082967257</v>
      </c>
      <c r="N416" s="39">
        <f t="shared" si="180"/>
        <v>46.040751586139457</v>
      </c>
      <c r="O416" s="39"/>
      <c r="P416" s="39">
        <f t="shared" si="181"/>
        <v>53.930941922889104</v>
      </c>
      <c r="Q416" s="39">
        <f t="shared" si="182"/>
        <v>50.889214250854039</v>
      </c>
      <c r="R416" s="39">
        <f t="shared" si="183"/>
        <v>51.418984870668723</v>
      </c>
      <c r="S416" s="39">
        <f t="shared" si="184"/>
        <v>50.016837481698218</v>
      </c>
      <c r="T416" s="39">
        <f t="shared" si="185"/>
        <v>53.44338701805782</v>
      </c>
      <c r="U416" s="39">
        <f t="shared" si="186"/>
        <v>43.498291849682708</v>
      </c>
      <c r="V416" s="39">
        <f t="shared" si="187"/>
        <v>54.892874572962505</v>
      </c>
      <c r="W416" s="39">
        <f t="shared" si="188"/>
        <v>57.828452903855464</v>
      </c>
      <c r="X416" s="39">
        <f t="shared" si="189"/>
        <v>55.065641776476511</v>
      </c>
      <c r="Y416" s="39">
        <f t="shared" si="190"/>
        <v>59.290385553928736</v>
      </c>
      <c r="Z416" s="39">
        <f t="shared" si="191"/>
        <v>61.206686188384538</v>
      </c>
      <c r="AA416" s="39">
        <f t="shared" si="192"/>
        <v>62.37188872620797</v>
      </c>
      <c r="AB416" s="38"/>
      <c r="AE416" s="15">
        <v>3.6574074074074071E-2</v>
      </c>
      <c r="AF416" s="11">
        <f t="shared" si="193"/>
        <v>3160</v>
      </c>
      <c r="AG416" s="8">
        <v>2.0571999999999999</v>
      </c>
      <c r="AH416" s="8">
        <v>2.0411000000000001</v>
      </c>
      <c r="AI416" s="8">
        <v>2.0499000000000001</v>
      </c>
      <c r="AJ416" s="8">
        <v>2.0291999999999999</v>
      </c>
      <c r="AK416" s="8">
        <v>2.0373000000000001</v>
      </c>
      <c r="AL416" s="8">
        <v>2.0257000000000001</v>
      </c>
      <c r="AM416" s="8">
        <v>1.9603999999999999</v>
      </c>
      <c r="AN416" s="8">
        <v>1.9411</v>
      </c>
      <c r="AO416" s="8">
        <v>1.9038999999999999</v>
      </c>
      <c r="AP416" s="8">
        <v>1.905</v>
      </c>
      <c r="AQ416" s="8">
        <v>1.9598</v>
      </c>
      <c r="AR416" s="8">
        <v>1.9509000000000001</v>
      </c>
      <c r="AS416" s="8">
        <v>1.9983</v>
      </c>
      <c r="AT416" s="8">
        <v>2.0004</v>
      </c>
      <c r="AU416" s="8">
        <v>2.0135999999999998</v>
      </c>
      <c r="AV416" s="8">
        <v>2.0083000000000002</v>
      </c>
      <c r="AW416" s="8">
        <v>2.0053999999999998</v>
      </c>
      <c r="AX416" s="8">
        <v>1.9951000000000001</v>
      </c>
      <c r="AY416" s="8">
        <v>1.9923</v>
      </c>
      <c r="AZ416" s="8">
        <v>1.9863999999999999</v>
      </c>
      <c r="BA416" s="8">
        <v>1.982</v>
      </c>
      <c r="BB416" s="8">
        <v>1.9836</v>
      </c>
      <c r="BC416" s="8">
        <v>1.9798</v>
      </c>
      <c r="BD416" s="8">
        <v>1.948</v>
      </c>
    </row>
    <row r="417" spans="2:56" x14ac:dyDescent="0.3">
      <c r="B417" s="35">
        <f t="shared" si="168"/>
        <v>3168</v>
      </c>
      <c r="C417" s="39">
        <f t="shared" si="169"/>
        <v>22.1271351878964</v>
      </c>
      <c r="D417" s="39">
        <f t="shared" si="170"/>
        <v>23.620790629575332</v>
      </c>
      <c r="E417" s="39">
        <f t="shared" si="171"/>
        <v>28.095656417764687</v>
      </c>
      <c r="F417" s="39">
        <f t="shared" si="172"/>
        <v>31.255734504636553</v>
      </c>
      <c r="G417" s="39">
        <f t="shared" si="173"/>
        <v>32.486578818935953</v>
      </c>
      <c r="H417" s="39">
        <f t="shared" si="174"/>
        <v>35.279160566129924</v>
      </c>
      <c r="I417" s="39">
        <f t="shared" si="175"/>
        <v>60.37115666178623</v>
      </c>
      <c r="J417" s="39">
        <f t="shared" si="176"/>
        <v>70.188140556368793</v>
      </c>
      <c r="K417" s="39">
        <f t="shared" si="177"/>
        <v>80.517081503172307</v>
      </c>
      <c r="L417" s="39">
        <f t="shared" si="178"/>
        <v>87.462664714494878</v>
      </c>
      <c r="M417" s="39">
        <f t="shared" si="179"/>
        <v>60.730844314299652</v>
      </c>
      <c r="N417" s="39">
        <f t="shared" si="180"/>
        <v>45.796730112249776</v>
      </c>
      <c r="O417" s="39"/>
      <c r="P417" s="39">
        <f t="shared" si="181"/>
        <v>53.882137628111174</v>
      </c>
      <c r="Q417" s="39">
        <f t="shared" si="182"/>
        <v>50.352367008296639</v>
      </c>
      <c r="R417" s="39">
        <f t="shared" si="183"/>
        <v>51.467789165446554</v>
      </c>
      <c r="S417" s="39">
        <f t="shared" si="184"/>
        <v>50.114446071254086</v>
      </c>
      <c r="T417" s="39">
        <f t="shared" si="185"/>
        <v>54.077842850170875</v>
      </c>
      <c r="U417" s="39">
        <f t="shared" si="186"/>
        <v>43.303074670570972</v>
      </c>
      <c r="V417" s="39">
        <f t="shared" si="187"/>
        <v>56.552220595412514</v>
      </c>
      <c r="W417" s="39">
        <f t="shared" si="188"/>
        <v>57.828452903855464</v>
      </c>
      <c r="X417" s="39">
        <f t="shared" si="189"/>
        <v>55.21205466081031</v>
      </c>
      <c r="Y417" s="39">
        <f t="shared" si="190"/>
        <v>60.510492923377221</v>
      </c>
      <c r="Z417" s="39">
        <f t="shared" si="191"/>
        <v>61.353099072718351</v>
      </c>
      <c r="AA417" s="39">
        <f t="shared" si="192"/>
        <v>61.932650073206446</v>
      </c>
      <c r="AB417" s="38"/>
      <c r="AE417" s="15">
        <v>3.6666666666666667E-2</v>
      </c>
      <c r="AF417" s="11">
        <f t="shared" si="193"/>
        <v>3168</v>
      </c>
      <c r="AG417" s="8">
        <v>2.0590000000000002</v>
      </c>
      <c r="AH417" s="8">
        <v>2.0407000000000002</v>
      </c>
      <c r="AI417" s="8">
        <v>2.0489000000000002</v>
      </c>
      <c r="AJ417" s="8">
        <v>2.0301999999999998</v>
      </c>
      <c r="AK417" s="8">
        <v>2.0379</v>
      </c>
      <c r="AL417" s="8">
        <v>2.0261</v>
      </c>
      <c r="AM417" s="8">
        <v>1.9607000000000001</v>
      </c>
      <c r="AN417" s="8">
        <v>1.9407000000000001</v>
      </c>
      <c r="AO417" s="8">
        <v>1.9054</v>
      </c>
      <c r="AP417" s="8">
        <v>1.9055</v>
      </c>
      <c r="AQ417" s="8">
        <v>1.9603999999999999</v>
      </c>
      <c r="AR417" s="8">
        <v>1.9514</v>
      </c>
      <c r="AS417" s="8">
        <v>1.9984</v>
      </c>
      <c r="AT417" s="8">
        <v>2.0015000000000001</v>
      </c>
      <c r="AU417" s="8">
        <v>2.0135000000000001</v>
      </c>
      <c r="AV417" s="8">
        <v>2.0081000000000002</v>
      </c>
      <c r="AW417" s="8">
        <v>2.0041000000000002</v>
      </c>
      <c r="AX417" s="8">
        <v>1.9955000000000001</v>
      </c>
      <c r="AY417" s="8">
        <v>1.9888999999999999</v>
      </c>
      <c r="AZ417" s="8">
        <v>1.9863999999999999</v>
      </c>
      <c r="BA417" s="8">
        <v>1.9817</v>
      </c>
      <c r="BB417" s="8">
        <v>1.9811000000000001</v>
      </c>
      <c r="BC417" s="8">
        <v>1.9795</v>
      </c>
      <c r="BD417" s="8">
        <v>1.9489000000000001</v>
      </c>
    </row>
    <row r="418" spans="2:56" x14ac:dyDescent="0.3">
      <c r="B418" s="35">
        <f t="shared" si="168"/>
        <v>3176</v>
      </c>
      <c r="C418" s="39">
        <f t="shared" si="169"/>
        <v>22.712786725231837</v>
      </c>
      <c r="D418" s="39">
        <f t="shared" si="170"/>
        <v>23.816007808687292</v>
      </c>
      <c r="E418" s="39">
        <f t="shared" si="171"/>
        <v>27.705222059541207</v>
      </c>
      <c r="F418" s="39">
        <f t="shared" si="172"/>
        <v>31.450951683748293</v>
      </c>
      <c r="G418" s="39">
        <f t="shared" si="173"/>
        <v>32.779404587603558</v>
      </c>
      <c r="H418" s="39">
        <f t="shared" si="174"/>
        <v>34.791117618350569</v>
      </c>
      <c r="I418" s="39">
        <f t="shared" si="175"/>
        <v>60.37115666178623</v>
      </c>
      <c r="J418" s="39">
        <f t="shared" si="176"/>
        <v>71.213030746705542</v>
      </c>
      <c r="K418" s="39">
        <f t="shared" si="177"/>
        <v>79.931429965836969</v>
      </c>
      <c r="L418" s="39">
        <f t="shared" si="178"/>
        <v>86.87701317715954</v>
      </c>
      <c r="M418" s="39">
        <f t="shared" si="179"/>
        <v>60.584431429965733</v>
      </c>
      <c r="N418" s="39">
        <f t="shared" si="180"/>
        <v>46.2359687652513</v>
      </c>
      <c r="O418" s="39"/>
      <c r="P418" s="39">
        <f t="shared" si="181"/>
        <v>53.930941922889104</v>
      </c>
      <c r="Q418" s="39">
        <f t="shared" si="182"/>
        <v>50.693997071742295</v>
      </c>
      <c r="R418" s="39">
        <f t="shared" si="183"/>
        <v>51.614202049780459</v>
      </c>
      <c r="S418" s="39">
        <f t="shared" si="184"/>
        <v>50.797706198145391</v>
      </c>
      <c r="T418" s="39">
        <f t="shared" si="185"/>
        <v>53.736212786725432</v>
      </c>
      <c r="U418" s="39">
        <f t="shared" si="186"/>
        <v>43.01024890190336</v>
      </c>
      <c r="V418" s="39">
        <f t="shared" si="187"/>
        <v>55.380917520741853</v>
      </c>
      <c r="W418" s="39">
        <f t="shared" si="188"/>
        <v>58.218887262078937</v>
      </c>
      <c r="X418" s="39">
        <f t="shared" si="189"/>
        <v>54.87042459736476</v>
      </c>
      <c r="Y418" s="39">
        <f t="shared" si="190"/>
        <v>60.266471449487547</v>
      </c>
      <c r="Z418" s="39">
        <f t="shared" si="191"/>
        <v>61.694729136164</v>
      </c>
      <c r="AA418" s="39">
        <f t="shared" si="192"/>
        <v>62.323084431430033</v>
      </c>
      <c r="AB418" s="38"/>
      <c r="AE418" s="15">
        <v>3.6759259259259255E-2</v>
      </c>
      <c r="AF418" s="11">
        <f t="shared" si="193"/>
        <v>3176</v>
      </c>
      <c r="AG418" s="8">
        <v>2.0577999999999999</v>
      </c>
      <c r="AH418" s="8">
        <v>2.0402999999999998</v>
      </c>
      <c r="AI418" s="8">
        <v>2.0497000000000001</v>
      </c>
      <c r="AJ418" s="8">
        <v>2.0297999999999998</v>
      </c>
      <c r="AK418" s="8">
        <v>2.0373000000000001</v>
      </c>
      <c r="AL418" s="8">
        <v>2.0270999999999999</v>
      </c>
      <c r="AM418" s="8">
        <v>1.9607000000000001</v>
      </c>
      <c r="AN418" s="8">
        <v>1.9386000000000001</v>
      </c>
      <c r="AO418" s="8">
        <v>1.9066000000000001</v>
      </c>
      <c r="AP418" s="8">
        <v>1.9067000000000001</v>
      </c>
      <c r="AQ418" s="8">
        <v>1.9607000000000001</v>
      </c>
      <c r="AR418" s="8">
        <v>1.9504999999999999</v>
      </c>
      <c r="AS418" s="8">
        <v>1.9983</v>
      </c>
      <c r="AT418" s="8">
        <v>2.0007999999999999</v>
      </c>
      <c r="AU418" s="8">
        <v>2.0131999999999999</v>
      </c>
      <c r="AV418" s="8">
        <v>2.0066999999999999</v>
      </c>
      <c r="AW418" s="8">
        <v>2.0047999999999999</v>
      </c>
      <c r="AX418" s="8">
        <v>1.9961</v>
      </c>
      <c r="AY418" s="8">
        <v>1.9913000000000001</v>
      </c>
      <c r="AZ418" s="8">
        <v>1.9856</v>
      </c>
      <c r="BA418" s="8">
        <v>1.9823999999999999</v>
      </c>
      <c r="BB418" s="8">
        <v>1.9816</v>
      </c>
      <c r="BC418" s="8">
        <v>1.9787999999999999</v>
      </c>
      <c r="BD418" s="8">
        <v>1.9480999999999999</v>
      </c>
    </row>
    <row r="419" spans="2:56" x14ac:dyDescent="0.3">
      <c r="B419" s="35">
        <f t="shared" si="168"/>
        <v>3184</v>
      </c>
      <c r="C419" s="39">
        <f t="shared" si="169"/>
        <v>22.224743777452272</v>
      </c>
      <c r="D419" s="39">
        <f t="shared" si="170"/>
        <v>23.571986334797508</v>
      </c>
      <c r="E419" s="39">
        <f t="shared" si="171"/>
        <v>27.314787701317726</v>
      </c>
      <c r="F419" s="39">
        <f t="shared" si="172"/>
        <v>31.597364568081989</v>
      </c>
      <c r="G419" s="39">
        <f t="shared" si="173"/>
        <v>31.998535871156598</v>
      </c>
      <c r="H419" s="39">
        <f t="shared" si="174"/>
        <v>35.230356271352093</v>
      </c>
      <c r="I419" s="39">
        <f t="shared" si="175"/>
        <v>60.566373840898081</v>
      </c>
      <c r="J419" s="39">
        <f t="shared" si="176"/>
        <v>70.92020497803793</v>
      </c>
      <c r="K419" s="39">
        <f t="shared" si="177"/>
        <v>80.077842850170782</v>
      </c>
      <c r="L419" s="39">
        <f t="shared" si="178"/>
        <v>87.316251830161065</v>
      </c>
      <c r="M419" s="39">
        <f t="shared" si="179"/>
        <v>60.486822840409864</v>
      </c>
      <c r="N419" s="39">
        <f t="shared" si="180"/>
        <v>45.796730112249776</v>
      </c>
      <c r="O419" s="39"/>
      <c r="P419" s="39">
        <f t="shared" si="181"/>
        <v>54.663006344558241</v>
      </c>
      <c r="Q419" s="39">
        <f t="shared" si="182"/>
        <v>50.498779892630552</v>
      </c>
      <c r="R419" s="39">
        <f t="shared" si="183"/>
        <v>51.27257198633481</v>
      </c>
      <c r="S419" s="39">
        <f t="shared" si="184"/>
        <v>49.479990239141038</v>
      </c>
      <c r="T419" s="39">
        <f t="shared" si="185"/>
        <v>53.980234260614999</v>
      </c>
      <c r="U419" s="39">
        <f t="shared" si="186"/>
        <v>43.693509028794566</v>
      </c>
      <c r="V419" s="39">
        <f t="shared" si="187"/>
        <v>55.332113225963923</v>
      </c>
      <c r="W419" s="39">
        <f t="shared" si="188"/>
        <v>58.170082967301006</v>
      </c>
      <c r="X419" s="39">
        <f t="shared" si="189"/>
        <v>54.772816007808892</v>
      </c>
      <c r="Y419" s="39">
        <f t="shared" si="190"/>
        <v>59.827232796486129</v>
      </c>
      <c r="Z419" s="39">
        <f t="shared" si="191"/>
        <v>61.841142020497813</v>
      </c>
      <c r="AA419" s="39">
        <f t="shared" si="192"/>
        <v>62.37188872620797</v>
      </c>
      <c r="AB419" s="38"/>
      <c r="AE419" s="15">
        <v>3.6851851851851851E-2</v>
      </c>
      <c r="AF419" s="11">
        <f t="shared" si="193"/>
        <v>3184</v>
      </c>
      <c r="AG419" s="8">
        <v>2.0588000000000002</v>
      </c>
      <c r="AH419" s="8">
        <v>2.0407999999999999</v>
      </c>
      <c r="AI419" s="8">
        <v>2.0505</v>
      </c>
      <c r="AJ419" s="8">
        <v>2.0295000000000001</v>
      </c>
      <c r="AK419" s="8">
        <v>2.0388999999999999</v>
      </c>
      <c r="AL419" s="8">
        <v>2.0261999999999998</v>
      </c>
      <c r="AM419" s="8">
        <v>1.9602999999999999</v>
      </c>
      <c r="AN419" s="8">
        <v>1.9392</v>
      </c>
      <c r="AO419" s="8">
        <v>1.9063000000000001</v>
      </c>
      <c r="AP419" s="8">
        <v>1.9057999999999999</v>
      </c>
      <c r="AQ419" s="8">
        <v>1.9609000000000001</v>
      </c>
      <c r="AR419" s="8">
        <v>1.9514</v>
      </c>
      <c r="AS419" s="8">
        <v>1.9967999999999999</v>
      </c>
      <c r="AT419" s="8">
        <v>2.0011999999999999</v>
      </c>
      <c r="AU419" s="8">
        <v>2.0139</v>
      </c>
      <c r="AV419" s="8">
        <v>2.0093999999999999</v>
      </c>
      <c r="AW419" s="8">
        <v>2.0043000000000002</v>
      </c>
      <c r="AX419" s="8">
        <v>1.9946999999999999</v>
      </c>
      <c r="AY419" s="8">
        <v>1.9914000000000001</v>
      </c>
      <c r="AZ419" s="8">
        <v>1.9857</v>
      </c>
      <c r="BA419" s="8">
        <v>1.9825999999999999</v>
      </c>
      <c r="BB419" s="8">
        <v>1.9824999999999999</v>
      </c>
      <c r="BC419" s="8">
        <v>1.9784999999999999</v>
      </c>
      <c r="BD419" s="8">
        <v>1.948</v>
      </c>
    </row>
    <row r="420" spans="2:56" x14ac:dyDescent="0.3">
      <c r="B420" s="35">
        <f t="shared" si="168"/>
        <v>3192</v>
      </c>
      <c r="C420" s="39">
        <f t="shared" si="169"/>
        <v>22.078330893118572</v>
      </c>
      <c r="D420" s="39">
        <f t="shared" si="170"/>
        <v>23.425573450463595</v>
      </c>
      <c r="E420" s="39">
        <f t="shared" si="171"/>
        <v>28.095656417764687</v>
      </c>
      <c r="F420" s="39">
        <f t="shared" si="172"/>
        <v>31.450951683748293</v>
      </c>
      <c r="G420" s="39">
        <f t="shared" si="173"/>
        <v>32.29136163982421</v>
      </c>
      <c r="H420" s="39">
        <f t="shared" si="174"/>
        <v>36.255246461688841</v>
      </c>
      <c r="I420" s="39">
        <f t="shared" si="175"/>
        <v>60.224743777452424</v>
      </c>
      <c r="J420" s="39">
        <f t="shared" si="176"/>
        <v>70.529770619814457</v>
      </c>
      <c r="K420" s="39">
        <f t="shared" si="177"/>
        <v>80.858711566617842</v>
      </c>
      <c r="L420" s="39">
        <f t="shared" si="178"/>
        <v>87.316251830161065</v>
      </c>
      <c r="M420" s="39">
        <f t="shared" si="179"/>
        <v>60.389214250853996</v>
      </c>
      <c r="N420" s="39">
        <f t="shared" si="180"/>
        <v>46.2359687652513</v>
      </c>
      <c r="O420" s="39"/>
      <c r="P420" s="39">
        <f t="shared" si="181"/>
        <v>54.467789165446398</v>
      </c>
      <c r="Q420" s="39">
        <f t="shared" si="182"/>
        <v>50.645192776964251</v>
      </c>
      <c r="R420" s="39">
        <f t="shared" si="183"/>
        <v>52.053440702781771</v>
      </c>
      <c r="S420" s="39">
        <f t="shared" si="184"/>
        <v>49.626403123474738</v>
      </c>
      <c r="T420" s="39">
        <f t="shared" si="185"/>
        <v>53.833821376281307</v>
      </c>
      <c r="U420" s="39">
        <f t="shared" si="186"/>
        <v>44.083943387018039</v>
      </c>
      <c r="V420" s="39">
        <f t="shared" si="187"/>
        <v>56.11298194241099</v>
      </c>
      <c r="W420" s="39">
        <f t="shared" si="188"/>
        <v>58.950951683748073</v>
      </c>
      <c r="X420" s="39">
        <f t="shared" si="189"/>
        <v>54.577598828697049</v>
      </c>
      <c r="Y420" s="39">
        <f t="shared" si="190"/>
        <v>60.217667154709616</v>
      </c>
      <c r="Z420" s="39">
        <f t="shared" si="191"/>
        <v>62.42679355783303</v>
      </c>
      <c r="AA420" s="39">
        <f t="shared" si="192"/>
        <v>62.127867252318296</v>
      </c>
      <c r="AB420" s="38"/>
      <c r="AE420" s="15">
        <v>3.6944444444444446E-2</v>
      </c>
      <c r="AF420" s="11">
        <f t="shared" si="193"/>
        <v>3192</v>
      </c>
      <c r="AG420" s="8">
        <v>2.0590999999999999</v>
      </c>
      <c r="AH420" s="8">
        <v>2.0411000000000001</v>
      </c>
      <c r="AI420" s="8">
        <v>2.0489000000000002</v>
      </c>
      <c r="AJ420" s="8">
        <v>2.0297999999999998</v>
      </c>
      <c r="AK420" s="8">
        <v>2.0383</v>
      </c>
      <c r="AL420" s="8">
        <v>2.0240999999999998</v>
      </c>
      <c r="AM420" s="8">
        <v>1.9610000000000001</v>
      </c>
      <c r="AN420" s="8">
        <v>1.94</v>
      </c>
      <c r="AO420" s="8">
        <v>1.9047000000000001</v>
      </c>
      <c r="AP420" s="8">
        <v>1.9057999999999999</v>
      </c>
      <c r="AQ420" s="8">
        <v>1.9611000000000001</v>
      </c>
      <c r="AR420" s="8">
        <v>1.9504999999999999</v>
      </c>
      <c r="AS420" s="8">
        <v>1.9972000000000001</v>
      </c>
      <c r="AT420" s="8">
        <v>2.0009000000000001</v>
      </c>
      <c r="AU420" s="8">
        <v>2.0123000000000002</v>
      </c>
      <c r="AV420" s="8">
        <v>2.0091000000000001</v>
      </c>
      <c r="AW420" s="8">
        <v>2.0045999999999999</v>
      </c>
      <c r="AX420" s="8">
        <v>1.9939</v>
      </c>
      <c r="AY420" s="8">
        <v>1.9898</v>
      </c>
      <c r="AZ420" s="8">
        <v>1.9841</v>
      </c>
      <c r="BA420" s="8">
        <v>1.9830000000000001</v>
      </c>
      <c r="BB420" s="8">
        <v>1.9817</v>
      </c>
      <c r="BC420" s="8">
        <v>1.9773000000000001</v>
      </c>
      <c r="BD420" s="8">
        <v>1.9484999999999999</v>
      </c>
    </row>
    <row r="421" spans="2:56" x14ac:dyDescent="0.3">
      <c r="B421" s="35">
        <f t="shared" si="168"/>
        <v>3200.0000000000005</v>
      </c>
      <c r="C421" s="39">
        <f t="shared" si="169"/>
        <v>21.639092240117051</v>
      </c>
      <c r="D421" s="39">
        <f t="shared" si="170"/>
        <v>23.864812103465116</v>
      </c>
      <c r="E421" s="39">
        <f t="shared" si="171"/>
        <v>28.095656417764687</v>
      </c>
      <c r="F421" s="39">
        <f t="shared" si="172"/>
        <v>31.499755978526121</v>
      </c>
      <c r="G421" s="39">
        <f t="shared" si="173"/>
        <v>32.388970229380085</v>
      </c>
      <c r="H421" s="39">
        <f t="shared" si="174"/>
        <v>35.230356271352093</v>
      </c>
      <c r="I421" s="39">
        <f t="shared" si="175"/>
        <v>60.566373840898081</v>
      </c>
      <c r="J421" s="39">
        <f t="shared" si="176"/>
        <v>70.188140556368793</v>
      </c>
      <c r="K421" s="39">
        <f t="shared" si="177"/>
        <v>80.175451439726757</v>
      </c>
      <c r="L421" s="39">
        <f t="shared" si="178"/>
        <v>87.316251830161065</v>
      </c>
      <c r="M421" s="39">
        <f t="shared" si="179"/>
        <v>61.414104441190737</v>
      </c>
      <c r="N421" s="39">
        <f t="shared" si="180"/>
        <v>46.089555880917388</v>
      </c>
      <c r="O421" s="39"/>
      <c r="P421" s="39">
        <f t="shared" si="181"/>
        <v>54.370180575890529</v>
      </c>
      <c r="Q421" s="39">
        <f t="shared" si="182"/>
        <v>51.084431429965775</v>
      </c>
      <c r="R421" s="39">
        <f t="shared" si="183"/>
        <v>52.053440702781771</v>
      </c>
      <c r="S421" s="39">
        <f t="shared" si="184"/>
        <v>50.651293313811479</v>
      </c>
      <c r="T421" s="39">
        <f t="shared" si="185"/>
        <v>54.175451439726956</v>
      </c>
      <c r="U421" s="39">
        <f t="shared" si="186"/>
        <v>44.474377745241519</v>
      </c>
      <c r="V421" s="39">
        <f t="shared" si="187"/>
        <v>55.234504636408055</v>
      </c>
      <c r="W421" s="39">
        <f t="shared" si="188"/>
        <v>57.974865788189263</v>
      </c>
      <c r="X421" s="39">
        <f t="shared" si="189"/>
        <v>55.065641776476511</v>
      </c>
      <c r="Y421" s="39">
        <f t="shared" si="190"/>
        <v>59.876037091264067</v>
      </c>
      <c r="Z421" s="39">
        <f t="shared" si="191"/>
        <v>61.792337725719875</v>
      </c>
      <c r="AA421" s="39">
        <f t="shared" si="192"/>
        <v>62.811127379209388</v>
      </c>
      <c r="AB421" s="38"/>
      <c r="AE421" s="15">
        <v>3.7037037037037042E-2</v>
      </c>
      <c r="AF421" s="11">
        <f t="shared" si="193"/>
        <v>3200.0000000000005</v>
      </c>
      <c r="AG421" s="8">
        <v>2.06</v>
      </c>
      <c r="AH421" s="8">
        <v>2.0402</v>
      </c>
      <c r="AI421" s="8">
        <v>2.0489000000000002</v>
      </c>
      <c r="AJ421" s="8">
        <v>2.0297000000000001</v>
      </c>
      <c r="AK421" s="8">
        <v>2.0381</v>
      </c>
      <c r="AL421" s="8">
        <v>2.0261999999999998</v>
      </c>
      <c r="AM421" s="8">
        <v>1.9602999999999999</v>
      </c>
      <c r="AN421" s="8">
        <v>1.9407000000000001</v>
      </c>
      <c r="AO421" s="8">
        <v>1.9060999999999999</v>
      </c>
      <c r="AP421" s="8">
        <v>1.9057999999999999</v>
      </c>
      <c r="AQ421" s="8">
        <v>1.9590000000000001</v>
      </c>
      <c r="AR421" s="8">
        <v>1.9508000000000001</v>
      </c>
      <c r="AS421" s="8">
        <v>1.9974000000000001</v>
      </c>
      <c r="AT421" s="8">
        <v>2</v>
      </c>
      <c r="AU421" s="8">
        <v>2.0123000000000002</v>
      </c>
      <c r="AV421" s="8">
        <v>2.0070000000000001</v>
      </c>
      <c r="AW421" s="8">
        <v>2.0038999999999998</v>
      </c>
      <c r="AX421" s="8">
        <v>1.9931000000000001</v>
      </c>
      <c r="AY421" s="8">
        <v>1.9916</v>
      </c>
      <c r="AZ421" s="8">
        <v>1.9861</v>
      </c>
      <c r="BA421" s="8">
        <v>1.982</v>
      </c>
      <c r="BB421" s="8">
        <v>1.9823999999999999</v>
      </c>
      <c r="BC421" s="8">
        <v>1.9785999999999999</v>
      </c>
      <c r="BD421" s="8">
        <v>1.9471000000000001</v>
      </c>
    </row>
    <row r="422" spans="2:56" x14ac:dyDescent="0.3">
      <c r="B422" s="35">
        <f t="shared" si="168"/>
        <v>3208</v>
      </c>
      <c r="C422" s="39">
        <f t="shared" si="169"/>
        <v>22.029526598340532</v>
      </c>
      <c r="D422" s="39">
        <f t="shared" si="170"/>
        <v>23.279160566129896</v>
      </c>
      <c r="E422" s="39">
        <f t="shared" si="171"/>
        <v>28.095656417764687</v>
      </c>
      <c r="F422" s="39">
        <f t="shared" si="172"/>
        <v>31.499755978526121</v>
      </c>
      <c r="G422" s="39">
        <f t="shared" si="173"/>
        <v>32.193753050268334</v>
      </c>
      <c r="H422" s="39">
        <f t="shared" si="174"/>
        <v>35.962420693021016</v>
      </c>
      <c r="I422" s="39">
        <f t="shared" si="175"/>
        <v>60.761591020009824</v>
      </c>
      <c r="J422" s="39">
        <f t="shared" si="176"/>
        <v>70.480966325036505</v>
      </c>
      <c r="K422" s="39">
        <f t="shared" si="177"/>
        <v>81.053928745729593</v>
      </c>
      <c r="L422" s="39">
        <f t="shared" si="178"/>
        <v>87.267447535383141</v>
      </c>
      <c r="M422" s="39">
        <f t="shared" si="179"/>
        <v>60.584431429965733</v>
      </c>
      <c r="N422" s="39">
        <f t="shared" si="180"/>
        <v>45.943142996583589</v>
      </c>
      <c r="O422" s="39"/>
      <c r="P422" s="39">
        <f t="shared" si="181"/>
        <v>54.663006344558241</v>
      </c>
      <c r="Q422" s="39">
        <f t="shared" si="182"/>
        <v>50.791605661298171</v>
      </c>
      <c r="R422" s="39">
        <f t="shared" si="183"/>
        <v>51.809419228892203</v>
      </c>
      <c r="S422" s="39">
        <f t="shared" si="184"/>
        <v>49.870424597364519</v>
      </c>
      <c r="T422" s="39">
        <f t="shared" si="185"/>
        <v>54.321864324060648</v>
      </c>
      <c r="U422" s="39">
        <f t="shared" si="186"/>
        <v>45.060029282576849</v>
      </c>
      <c r="V422" s="39">
        <f t="shared" si="187"/>
        <v>54.99048316251838</v>
      </c>
      <c r="W422" s="39">
        <f t="shared" si="188"/>
        <v>60.024646168862752</v>
      </c>
      <c r="X422" s="39">
        <f t="shared" si="189"/>
        <v>54.724011713030961</v>
      </c>
      <c r="Y422" s="39">
        <f t="shared" si="190"/>
        <v>60.168862859931679</v>
      </c>
      <c r="Z422" s="39">
        <f t="shared" si="191"/>
        <v>63.93972669594924</v>
      </c>
      <c r="AA422" s="39">
        <f t="shared" si="192"/>
        <v>62.957540263543201</v>
      </c>
      <c r="AB422" s="38"/>
      <c r="AE422" s="15">
        <v>3.712962962962963E-2</v>
      </c>
      <c r="AF422" s="11">
        <f t="shared" si="193"/>
        <v>3208</v>
      </c>
      <c r="AG422" s="8">
        <v>2.0592000000000001</v>
      </c>
      <c r="AH422" s="8">
        <v>2.0413999999999999</v>
      </c>
      <c r="AI422" s="8">
        <v>2.0489000000000002</v>
      </c>
      <c r="AJ422" s="8">
        <v>2.0297000000000001</v>
      </c>
      <c r="AK422" s="8">
        <v>2.0385</v>
      </c>
      <c r="AL422" s="8">
        <v>2.0247000000000002</v>
      </c>
      <c r="AM422" s="8">
        <v>1.9599</v>
      </c>
      <c r="AN422" s="8">
        <v>1.9400999999999999</v>
      </c>
      <c r="AO422" s="8">
        <v>1.9043000000000001</v>
      </c>
      <c r="AP422" s="8">
        <v>1.9058999999999999</v>
      </c>
      <c r="AQ422" s="8">
        <v>1.9607000000000001</v>
      </c>
      <c r="AR422" s="8">
        <v>1.9511000000000001</v>
      </c>
      <c r="AS422" s="8">
        <v>1.9967999999999999</v>
      </c>
      <c r="AT422" s="8">
        <v>2.0005999999999999</v>
      </c>
      <c r="AU422" s="8">
        <v>2.0127999999999999</v>
      </c>
      <c r="AV422" s="8">
        <v>2.0085999999999999</v>
      </c>
      <c r="AW422" s="8">
        <v>2.0036</v>
      </c>
      <c r="AX422" s="8">
        <v>1.9919</v>
      </c>
      <c r="AY422" s="8">
        <v>1.9921</v>
      </c>
      <c r="AZ422" s="8">
        <v>1.9819</v>
      </c>
      <c r="BA422" s="8">
        <v>1.9826999999999999</v>
      </c>
      <c r="BB422" s="8">
        <v>1.9818</v>
      </c>
      <c r="BC422" s="8">
        <v>1.9742</v>
      </c>
      <c r="BD422" s="8">
        <v>1.9468000000000001</v>
      </c>
    </row>
    <row r="423" spans="2:56" x14ac:dyDescent="0.3">
      <c r="B423" s="35">
        <f t="shared" si="168"/>
        <v>3216</v>
      </c>
      <c r="C423" s="39">
        <f t="shared" si="169"/>
        <v>22.224743777452272</v>
      </c>
      <c r="D423" s="39">
        <f t="shared" si="170"/>
        <v>23.767203513909248</v>
      </c>
      <c r="E423" s="39">
        <f t="shared" si="171"/>
        <v>27.656417764763379</v>
      </c>
      <c r="F423" s="39">
        <f t="shared" si="172"/>
        <v>30.377257198633501</v>
      </c>
      <c r="G423" s="39">
        <f t="shared" si="173"/>
        <v>32.584187408491822</v>
      </c>
      <c r="H423" s="39">
        <f t="shared" si="174"/>
        <v>36.694485114690153</v>
      </c>
      <c r="I423" s="39">
        <f t="shared" si="175"/>
        <v>60.566373840898081</v>
      </c>
      <c r="J423" s="39">
        <f t="shared" si="176"/>
        <v>70.139336261590856</v>
      </c>
      <c r="K423" s="39">
        <f t="shared" si="177"/>
        <v>80.858711566617842</v>
      </c>
      <c r="L423" s="39">
        <f t="shared" si="178"/>
        <v>87.657881893606628</v>
      </c>
      <c r="M423" s="39">
        <f t="shared" si="179"/>
        <v>61.023670082967257</v>
      </c>
      <c r="N423" s="39">
        <f t="shared" si="180"/>
        <v>46.479990239140974</v>
      </c>
      <c r="O423" s="39"/>
      <c r="P423" s="39">
        <f t="shared" si="181"/>
        <v>55.248657881893465</v>
      </c>
      <c r="Q423" s="39">
        <f t="shared" si="182"/>
        <v>51.084431429965775</v>
      </c>
      <c r="R423" s="39">
        <f t="shared" si="183"/>
        <v>53.419960956564168</v>
      </c>
      <c r="S423" s="39">
        <f t="shared" si="184"/>
        <v>50.553684724255611</v>
      </c>
      <c r="T423" s="39">
        <f t="shared" si="185"/>
        <v>54.175451439726956</v>
      </c>
      <c r="U423" s="39">
        <f t="shared" si="186"/>
        <v>43.888726207906302</v>
      </c>
      <c r="V423" s="39">
        <f t="shared" si="187"/>
        <v>55.478526110297729</v>
      </c>
      <c r="W423" s="39">
        <f t="shared" si="188"/>
        <v>58.560517325524479</v>
      </c>
      <c r="X423" s="39">
        <f t="shared" si="189"/>
        <v>54.479990239141181</v>
      </c>
      <c r="Y423" s="39">
        <f t="shared" si="190"/>
        <v>60.412884333821353</v>
      </c>
      <c r="Z423" s="39">
        <f t="shared" si="191"/>
        <v>61.597120546608025</v>
      </c>
      <c r="AA423" s="39">
        <f t="shared" si="192"/>
        <v>62.225475841874172</v>
      </c>
      <c r="AB423" s="38"/>
      <c r="AE423" s="15">
        <v>3.7222222222222219E-2</v>
      </c>
      <c r="AF423" s="11">
        <f t="shared" si="193"/>
        <v>3216</v>
      </c>
      <c r="AG423" s="8">
        <v>2.0588000000000002</v>
      </c>
      <c r="AH423" s="8">
        <v>2.0404</v>
      </c>
      <c r="AI423" s="8">
        <v>2.0497999999999998</v>
      </c>
      <c r="AJ423" s="8">
        <v>2.032</v>
      </c>
      <c r="AK423" s="8">
        <v>2.0377000000000001</v>
      </c>
      <c r="AL423" s="8">
        <v>2.0232000000000001</v>
      </c>
      <c r="AM423" s="8">
        <v>1.9602999999999999</v>
      </c>
      <c r="AN423" s="8">
        <v>1.9408000000000001</v>
      </c>
      <c r="AO423" s="8">
        <v>1.9047000000000001</v>
      </c>
      <c r="AP423" s="8">
        <v>1.9051</v>
      </c>
      <c r="AQ423" s="8">
        <v>1.9598</v>
      </c>
      <c r="AR423" s="8">
        <v>1.95</v>
      </c>
      <c r="AS423" s="8">
        <v>1.9956</v>
      </c>
      <c r="AT423" s="8">
        <v>2</v>
      </c>
      <c r="AU423" s="8">
        <v>2.0095000000000001</v>
      </c>
      <c r="AV423" s="8">
        <v>2.0072000000000001</v>
      </c>
      <c r="AW423" s="8">
        <v>2.0038999999999998</v>
      </c>
      <c r="AX423" s="8">
        <v>1.9943</v>
      </c>
      <c r="AY423" s="8">
        <v>1.9911000000000001</v>
      </c>
      <c r="AZ423" s="8">
        <v>1.9849000000000001</v>
      </c>
      <c r="BA423" s="8">
        <v>1.9832000000000001</v>
      </c>
      <c r="BB423" s="8">
        <v>1.9813000000000001</v>
      </c>
      <c r="BC423" s="8">
        <v>1.9790000000000001</v>
      </c>
      <c r="BD423" s="8">
        <v>1.9482999999999999</v>
      </c>
    </row>
    <row r="424" spans="2:56" x14ac:dyDescent="0.3">
      <c r="B424" s="35">
        <f t="shared" si="168"/>
        <v>3224</v>
      </c>
      <c r="C424" s="39">
        <f t="shared" si="169"/>
        <v>22.566373840897924</v>
      </c>
      <c r="D424" s="39">
        <f t="shared" si="170"/>
        <v>23.523182040019464</v>
      </c>
      <c r="E424" s="39">
        <f t="shared" si="171"/>
        <v>29.02293801854556</v>
      </c>
      <c r="F424" s="39">
        <f t="shared" si="172"/>
        <v>30.767691556856985</v>
      </c>
      <c r="G424" s="39">
        <f t="shared" si="173"/>
        <v>32.925817471937471</v>
      </c>
      <c r="H424" s="39">
        <f t="shared" si="174"/>
        <v>36.060029282576885</v>
      </c>
      <c r="I424" s="39">
        <f t="shared" si="175"/>
        <v>60.224743777452424</v>
      </c>
      <c r="J424" s="39">
        <f t="shared" si="176"/>
        <v>70.285749145924768</v>
      </c>
      <c r="K424" s="39">
        <f t="shared" si="177"/>
        <v>81.444363103953179</v>
      </c>
      <c r="L424" s="39">
        <f t="shared" si="178"/>
        <v>86.730600292825741</v>
      </c>
      <c r="M424" s="39">
        <f t="shared" si="179"/>
        <v>60.340409956076059</v>
      </c>
      <c r="N424" s="39">
        <f t="shared" si="180"/>
        <v>46.284773060029238</v>
      </c>
      <c r="O424" s="39"/>
      <c r="P424" s="39">
        <f t="shared" si="181"/>
        <v>54.565397755002266</v>
      </c>
      <c r="Q424" s="39">
        <f t="shared" si="182"/>
        <v>51.572474377745131</v>
      </c>
      <c r="R424" s="39">
        <f t="shared" si="183"/>
        <v>51.565397755002422</v>
      </c>
      <c r="S424" s="39">
        <f t="shared" si="184"/>
        <v>50.260858955587999</v>
      </c>
      <c r="T424" s="39">
        <f t="shared" si="185"/>
        <v>54.029038555393043</v>
      </c>
      <c r="U424" s="39">
        <f t="shared" si="186"/>
        <v>43.693509028794566</v>
      </c>
      <c r="V424" s="39">
        <f t="shared" si="187"/>
        <v>55.771351878965447</v>
      </c>
      <c r="W424" s="39">
        <f t="shared" si="188"/>
        <v>59.243777452415678</v>
      </c>
      <c r="X424" s="39">
        <f t="shared" si="189"/>
        <v>56.529770619814663</v>
      </c>
      <c r="Y424" s="39">
        <f t="shared" si="190"/>
        <v>60.120058565153741</v>
      </c>
      <c r="Z424" s="39">
        <f t="shared" si="191"/>
        <v>61.889946315275736</v>
      </c>
      <c r="AA424" s="39">
        <f t="shared" si="192"/>
        <v>62.859931673987326</v>
      </c>
      <c r="AB424" s="38"/>
      <c r="AE424" s="15">
        <v>3.7314814814814815E-2</v>
      </c>
      <c r="AF424" s="11">
        <f t="shared" si="193"/>
        <v>3224</v>
      </c>
      <c r="AG424" s="8">
        <v>2.0581</v>
      </c>
      <c r="AH424" s="8">
        <v>2.0409000000000002</v>
      </c>
      <c r="AI424" s="8">
        <v>2.0470000000000002</v>
      </c>
      <c r="AJ424" s="8">
        <v>2.0312000000000001</v>
      </c>
      <c r="AK424" s="8">
        <v>2.0369999999999999</v>
      </c>
      <c r="AL424" s="8">
        <v>2.0245000000000002</v>
      </c>
      <c r="AM424" s="8">
        <v>1.9610000000000001</v>
      </c>
      <c r="AN424" s="8">
        <v>1.9404999999999999</v>
      </c>
      <c r="AO424" s="8">
        <v>1.9035</v>
      </c>
      <c r="AP424" s="8">
        <v>1.907</v>
      </c>
      <c r="AQ424" s="8">
        <v>1.9612000000000001</v>
      </c>
      <c r="AR424" s="8">
        <v>1.9503999999999999</v>
      </c>
      <c r="AS424" s="8">
        <v>1.9970000000000001</v>
      </c>
      <c r="AT424" s="8">
        <v>1.9990000000000001</v>
      </c>
      <c r="AU424" s="8">
        <v>2.0133000000000001</v>
      </c>
      <c r="AV424" s="8">
        <v>2.0078</v>
      </c>
      <c r="AW424" s="8">
        <v>2.0042</v>
      </c>
      <c r="AX424" s="8">
        <v>1.9946999999999999</v>
      </c>
      <c r="AY424" s="8">
        <v>1.9904999999999999</v>
      </c>
      <c r="AZ424" s="8">
        <v>1.9835</v>
      </c>
      <c r="BA424" s="8">
        <v>1.9790000000000001</v>
      </c>
      <c r="BB424" s="8">
        <v>1.9819</v>
      </c>
      <c r="BC424" s="8">
        <v>1.9783999999999999</v>
      </c>
      <c r="BD424" s="8">
        <v>1.9470000000000001</v>
      </c>
    </row>
    <row r="425" spans="2:56" x14ac:dyDescent="0.3">
      <c r="B425" s="35">
        <f t="shared" si="168"/>
        <v>3232</v>
      </c>
      <c r="C425" s="39">
        <f t="shared" si="169"/>
        <v>21.931918008784663</v>
      </c>
      <c r="D425" s="39">
        <f t="shared" si="170"/>
        <v>23.474377745241636</v>
      </c>
      <c r="E425" s="39">
        <f t="shared" si="171"/>
        <v>28.681307955100124</v>
      </c>
      <c r="F425" s="39">
        <f t="shared" si="172"/>
        <v>30.718887262079157</v>
      </c>
      <c r="G425" s="39">
        <f t="shared" si="173"/>
        <v>31.705710102488993</v>
      </c>
      <c r="H425" s="39">
        <f t="shared" si="174"/>
        <v>35.669594924353405</v>
      </c>
      <c r="I425" s="39">
        <f t="shared" si="175"/>
        <v>59.93191800878482</v>
      </c>
      <c r="J425" s="39">
        <f t="shared" si="176"/>
        <v>69.895314787701182</v>
      </c>
      <c r="K425" s="39">
        <f t="shared" si="177"/>
        <v>80.858711566617842</v>
      </c>
      <c r="L425" s="39">
        <f t="shared" si="178"/>
        <v>87.023426061493367</v>
      </c>
      <c r="M425" s="39">
        <f t="shared" si="179"/>
        <v>60.486822840409864</v>
      </c>
      <c r="N425" s="39">
        <f t="shared" si="180"/>
        <v>46.382381649585106</v>
      </c>
      <c r="O425" s="39"/>
      <c r="P425" s="39">
        <f t="shared" si="181"/>
        <v>55.151049292337596</v>
      </c>
      <c r="Q425" s="39">
        <f t="shared" si="182"/>
        <v>51.084431429965775</v>
      </c>
      <c r="R425" s="39">
        <f t="shared" si="183"/>
        <v>52.639092240117215</v>
      </c>
      <c r="S425" s="39">
        <f t="shared" si="184"/>
        <v>50.212054660810175</v>
      </c>
      <c r="T425" s="39">
        <f t="shared" si="185"/>
        <v>54.273060029282831</v>
      </c>
      <c r="U425" s="39">
        <f t="shared" si="186"/>
        <v>44.767203513909237</v>
      </c>
      <c r="V425" s="39">
        <f t="shared" si="187"/>
        <v>55.088091752074249</v>
      </c>
      <c r="W425" s="39">
        <f t="shared" si="188"/>
        <v>58.316495851634805</v>
      </c>
      <c r="X425" s="39">
        <f t="shared" si="189"/>
        <v>55.163250366032379</v>
      </c>
      <c r="Y425" s="39">
        <f t="shared" si="190"/>
        <v>60.852122986822877</v>
      </c>
      <c r="Z425" s="39">
        <f t="shared" si="191"/>
        <v>61.694729136164</v>
      </c>
      <c r="AA425" s="39">
        <f t="shared" si="192"/>
        <v>63.103953147877107</v>
      </c>
      <c r="AB425" s="38"/>
      <c r="AE425" s="15">
        <v>3.740740740740741E-2</v>
      </c>
      <c r="AF425" s="11">
        <f t="shared" si="193"/>
        <v>3232</v>
      </c>
      <c r="AG425" s="8">
        <v>2.0594000000000001</v>
      </c>
      <c r="AH425" s="8">
        <v>2.0409999999999999</v>
      </c>
      <c r="AI425" s="8">
        <v>2.0476999999999999</v>
      </c>
      <c r="AJ425" s="8">
        <v>2.0312999999999999</v>
      </c>
      <c r="AK425" s="8">
        <v>2.0394999999999999</v>
      </c>
      <c r="AL425" s="8">
        <v>2.0253000000000001</v>
      </c>
      <c r="AM425" s="8">
        <v>1.9616</v>
      </c>
      <c r="AN425" s="8">
        <v>1.9413</v>
      </c>
      <c r="AO425" s="8">
        <v>1.9047000000000001</v>
      </c>
      <c r="AP425" s="8">
        <v>1.9064000000000001</v>
      </c>
      <c r="AQ425" s="8">
        <v>1.9609000000000001</v>
      </c>
      <c r="AR425" s="8">
        <v>1.9501999999999999</v>
      </c>
      <c r="AS425" s="8">
        <v>1.9958</v>
      </c>
      <c r="AT425" s="8">
        <v>2</v>
      </c>
      <c r="AU425" s="8">
        <v>2.0110999999999999</v>
      </c>
      <c r="AV425" s="8">
        <v>2.0078999999999998</v>
      </c>
      <c r="AW425" s="8">
        <v>2.0036999999999998</v>
      </c>
      <c r="AX425" s="8">
        <v>1.9924999999999999</v>
      </c>
      <c r="AY425" s="8">
        <v>1.9919</v>
      </c>
      <c r="AZ425" s="8">
        <v>1.9854000000000001</v>
      </c>
      <c r="BA425" s="8">
        <v>1.9818</v>
      </c>
      <c r="BB425" s="8">
        <v>1.9803999999999999</v>
      </c>
      <c r="BC425" s="8">
        <v>1.9787999999999999</v>
      </c>
      <c r="BD425" s="8">
        <v>1.9464999999999999</v>
      </c>
    </row>
    <row r="426" spans="2:56" x14ac:dyDescent="0.3">
      <c r="B426" s="35">
        <f t="shared" si="168"/>
        <v>3239.9999999999995</v>
      </c>
      <c r="C426" s="39">
        <f t="shared" si="169"/>
        <v>22.712786725231837</v>
      </c>
      <c r="D426" s="39">
        <f t="shared" si="170"/>
        <v>23.91361639824316</v>
      </c>
      <c r="E426" s="39">
        <f t="shared" si="171"/>
        <v>29.364568081991216</v>
      </c>
      <c r="F426" s="39">
        <f t="shared" si="172"/>
        <v>29.840409956076108</v>
      </c>
      <c r="G426" s="39">
        <f t="shared" si="173"/>
        <v>31.656905807710945</v>
      </c>
      <c r="H426" s="39">
        <f t="shared" si="174"/>
        <v>37.036115178135802</v>
      </c>
      <c r="I426" s="39">
        <f t="shared" si="175"/>
        <v>60.663982430453949</v>
      </c>
      <c r="J426" s="39">
        <f t="shared" si="176"/>
        <v>70.236944851146731</v>
      </c>
      <c r="K426" s="39">
        <f t="shared" si="177"/>
        <v>80.761102977061981</v>
      </c>
      <c r="L426" s="39">
        <f t="shared" si="178"/>
        <v>87.072230356271291</v>
      </c>
      <c r="M426" s="39">
        <f t="shared" si="179"/>
        <v>61.560517325524543</v>
      </c>
      <c r="N426" s="39">
        <f t="shared" si="180"/>
        <v>45.943142996583589</v>
      </c>
      <c r="O426" s="39"/>
      <c r="P426" s="39">
        <f t="shared" si="181"/>
        <v>55.297462176671402</v>
      </c>
      <c r="Q426" s="39">
        <f t="shared" si="182"/>
        <v>50.547584187408383</v>
      </c>
      <c r="R426" s="39">
        <f t="shared" si="183"/>
        <v>52.834309419228951</v>
      </c>
      <c r="S426" s="39">
        <f t="shared" si="184"/>
        <v>50.504880429477787</v>
      </c>
      <c r="T426" s="39">
        <f t="shared" si="185"/>
        <v>54.077842850170875</v>
      </c>
      <c r="U426" s="39">
        <f t="shared" si="186"/>
        <v>43.40068326012684</v>
      </c>
      <c r="V426" s="39">
        <f t="shared" si="187"/>
        <v>55.673743289409572</v>
      </c>
      <c r="W426" s="39">
        <f t="shared" si="188"/>
        <v>59.194973157637747</v>
      </c>
      <c r="X426" s="39">
        <f t="shared" si="189"/>
        <v>54.919228892142698</v>
      </c>
      <c r="Y426" s="39">
        <f t="shared" si="190"/>
        <v>60.217667154709616</v>
      </c>
      <c r="Z426" s="39">
        <f t="shared" si="191"/>
        <v>62.182772083943348</v>
      </c>
      <c r="AA426" s="39">
        <f t="shared" si="192"/>
        <v>62.811127379209388</v>
      </c>
      <c r="AB426" s="38"/>
      <c r="AE426" s="15">
        <v>3.7499999999999999E-2</v>
      </c>
      <c r="AF426" s="11">
        <f t="shared" si="193"/>
        <v>3239.9999999999995</v>
      </c>
      <c r="AG426" s="8">
        <v>2.0577999999999999</v>
      </c>
      <c r="AH426" s="8">
        <v>2.0400999999999998</v>
      </c>
      <c r="AI426" s="8">
        <v>2.0463</v>
      </c>
      <c r="AJ426" s="8">
        <v>2.0331000000000001</v>
      </c>
      <c r="AK426" s="8">
        <v>2.0396000000000001</v>
      </c>
      <c r="AL426" s="8">
        <v>2.0225</v>
      </c>
      <c r="AM426" s="8">
        <v>1.9601</v>
      </c>
      <c r="AN426" s="8">
        <v>1.9406000000000001</v>
      </c>
      <c r="AO426" s="8">
        <v>1.9049</v>
      </c>
      <c r="AP426" s="8">
        <v>1.9063000000000001</v>
      </c>
      <c r="AQ426" s="8">
        <v>1.9587000000000001</v>
      </c>
      <c r="AR426" s="8">
        <v>1.9511000000000001</v>
      </c>
      <c r="AS426" s="8">
        <v>1.9955000000000001</v>
      </c>
      <c r="AT426" s="8">
        <v>2.0011000000000001</v>
      </c>
      <c r="AU426" s="8">
        <v>2.0106999999999999</v>
      </c>
      <c r="AV426" s="8">
        <v>2.0072999999999999</v>
      </c>
      <c r="AW426" s="8">
        <v>2.0041000000000002</v>
      </c>
      <c r="AX426" s="8">
        <v>1.9953000000000001</v>
      </c>
      <c r="AY426" s="8">
        <v>1.9906999999999999</v>
      </c>
      <c r="AZ426" s="8">
        <v>1.9836</v>
      </c>
      <c r="BA426" s="8">
        <v>1.9823</v>
      </c>
      <c r="BB426" s="8">
        <v>1.9817</v>
      </c>
      <c r="BC426" s="8">
        <v>1.9778</v>
      </c>
      <c r="BD426" s="8">
        <v>1.9471000000000001</v>
      </c>
    </row>
    <row r="427" spans="2:56" x14ac:dyDescent="0.3">
      <c r="B427" s="35">
        <f t="shared" si="168"/>
        <v>3248</v>
      </c>
      <c r="C427" s="39">
        <f t="shared" si="169"/>
        <v>22.615178135675968</v>
      </c>
      <c r="D427" s="39">
        <f t="shared" si="170"/>
        <v>24.157637872132728</v>
      </c>
      <c r="E427" s="39">
        <f t="shared" si="171"/>
        <v>28.486090775988384</v>
      </c>
      <c r="F427" s="39">
        <f t="shared" si="172"/>
        <v>29.986822840410024</v>
      </c>
      <c r="G427" s="39">
        <f t="shared" si="173"/>
        <v>31.949731576378561</v>
      </c>
      <c r="H427" s="39">
        <f t="shared" si="174"/>
        <v>36.255246461688841</v>
      </c>
      <c r="I427" s="39">
        <f t="shared" si="175"/>
        <v>60.419960956564275</v>
      </c>
      <c r="J427" s="39">
        <f t="shared" si="176"/>
        <v>69.944119082479119</v>
      </c>
      <c r="K427" s="39">
        <f t="shared" si="177"/>
        <v>80.370668618838494</v>
      </c>
      <c r="L427" s="39">
        <f t="shared" si="178"/>
        <v>86.97462176671543</v>
      </c>
      <c r="M427" s="39">
        <f t="shared" si="179"/>
        <v>61.414104441190737</v>
      </c>
      <c r="N427" s="39">
        <f t="shared" si="180"/>
        <v>46.138360175695325</v>
      </c>
      <c r="O427" s="39"/>
      <c r="P427" s="39">
        <f t="shared" si="181"/>
        <v>54.370180575890529</v>
      </c>
      <c r="Q427" s="39">
        <f t="shared" si="182"/>
        <v>50.791605661298171</v>
      </c>
      <c r="R427" s="39">
        <f t="shared" si="183"/>
        <v>51.760614934114159</v>
      </c>
      <c r="S427" s="39">
        <f t="shared" si="184"/>
        <v>50.553684724255611</v>
      </c>
      <c r="T427" s="39">
        <f t="shared" si="185"/>
        <v>55.053928745729785</v>
      </c>
      <c r="U427" s="39">
        <f t="shared" si="186"/>
        <v>43.888726207906302</v>
      </c>
      <c r="V427" s="39">
        <f t="shared" si="187"/>
        <v>56.308199121522733</v>
      </c>
      <c r="W427" s="39">
        <f t="shared" si="188"/>
        <v>58.950951683748073</v>
      </c>
      <c r="X427" s="39">
        <f t="shared" si="189"/>
        <v>55.456076134699984</v>
      </c>
      <c r="Y427" s="39">
        <f t="shared" si="190"/>
        <v>60.705710102489071</v>
      </c>
      <c r="Z427" s="39">
        <f t="shared" si="191"/>
        <v>62.036359199609549</v>
      </c>
      <c r="AA427" s="39">
        <f t="shared" si="192"/>
        <v>63.347974621766781</v>
      </c>
      <c r="AB427" s="38"/>
      <c r="AE427" s="15">
        <v>3.7592592592592594E-2</v>
      </c>
      <c r="AF427" s="11">
        <f t="shared" si="193"/>
        <v>3248</v>
      </c>
      <c r="AG427" s="8">
        <v>2.0579999999999998</v>
      </c>
      <c r="AH427" s="8">
        <v>2.0396000000000001</v>
      </c>
      <c r="AI427" s="8">
        <v>2.0480999999999998</v>
      </c>
      <c r="AJ427" s="8">
        <v>2.0327999999999999</v>
      </c>
      <c r="AK427" s="8">
        <v>2.0390000000000001</v>
      </c>
      <c r="AL427" s="8">
        <v>2.0240999999999998</v>
      </c>
      <c r="AM427" s="8">
        <v>1.9605999999999999</v>
      </c>
      <c r="AN427" s="8">
        <v>1.9412</v>
      </c>
      <c r="AO427" s="8">
        <v>1.9056999999999999</v>
      </c>
      <c r="AP427" s="8">
        <v>1.9065000000000001</v>
      </c>
      <c r="AQ427" s="8">
        <v>1.9590000000000001</v>
      </c>
      <c r="AR427" s="8">
        <v>1.9507000000000001</v>
      </c>
      <c r="AS427" s="8">
        <v>1.9974000000000001</v>
      </c>
      <c r="AT427" s="8">
        <v>2.0005999999999999</v>
      </c>
      <c r="AU427" s="8">
        <v>2.0129000000000001</v>
      </c>
      <c r="AV427" s="8">
        <v>2.0072000000000001</v>
      </c>
      <c r="AW427" s="8">
        <v>2.0021</v>
      </c>
      <c r="AX427" s="8">
        <v>1.9943</v>
      </c>
      <c r="AY427" s="8">
        <v>1.9894000000000001</v>
      </c>
      <c r="AZ427" s="8">
        <v>1.9841</v>
      </c>
      <c r="BA427" s="8">
        <v>1.9812000000000001</v>
      </c>
      <c r="BB427" s="8">
        <v>1.9806999999999999</v>
      </c>
      <c r="BC427" s="8">
        <v>1.9781</v>
      </c>
      <c r="BD427" s="8">
        <v>1.946</v>
      </c>
    </row>
    <row r="428" spans="2:56" x14ac:dyDescent="0.3">
      <c r="B428" s="35">
        <f t="shared" si="168"/>
        <v>3256</v>
      </c>
      <c r="C428" s="39">
        <f t="shared" si="169"/>
        <v>22.712786725231837</v>
      </c>
      <c r="D428" s="39">
        <f t="shared" si="170"/>
        <v>23.620790629575332</v>
      </c>
      <c r="E428" s="39">
        <f t="shared" si="171"/>
        <v>28.974133723767732</v>
      </c>
      <c r="F428" s="39">
        <f t="shared" si="172"/>
        <v>29.74280136652024</v>
      </c>
      <c r="G428" s="39">
        <f t="shared" si="173"/>
        <v>31.949731576378561</v>
      </c>
      <c r="H428" s="39">
        <f t="shared" si="174"/>
        <v>36.35285505124471</v>
      </c>
      <c r="I428" s="39">
        <f t="shared" si="175"/>
        <v>60.127135187896556</v>
      </c>
      <c r="J428" s="39">
        <f t="shared" si="176"/>
        <v>70.041727672034995</v>
      </c>
      <c r="K428" s="39">
        <f t="shared" si="177"/>
        <v>80.126647144948819</v>
      </c>
      <c r="L428" s="39">
        <f t="shared" si="178"/>
        <v>87.999511957052164</v>
      </c>
      <c r="M428" s="39">
        <f t="shared" si="179"/>
        <v>61.658125915080525</v>
      </c>
      <c r="N428" s="39">
        <f t="shared" si="180"/>
        <v>46.528794533918912</v>
      </c>
      <c r="O428" s="39"/>
      <c r="P428" s="39">
        <f t="shared" si="181"/>
        <v>54.907027818447915</v>
      </c>
      <c r="Q428" s="39">
        <f t="shared" si="182"/>
        <v>50.889214250854039</v>
      </c>
      <c r="R428" s="39">
        <f t="shared" si="183"/>
        <v>52.102244997559815</v>
      </c>
      <c r="S428" s="39">
        <f t="shared" si="184"/>
        <v>50.504880429477787</v>
      </c>
      <c r="T428" s="39">
        <f t="shared" si="185"/>
        <v>54.175451439726956</v>
      </c>
      <c r="U428" s="39">
        <f t="shared" si="186"/>
        <v>44.035139092240108</v>
      </c>
      <c r="V428" s="39">
        <f t="shared" si="187"/>
        <v>55.283308931185985</v>
      </c>
      <c r="W428" s="39">
        <f t="shared" si="188"/>
        <v>58.462908735968611</v>
      </c>
      <c r="X428" s="39">
        <f t="shared" si="189"/>
        <v>54.82162030258683</v>
      </c>
      <c r="Y428" s="39">
        <f t="shared" si="190"/>
        <v>61.19375305026842</v>
      </c>
      <c r="Z428" s="39">
        <f t="shared" si="191"/>
        <v>63.01244509516836</v>
      </c>
      <c r="AA428" s="39">
        <f t="shared" si="192"/>
        <v>63.250366032210906</v>
      </c>
      <c r="AB428" s="38"/>
      <c r="AE428" s="15">
        <v>3.7685185185185183E-2</v>
      </c>
      <c r="AF428" s="11">
        <f t="shared" si="193"/>
        <v>3256</v>
      </c>
      <c r="AG428" s="8">
        <v>2.0577999999999999</v>
      </c>
      <c r="AH428" s="8">
        <v>2.0407000000000002</v>
      </c>
      <c r="AI428" s="8">
        <v>2.0470999999999999</v>
      </c>
      <c r="AJ428" s="8">
        <v>2.0333000000000001</v>
      </c>
      <c r="AK428" s="8">
        <v>2.0390000000000001</v>
      </c>
      <c r="AL428" s="8">
        <v>2.0238999999999998</v>
      </c>
      <c r="AM428" s="8">
        <v>1.9612000000000001</v>
      </c>
      <c r="AN428" s="8">
        <v>1.9410000000000001</v>
      </c>
      <c r="AO428" s="8">
        <v>1.9061999999999999</v>
      </c>
      <c r="AP428" s="8">
        <v>1.9044000000000001</v>
      </c>
      <c r="AQ428" s="8">
        <v>1.9584999999999999</v>
      </c>
      <c r="AR428" s="8">
        <v>1.9499</v>
      </c>
      <c r="AS428" s="8">
        <v>1.9963</v>
      </c>
      <c r="AT428" s="8">
        <v>2.0004</v>
      </c>
      <c r="AU428" s="8">
        <v>2.0122</v>
      </c>
      <c r="AV428" s="8">
        <v>2.0072999999999999</v>
      </c>
      <c r="AW428" s="8">
        <v>2.0038999999999998</v>
      </c>
      <c r="AX428" s="8">
        <v>1.994</v>
      </c>
      <c r="AY428" s="8">
        <v>1.9915</v>
      </c>
      <c r="AZ428" s="8">
        <v>1.9851000000000001</v>
      </c>
      <c r="BA428" s="8">
        <v>1.9824999999999999</v>
      </c>
      <c r="BB428" s="8">
        <v>1.9797</v>
      </c>
      <c r="BC428" s="8">
        <v>1.9761</v>
      </c>
      <c r="BD428" s="8">
        <v>1.9461999999999999</v>
      </c>
    </row>
    <row r="429" spans="2:56" x14ac:dyDescent="0.3">
      <c r="B429" s="35">
        <f t="shared" si="168"/>
        <v>3264.0000000000005</v>
      </c>
      <c r="C429" s="39">
        <f t="shared" si="169"/>
        <v>22.273548072230316</v>
      </c>
      <c r="D429" s="39">
        <f t="shared" si="170"/>
        <v>24.06002928257686</v>
      </c>
      <c r="E429" s="39">
        <f t="shared" si="171"/>
        <v>28.632503660322079</v>
      </c>
      <c r="F429" s="39">
        <f t="shared" si="172"/>
        <v>29.498779892630672</v>
      </c>
      <c r="G429" s="39">
        <f t="shared" si="173"/>
        <v>32.340165934602254</v>
      </c>
      <c r="H429" s="39">
        <f t="shared" si="174"/>
        <v>36.938506588579934</v>
      </c>
      <c r="I429" s="39">
        <f t="shared" si="175"/>
        <v>60.224743777452424</v>
      </c>
      <c r="J429" s="39">
        <f t="shared" si="176"/>
        <v>70.188140556368793</v>
      </c>
      <c r="K429" s="39">
        <f t="shared" si="177"/>
        <v>81.200341630063505</v>
      </c>
      <c r="L429" s="39">
        <f t="shared" si="178"/>
        <v>87.316251830161065</v>
      </c>
      <c r="M429" s="39">
        <f t="shared" si="179"/>
        <v>61.023670082967257</v>
      </c>
      <c r="N429" s="39">
        <f t="shared" si="180"/>
        <v>45.894338701805651</v>
      </c>
      <c r="O429" s="39"/>
      <c r="P429" s="39">
        <f t="shared" si="181"/>
        <v>55.151049292337596</v>
      </c>
      <c r="Q429" s="39">
        <f t="shared" si="182"/>
        <v>50.986822840409907</v>
      </c>
      <c r="R429" s="39">
        <f t="shared" si="183"/>
        <v>52.102244997559815</v>
      </c>
      <c r="S429" s="39">
        <f t="shared" si="184"/>
        <v>49.870424597364519</v>
      </c>
      <c r="T429" s="39">
        <f t="shared" si="185"/>
        <v>54.614690092728267</v>
      </c>
      <c r="U429" s="39">
        <f t="shared" si="186"/>
        <v>45.596876525134242</v>
      </c>
      <c r="V429" s="39">
        <f t="shared" si="187"/>
        <v>55.72254758418751</v>
      </c>
      <c r="W429" s="39">
        <f t="shared" si="188"/>
        <v>58.658125915080461</v>
      </c>
      <c r="X429" s="39">
        <f t="shared" si="189"/>
        <v>54.82162030258683</v>
      </c>
      <c r="Y429" s="39">
        <f t="shared" si="190"/>
        <v>60.364080039043422</v>
      </c>
      <c r="Z429" s="39">
        <f t="shared" si="191"/>
        <v>62.768423621278686</v>
      </c>
      <c r="AA429" s="39">
        <f t="shared" si="192"/>
        <v>63.201561737432982</v>
      </c>
      <c r="AB429" s="38"/>
      <c r="AE429" s="15">
        <v>3.7777777777777778E-2</v>
      </c>
      <c r="AF429" s="11">
        <f t="shared" si="193"/>
        <v>3264.0000000000005</v>
      </c>
      <c r="AG429" s="8">
        <v>2.0587</v>
      </c>
      <c r="AH429" s="8">
        <v>2.0398000000000001</v>
      </c>
      <c r="AI429" s="8">
        <v>2.0478000000000001</v>
      </c>
      <c r="AJ429" s="8">
        <v>2.0337999999999998</v>
      </c>
      <c r="AK429" s="8">
        <v>2.0381999999999998</v>
      </c>
      <c r="AL429" s="8">
        <v>2.0226999999999999</v>
      </c>
      <c r="AM429" s="8">
        <v>1.9610000000000001</v>
      </c>
      <c r="AN429" s="8">
        <v>1.9407000000000001</v>
      </c>
      <c r="AO429" s="8">
        <v>1.9039999999999999</v>
      </c>
      <c r="AP429" s="8">
        <v>1.9057999999999999</v>
      </c>
      <c r="AQ429" s="8">
        <v>1.9598</v>
      </c>
      <c r="AR429" s="8">
        <v>1.9512</v>
      </c>
      <c r="AS429" s="8">
        <v>1.9958</v>
      </c>
      <c r="AT429" s="8">
        <v>2.0002</v>
      </c>
      <c r="AU429" s="8">
        <v>2.0122</v>
      </c>
      <c r="AV429" s="8">
        <v>2.0085999999999999</v>
      </c>
      <c r="AW429" s="8">
        <v>2.0030000000000001</v>
      </c>
      <c r="AX429" s="8">
        <v>1.9907999999999999</v>
      </c>
      <c r="AY429" s="8">
        <v>1.9905999999999999</v>
      </c>
      <c r="AZ429" s="8">
        <v>1.9846999999999999</v>
      </c>
      <c r="BA429" s="8">
        <v>1.9824999999999999</v>
      </c>
      <c r="BB429" s="8">
        <v>1.9814000000000001</v>
      </c>
      <c r="BC429" s="8">
        <v>1.9765999999999999</v>
      </c>
      <c r="BD429" s="8">
        <v>1.9462999999999999</v>
      </c>
    </row>
    <row r="430" spans="2:56" x14ac:dyDescent="0.3">
      <c r="B430" s="35">
        <f t="shared" si="168"/>
        <v>3272</v>
      </c>
      <c r="C430" s="39">
        <f t="shared" si="169"/>
        <v>21.785505124450964</v>
      </c>
      <c r="D430" s="39">
        <f t="shared" si="170"/>
        <v>24.06002928257686</v>
      </c>
      <c r="E430" s="39">
        <f t="shared" si="171"/>
        <v>28.925329428989691</v>
      </c>
      <c r="F430" s="39">
        <f t="shared" si="172"/>
        <v>30.328452903855677</v>
      </c>
      <c r="G430" s="39">
        <f t="shared" si="173"/>
        <v>31.559297218155077</v>
      </c>
      <c r="H430" s="39">
        <f t="shared" si="174"/>
        <v>36.401659346022534</v>
      </c>
      <c r="I430" s="39">
        <f t="shared" si="175"/>
        <v>60.175939482674494</v>
      </c>
      <c r="J430" s="39">
        <f t="shared" si="176"/>
        <v>70.188140556368793</v>
      </c>
      <c r="K430" s="39">
        <f t="shared" si="177"/>
        <v>80.956320156173717</v>
      </c>
      <c r="L430" s="39">
        <f t="shared" si="178"/>
        <v>87.121034651049328</v>
      </c>
      <c r="M430" s="39">
        <f t="shared" si="179"/>
        <v>61.755734504636386</v>
      </c>
      <c r="N430" s="39">
        <f t="shared" si="180"/>
        <v>46.479990239140974</v>
      </c>
      <c r="O430" s="39"/>
      <c r="P430" s="39">
        <f t="shared" si="181"/>
        <v>54.907027818447915</v>
      </c>
      <c r="Q430" s="39">
        <f t="shared" si="182"/>
        <v>51.035627135187738</v>
      </c>
      <c r="R430" s="39">
        <f t="shared" si="183"/>
        <v>52.346266471449596</v>
      </c>
      <c r="S430" s="39">
        <f t="shared" si="184"/>
        <v>50.407271839921911</v>
      </c>
      <c r="T430" s="39">
        <f t="shared" si="185"/>
        <v>55.005124450951747</v>
      </c>
      <c r="U430" s="39">
        <f t="shared" si="186"/>
        <v>44.279160566129782</v>
      </c>
      <c r="V430" s="39">
        <f t="shared" si="187"/>
        <v>57.772327964860999</v>
      </c>
      <c r="W430" s="39">
        <f t="shared" si="188"/>
        <v>58.902147388970135</v>
      </c>
      <c r="X430" s="39">
        <f t="shared" si="189"/>
        <v>56.18814055636912</v>
      </c>
      <c r="Y430" s="39">
        <f t="shared" si="190"/>
        <v>60.608101512933096</v>
      </c>
      <c r="Z430" s="39">
        <f t="shared" si="191"/>
        <v>62.573206442166828</v>
      </c>
      <c r="AA430" s="39">
        <f t="shared" si="192"/>
        <v>63.396778916544719</v>
      </c>
      <c r="AB430" s="38"/>
      <c r="AE430" s="15">
        <v>3.7870370370370367E-2</v>
      </c>
      <c r="AF430" s="11">
        <f t="shared" si="193"/>
        <v>3272</v>
      </c>
      <c r="AG430" s="8">
        <v>2.0596999999999999</v>
      </c>
      <c r="AH430" s="8">
        <v>2.0398000000000001</v>
      </c>
      <c r="AI430" s="8">
        <v>2.0472000000000001</v>
      </c>
      <c r="AJ430" s="8">
        <v>2.0320999999999998</v>
      </c>
      <c r="AK430" s="8">
        <v>2.0398000000000001</v>
      </c>
      <c r="AL430" s="8">
        <v>2.0238</v>
      </c>
      <c r="AM430" s="8">
        <v>1.9611000000000001</v>
      </c>
      <c r="AN430" s="8">
        <v>1.9407000000000001</v>
      </c>
      <c r="AO430" s="8">
        <v>1.9045000000000001</v>
      </c>
      <c r="AP430" s="8">
        <v>1.9061999999999999</v>
      </c>
      <c r="AQ430" s="8">
        <v>1.9582999999999999</v>
      </c>
      <c r="AR430" s="8">
        <v>1.95</v>
      </c>
      <c r="AS430" s="8">
        <v>1.9963</v>
      </c>
      <c r="AT430" s="8">
        <v>2.0001000000000002</v>
      </c>
      <c r="AU430" s="8">
        <v>2.0116999999999998</v>
      </c>
      <c r="AV430" s="8">
        <v>2.0074999999999998</v>
      </c>
      <c r="AW430" s="8">
        <v>2.0022000000000002</v>
      </c>
      <c r="AX430" s="8">
        <v>1.9935</v>
      </c>
      <c r="AY430" s="8">
        <v>1.9863999999999999</v>
      </c>
      <c r="AZ430" s="8">
        <v>1.9842</v>
      </c>
      <c r="BA430" s="8">
        <v>1.9797</v>
      </c>
      <c r="BB430" s="8">
        <v>1.9809000000000001</v>
      </c>
      <c r="BC430" s="8">
        <v>1.9770000000000001</v>
      </c>
      <c r="BD430" s="8">
        <v>1.9459</v>
      </c>
    </row>
    <row r="431" spans="2:56" x14ac:dyDescent="0.3">
      <c r="B431" s="35">
        <f t="shared" si="168"/>
        <v>3280</v>
      </c>
      <c r="C431" s="39">
        <f t="shared" si="169"/>
        <v>22.5175695461201</v>
      </c>
      <c r="D431" s="39">
        <f t="shared" si="170"/>
        <v>24.450463640800336</v>
      </c>
      <c r="E431" s="39">
        <f t="shared" si="171"/>
        <v>28.925329428989691</v>
      </c>
      <c r="F431" s="39">
        <f t="shared" si="172"/>
        <v>29.157149829185016</v>
      </c>
      <c r="G431" s="39">
        <f t="shared" si="173"/>
        <v>31.803318692044861</v>
      </c>
      <c r="H431" s="39">
        <f t="shared" si="174"/>
        <v>35.474377745241661</v>
      </c>
      <c r="I431" s="39">
        <f t="shared" si="175"/>
        <v>60.419960956564275</v>
      </c>
      <c r="J431" s="39">
        <f t="shared" si="176"/>
        <v>69.846510492923258</v>
      </c>
      <c r="K431" s="39">
        <f t="shared" si="177"/>
        <v>81.053928745729593</v>
      </c>
      <c r="L431" s="39">
        <f t="shared" si="178"/>
        <v>87.316251830161065</v>
      </c>
      <c r="M431" s="39">
        <f t="shared" si="179"/>
        <v>60.828452903855521</v>
      </c>
      <c r="N431" s="39">
        <f t="shared" si="180"/>
        <v>46.284773060029238</v>
      </c>
      <c r="O431" s="39"/>
      <c r="P431" s="39">
        <f t="shared" si="181"/>
        <v>55.053440702781728</v>
      </c>
      <c r="Q431" s="39">
        <f t="shared" si="182"/>
        <v>50.742801366520119</v>
      </c>
      <c r="R431" s="39">
        <f t="shared" si="183"/>
        <v>52.297462176671559</v>
      </c>
      <c r="S431" s="39">
        <f t="shared" si="184"/>
        <v>50.260858955587999</v>
      </c>
      <c r="T431" s="39">
        <f t="shared" si="185"/>
        <v>54.76110297706218</v>
      </c>
      <c r="U431" s="39">
        <f t="shared" si="186"/>
        <v>44.132747681795976</v>
      </c>
      <c r="V431" s="39">
        <f t="shared" si="187"/>
        <v>55.966569058077184</v>
      </c>
      <c r="W431" s="39">
        <f t="shared" si="188"/>
        <v>58.999755978526011</v>
      </c>
      <c r="X431" s="39">
        <f t="shared" si="189"/>
        <v>55.309663250366185</v>
      </c>
      <c r="Y431" s="39">
        <f t="shared" si="190"/>
        <v>60.852122986822877</v>
      </c>
      <c r="Z431" s="39">
        <f t="shared" si="191"/>
        <v>62.573206442166828</v>
      </c>
      <c r="AA431" s="39">
        <f t="shared" si="192"/>
        <v>63.933626159101998</v>
      </c>
      <c r="AB431" s="38"/>
      <c r="AE431" s="15">
        <v>3.7962962962962962E-2</v>
      </c>
      <c r="AF431" s="11">
        <f t="shared" si="193"/>
        <v>3280</v>
      </c>
      <c r="AG431" s="8">
        <v>2.0581999999999998</v>
      </c>
      <c r="AH431" s="8">
        <v>2.0390000000000001</v>
      </c>
      <c r="AI431" s="8">
        <v>2.0472000000000001</v>
      </c>
      <c r="AJ431" s="8">
        <v>2.0345</v>
      </c>
      <c r="AK431" s="8">
        <v>2.0392999999999999</v>
      </c>
      <c r="AL431" s="8">
        <v>2.0257000000000001</v>
      </c>
      <c r="AM431" s="8">
        <v>1.9605999999999999</v>
      </c>
      <c r="AN431" s="8">
        <v>1.9414</v>
      </c>
      <c r="AO431" s="8">
        <v>1.9043000000000001</v>
      </c>
      <c r="AP431" s="8">
        <v>1.9057999999999999</v>
      </c>
      <c r="AQ431" s="8">
        <v>1.9601999999999999</v>
      </c>
      <c r="AR431" s="8">
        <v>1.9503999999999999</v>
      </c>
      <c r="AS431" s="8">
        <v>1.996</v>
      </c>
      <c r="AT431" s="8">
        <v>2.0007000000000001</v>
      </c>
      <c r="AU431" s="8">
        <v>2.0118</v>
      </c>
      <c r="AV431" s="8">
        <v>2.0078</v>
      </c>
      <c r="AW431" s="8">
        <v>2.0026999999999999</v>
      </c>
      <c r="AX431" s="8">
        <v>1.9938</v>
      </c>
      <c r="AY431" s="8">
        <v>1.9901</v>
      </c>
      <c r="AZ431" s="8">
        <v>1.984</v>
      </c>
      <c r="BA431" s="8">
        <v>1.9815</v>
      </c>
      <c r="BB431" s="8">
        <v>1.9803999999999999</v>
      </c>
      <c r="BC431" s="8">
        <v>1.9770000000000001</v>
      </c>
      <c r="BD431" s="8">
        <v>1.9448000000000001</v>
      </c>
    </row>
    <row r="432" spans="2:56" x14ac:dyDescent="0.3">
      <c r="B432" s="35">
        <f t="shared" si="168"/>
        <v>3288</v>
      </c>
      <c r="C432" s="39">
        <f t="shared" si="169"/>
        <v>22.90800390434358</v>
      </c>
      <c r="D432" s="39">
        <f t="shared" si="170"/>
        <v>23.327964860907723</v>
      </c>
      <c r="E432" s="39">
        <f t="shared" si="171"/>
        <v>29.120546608101431</v>
      </c>
      <c r="F432" s="39">
        <f t="shared" si="172"/>
        <v>29.889214250854153</v>
      </c>
      <c r="G432" s="39">
        <f t="shared" si="173"/>
        <v>32.242557345046166</v>
      </c>
      <c r="H432" s="39">
        <f t="shared" si="174"/>
        <v>37.182528062469501</v>
      </c>
      <c r="I432" s="39">
        <f t="shared" si="175"/>
        <v>61.103221083455367</v>
      </c>
      <c r="J432" s="39">
        <f t="shared" si="176"/>
        <v>69.553684724255632</v>
      </c>
      <c r="K432" s="39">
        <f t="shared" si="177"/>
        <v>80.858711566617842</v>
      </c>
      <c r="L432" s="39">
        <f t="shared" si="178"/>
        <v>87.853099072718365</v>
      </c>
      <c r="M432" s="39">
        <f t="shared" si="179"/>
        <v>61.218887262079001</v>
      </c>
      <c r="N432" s="39">
        <f t="shared" si="180"/>
        <v>46.626403123474788</v>
      </c>
      <c r="O432" s="39"/>
      <c r="P432" s="39">
        <f t="shared" si="181"/>
        <v>55.883113714006733</v>
      </c>
      <c r="Q432" s="39">
        <f t="shared" si="182"/>
        <v>51.035627135187738</v>
      </c>
      <c r="R432" s="39">
        <f t="shared" si="183"/>
        <v>53.1759394826746</v>
      </c>
      <c r="S432" s="39">
        <f t="shared" si="184"/>
        <v>50.992923377257135</v>
      </c>
      <c r="T432" s="39">
        <f t="shared" si="185"/>
        <v>55.93240605173262</v>
      </c>
      <c r="U432" s="39">
        <f t="shared" si="186"/>
        <v>44.083943387018039</v>
      </c>
      <c r="V432" s="39">
        <f t="shared" si="187"/>
        <v>56.552220595412514</v>
      </c>
      <c r="W432" s="39">
        <f t="shared" si="188"/>
        <v>58.511713030746549</v>
      </c>
      <c r="X432" s="39">
        <f t="shared" si="189"/>
        <v>55.74890190336771</v>
      </c>
      <c r="Y432" s="39">
        <f t="shared" si="190"/>
        <v>61.388970229380156</v>
      </c>
      <c r="Z432" s="39">
        <f t="shared" si="191"/>
        <v>63.207662274280104</v>
      </c>
      <c r="AA432" s="39">
        <f t="shared" si="192"/>
        <v>63.6408003904344</v>
      </c>
      <c r="AB432" s="38"/>
      <c r="AE432" s="15">
        <v>3.8055555555555558E-2</v>
      </c>
      <c r="AF432" s="11">
        <f t="shared" si="193"/>
        <v>3288</v>
      </c>
      <c r="AG432" s="8">
        <v>2.0573999999999999</v>
      </c>
      <c r="AH432" s="8">
        <v>2.0413000000000001</v>
      </c>
      <c r="AI432" s="8">
        <v>2.0468000000000002</v>
      </c>
      <c r="AJ432" s="8">
        <v>2.0329999999999999</v>
      </c>
      <c r="AK432" s="8">
        <v>2.0384000000000002</v>
      </c>
      <c r="AL432" s="8">
        <v>2.0222000000000002</v>
      </c>
      <c r="AM432" s="8">
        <v>1.9592000000000001</v>
      </c>
      <c r="AN432" s="8">
        <v>1.9419999999999999</v>
      </c>
      <c r="AO432" s="8">
        <v>1.9047000000000001</v>
      </c>
      <c r="AP432" s="8">
        <v>1.9047000000000001</v>
      </c>
      <c r="AQ432" s="8">
        <v>1.9594</v>
      </c>
      <c r="AR432" s="8">
        <v>1.9497</v>
      </c>
      <c r="AS432" s="8">
        <v>1.9943</v>
      </c>
      <c r="AT432" s="8">
        <v>2.0001000000000002</v>
      </c>
      <c r="AU432" s="8">
        <v>2.0099999999999998</v>
      </c>
      <c r="AV432" s="8">
        <v>2.0063</v>
      </c>
      <c r="AW432" s="8">
        <v>2.0003000000000002</v>
      </c>
      <c r="AX432" s="8">
        <v>1.9939</v>
      </c>
      <c r="AY432" s="8">
        <v>1.9888999999999999</v>
      </c>
      <c r="AZ432" s="8">
        <v>1.9850000000000001</v>
      </c>
      <c r="BA432" s="8">
        <v>1.9805999999999999</v>
      </c>
      <c r="BB432" s="8">
        <v>1.9793000000000001</v>
      </c>
      <c r="BC432" s="8">
        <v>1.9757</v>
      </c>
      <c r="BD432" s="8">
        <v>1.9454</v>
      </c>
    </row>
    <row r="433" spans="2:56" x14ac:dyDescent="0.3">
      <c r="B433" s="35">
        <f t="shared" si="168"/>
        <v>3296</v>
      </c>
      <c r="C433" s="39">
        <f t="shared" si="169"/>
        <v>22.32235236700814</v>
      </c>
      <c r="D433" s="39">
        <f t="shared" si="170"/>
        <v>22.888726207906416</v>
      </c>
      <c r="E433" s="39">
        <f t="shared" si="171"/>
        <v>29.02293801854556</v>
      </c>
      <c r="F433" s="39">
        <f t="shared" si="172"/>
        <v>30.182040019521764</v>
      </c>
      <c r="G433" s="39">
        <f t="shared" si="173"/>
        <v>31.754514397266814</v>
      </c>
      <c r="H433" s="39">
        <f t="shared" si="174"/>
        <v>36.938506588579934</v>
      </c>
      <c r="I433" s="39">
        <f t="shared" si="175"/>
        <v>59.785505124451014</v>
      </c>
      <c r="J433" s="39">
        <f t="shared" si="176"/>
        <v>69.846510492923258</v>
      </c>
      <c r="K433" s="39">
        <f t="shared" si="177"/>
        <v>81.639580283064916</v>
      </c>
      <c r="L433" s="39">
        <f t="shared" si="178"/>
        <v>87.316251830161065</v>
      </c>
      <c r="M433" s="39">
        <f t="shared" si="179"/>
        <v>61.902147388970199</v>
      </c>
      <c r="N433" s="39">
        <f t="shared" si="180"/>
        <v>45.503904343582164</v>
      </c>
      <c r="O433" s="39"/>
      <c r="P433" s="39">
        <f t="shared" si="181"/>
        <v>55.346266471449333</v>
      </c>
      <c r="Q433" s="39">
        <f t="shared" si="182"/>
        <v>51.279648609077512</v>
      </c>
      <c r="R433" s="39">
        <f t="shared" si="183"/>
        <v>52.687896534895032</v>
      </c>
      <c r="S433" s="39">
        <f t="shared" si="184"/>
        <v>50.358467545143874</v>
      </c>
      <c r="T433" s="39">
        <f t="shared" si="185"/>
        <v>54.419472913616524</v>
      </c>
      <c r="U433" s="39">
        <f t="shared" si="186"/>
        <v>44.474377745241519</v>
      </c>
      <c r="V433" s="39">
        <f t="shared" si="187"/>
        <v>57.0890678379698</v>
      </c>
      <c r="W433" s="39">
        <f t="shared" si="188"/>
        <v>59.634211810639272</v>
      </c>
      <c r="X433" s="39">
        <f t="shared" si="189"/>
        <v>55.065641776476511</v>
      </c>
      <c r="Y433" s="39">
        <f t="shared" si="190"/>
        <v>60.900927281600815</v>
      </c>
      <c r="Z433" s="39">
        <f t="shared" si="191"/>
        <v>62.182772083943348</v>
      </c>
      <c r="AA433" s="39">
        <f t="shared" si="192"/>
        <v>62.664714494875582</v>
      </c>
      <c r="AB433" s="38"/>
      <c r="AE433" s="15">
        <v>3.8148148148148146E-2</v>
      </c>
      <c r="AF433" s="11">
        <f t="shared" si="193"/>
        <v>3296</v>
      </c>
      <c r="AG433" s="8">
        <v>2.0586000000000002</v>
      </c>
      <c r="AH433" s="8">
        <v>2.0421999999999998</v>
      </c>
      <c r="AI433" s="8">
        <v>2.0470000000000002</v>
      </c>
      <c r="AJ433" s="8">
        <v>2.0324</v>
      </c>
      <c r="AK433" s="8">
        <v>2.0394000000000001</v>
      </c>
      <c r="AL433" s="8">
        <v>2.0226999999999999</v>
      </c>
      <c r="AM433" s="8">
        <v>1.9619</v>
      </c>
      <c r="AN433" s="8">
        <v>1.9414</v>
      </c>
      <c r="AO433" s="8">
        <v>1.9031</v>
      </c>
      <c r="AP433" s="8">
        <v>1.9057999999999999</v>
      </c>
      <c r="AQ433" s="8">
        <v>1.958</v>
      </c>
      <c r="AR433" s="8">
        <v>1.952</v>
      </c>
      <c r="AS433" s="8">
        <v>1.9954000000000001</v>
      </c>
      <c r="AT433" s="8">
        <v>1.9996</v>
      </c>
      <c r="AU433" s="8">
        <v>2.0110000000000001</v>
      </c>
      <c r="AV433" s="8">
        <v>2.0076000000000001</v>
      </c>
      <c r="AW433" s="8">
        <v>2.0034000000000001</v>
      </c>
      <c r="AX433" s="8">
        <v>1.9931000000000001</v>
      </c>
      <c r="AY433" s="8">
        <v>1.9878</v>
      </c>
      <c r="AZ433" s="8">
        <v>1.9826999999999999</v>
      </c>
      <c r="BA433" s="8">
        <v>1.982</v>
      </c>
      <c r="BB433" s="8">
        <v>1.9802999999999999</v>
      </c>
      <c r="BC433" s="8">
        <v>1.9778</v>
      </c>
      <c r="BD433" s="8">
        <v>1.9474</v>
      </c>
    </row>
    <row r="434" spans="2:56" x14ac:dyDescent="0.3">
      <c r="B434" s="35">
        <f t="shared" si="168"/>
        <v>3304</v>
      </c>
      <c r="C434" s="39">
        <f t="shared" si="169"/>
        <v>22.1271351878964</v>
      </c>
      <c r="D434" s="39">
        <f t="shared" si="170"/>
        <v>24.108833577354901</v>
      </c>
      <c r="E434" s="39">
        <f t="shared" si="171"/>
        <v>28.827720839433823</v>
      </c>
      <c r="F434" s="39">
        <f t="shared" si="172"/>
        <v>30.084431429965893</v>
      </c>
      <c r="G434" s="39">
        <f t="shared" si="173"/>
        <v>31.559297218155077</v>
      </c>
      <c r="H434" s="39">
        <f t="shared" si="174"/>
        <v>36.499267935578409</v>
      </c>
      <c r="I434" s="39">
        <f t="shared" si="175"/>
        <v>61.200829673011242</v>
      </c>
      <c r="J434" s="39">
        <f t="shared" si="176"/>
        <v>70.090531966812918</v>
      </c>
      <c r="K434" s="39">
        <f t="shared" si="177"/>
        <v>81.10273304050763</v>
      </c>
      <c r="L434" s="39">
        <f t="shared" si="178"/>
        <v>87.560273304050739</v>
      </c>
      <c r="M434" s="39">
        <f t="shared" si="179"/>
        <v>61.804538799414324</v>
      </c>
      <c r="N434" s="39">
        <f t="shared" si="180"/>
        <v>45.503904343582164</v>
      </c>
      <c r="O434" s="39"/>
      <c r="P434" s="39">
        <f t="shared" si="181"/>
        <v>55.590287945339114</v>
      </c>
      <c r="Q434" s="39">
        <f t="shared" si="182"/>
        <v>51.377257198633387</v>
      </c>
      <c r="R434" s="39">
        <f t="shared" si="183"/>
        <v>52.541483650561339</v>
      </c>
      <c r="S434" s="39">
        <f t="shared" si="184"/>
        <v>50.89531478770126</v>
      </c>
      <c r="T434" s="39">
        <f t="shared" si="185"/>
        <v>54.956320156173916</v>
      </c>
      <c r="U434" s="39">
        <f t="shared" si="186"/>
        <v>44.571986334797501</v>
      </c>
      <c r="V434" s="39">
        <f t="shared" si="187"/>
        <v>55.868960468521315</v>
      </c>
      <c r="W434" s="39">
        <f t="shared" si="188"/>
        <v>59.780624694973078</v>
      </c>
      <c r="X434" s="39">
        <f t="shared" si="189"/>
        <v>55.60248901903379</v>
      </c>
      <c r="Y434" s="39">
        <f t="shared" si="190"/>
        <v>61.19375305026842</v>
      </c>
      <c r="Z434" s="39">
        <f t="shared" si="191"/>
        <v>62.719619326500748</v>
      </c>
      <c r="AA434" s="39">
        <f t="shared" si="192"/>
        <v>64.03123474865788</v>
      </c>
      <c r="AB434" s="38"/>
      <c r="AE434" s="15">
        <v>3.8240740740740742E-2</v>
      </c>
      <c r="AF434" s="11">
        <f t="shared" si="193"/>
        <v>3304</v>
      </c>
      <c r="AG434" s="8">
        <v>2.0590000000000002</v>
      </c>
      <c r="AH434" s="8">
        <v>2.0396999999999998</v>
      </c>
      <c r="AI434" s="8">
        <v>2.0474000000000001</v>
      </c>
      <c r="AJ434" s="8">
        <v>2.0326</v>
      </c>
      <c r="AK434" s="8">
        <v>2.0398000000000001</v>
      </c>
      <c r="AL434" s="8">
        <v>2.0236000000000001</v>
      </c>
      <c r="AM434" s="8">
        <v>1.9590000000000001</v>
      </c>
      <c r="AN434" s="8">
        <v>1.9409000000000001</v>
      </c>
      <c r="AO434" s="8">
        <v>1.9041999999999999</v>
      </c>
      <c r="AP434" s="8">
        <v>1.9053</v>
      </c>
      <c r="AQ434" s="8">
        <v>1.9581999999999999</v>
      </c>
      <c r="AR434" s="8">
        <v>1.952</v>
      </c>
      <c r="AS434" s="8">
        <v>1.9948999999999999</v>
      </c>
      <c r="AT434" s="8">
        <v>1.9994000000000001</v>
      </c>
      <c r="AU434" s="8">
        <v>2.0112999999999999</v>
      </c>
      <c r="AV434" s="8">
        <v>2.0065</v>
      </c>
      <c r="AW434" s="8">
        <v>2.0023</v>
      </c>
      <c r="AX434" s="8">
        <v>1.9928999999999999</v>
      </c>
      <c r="AY434" s="8">
        <v>1.9903</v>
      </c>
      <c r="AZ434" s="8">
        <v>1.9823999999999999</v>
      </c>
      <c r="BA434" s="8">
        <v>1.9809000000000001</v>
      </c>
      <c r="BB434" s="8">
        <v>1.9797</v>
      </c>
      <c r="BC434" s="8">
        <v>1.9766999999999999</v>
      </c>
      <c r="BD434" s="8">
        <v>1.9446000000000001</v>
      </c>
    </row>
    <row r="435" spans="2:56" x14ac:dyDescent="0.3">
      <c r="B435" s="35">
        <f t="shared" si="168"/>
        <v>3312.0000000000005</v>
      </c>
      <c r="C435" s="39">
        <f t="shared" si="169"/>
        <v>21.785505124450964</v>
      </c>
      <c r="D435" s="39">
        <f t="shared" si="170"/>
        <v>23.767203513909248</v>
      </c>
      <c r="E435" s="39">
        <f t="shared" si="171"/>
        <v>28.144460712542728</v>
      </c>
      <c r="F435" s="39">
        <f t="shared" si="172"/>
        <v>29.449975597852628</v>
      </c>
      <c r="G435" s="39">
        <f t="shared" si="173"/>
        <v>32.047340165934429</v>
      </c>
      <c r="H435" s="39">
        <f t="shared" si="174"/>
        <v>36.987310883357758</v>
      </c>
      <c r="I435" s="39">
        <f t="shared" si="175"/>
        <v>61.200829673011242</v>
      </c>
      <c r="J435" s="39">
        <f t="shared" si="176"/>
        <v>69.748901903367369</v>
      </c>
      <c r="K435" s="39">
        <f t="shared" si="177"/>
        <v>80.956320156173717</v>
      </c>
      <c r="L435" s="39">
        <f t="shared" si="178"/>
        <v>87.41386041971694</v>
      </c>
      <c r="M435" s="39">
        <f t="shared" si="179"/>
        <v>61.560517325524543</v>
      </c>
      <c r="N435" s="39">
        <f t="shared" si="180"/>
        <v>46.675207418252718</v>
      </c>
      <c r="O435" s="39"/>
      <c r="P435" s="39">
        <f t="shared" si="181"/>
        <v>55.736700829672927</v>
      </c>
      <c r="Q435" s="39">
        <f t="shared" si="182"/>
        <v>51.230844314299581</v>
      </c>
      <c r="R435" s="39">
        <f t="shared" si="183"/>
        <v>53.1759394826746</v>
      </c>
      <c r="S435" s="39">
        <f t="shared" si="184"/>
        <v>51.09053196681301</v>
      </c>
      <c r="T435" s="39">
        <f t="shared" si="185"/>
        <v>55.346754514397404</v>
      </c>
      <c r="U435" s="39">
        <f t="shared" si="186"/>
        <v>44.181551976573907</v>
      </c>
      <c r="V435" s="39">
        <f t="shared" si="187"/>
        <v>55.917764763299253</v>
      </c>
      <c r="W435" s="39">
        <f t="shared" si="188"/>
        <v>59.73182040019514</v>
      </c>
      <c r="X435" s="39">
        <f t="shared" si="189"/>
        <v>55.651293313811834</v>
      </c>
      <c r="Y435" s="39">
        <f t="shared" si="190"/>
        <v>61.584187408491907</v>
      </c>
      <c r="Z435" s="39">
        <f t="shared" si="191"/>
        <v>62.817227916056609</v>
      </c>
      <c r="AA435" s="39">
        <f t="shared" si="192"/>
        <v>63.738408979990261</v>
      </c>
      <c r="AB435" s="38"/>
      <c r="AE435" s="15">
        <v>3.8333333333333337E-2</v>
      </c>
      <c r="AF435" s="11">
        <f t="shared" si="193"/>
        <v>3312.0000000000005</v>
      </c>
      <c r="AG435" s="8">
        <v>2.0596999999999999</v>
      </c>
      <c r="AH435" s="8">
        <v>2.0404</v>
      </c>
      <c r="AI435" s="8">
        <v>2.0488</v>
      </c>
      <c r="AJ435" s="8">
        <v>2.0339</v>
      </c>
      <c r="AK435" s="8">
        <v>2.0388000000000002</v>
      </c>
      <c r="AL435" s="8">
        <v>2.0226000000000002</v>
      </c>
      <c r="AM435" s="8">
        <v>1.9590000000000001</v>
      </c>
      <c r="AN435" s="8">
        <v>1.9416</v>
      </c>
      <c r="AO435" s="8">
        <v>1.9045000000000001</v>
      </c>
      <c r="AP435" s="8">
        <v>1.9056</v>
      </c>
      <c r="AQ435" s="8">
        <v>1.9587000000000001</v>
      </c>
      <c r="AR435" s="8">
        <v>1.9496</v>
      </c>
      <c r="AS435" s="8">
        <v>1.9945999999999999</v>
      </c>
      <c r="AT435" s="8">
        <v>1.9997</v>
      </c>
      <c r="AU435" s="8">
        <v>2.0099999999999998</v>
      </c>
      <c r="AV435" s="8">
        <v>2.0061</v>
      </c>
      <c r="AW435" s="8">
        <v>2.0015000000000001</v>
      </c>
      <c r="AX435" s="8">
        <v>1.9937</v>
      </c>
      <c r="AY435" s="8">
        <v>1.9902</v>
      </c>
      <c r="AZ435" s="8">
        <v>1.9824999999999999</v>
      </c>
      <c r="BA435" s="8">
        <v>1.9807999999999999</v>
      </c>
      <c r="BB435" s="8">
        <v>1.9789000000000001</v>
      </c>
      <c r="BC435" s="8">
        <v>1.9764999999999999</v>
      </c>
      <c r="BD435" s="8">
        <v>1.9452</v>
      </c>
    </row>
    <row r="436" spans="2:56" x14ac:dyDescent="0.3">
      <c r="B436" s="35">
        <f t="shared" si="168"/>
        <v>3320</v>
      </c>
      <c r="C436" s="39">
        <f t="shared" si="169"/>
        <v>22.1271351878964</v>
      </c>
      <c r="D436" s="39">
        <f t="shared" si="170"/>
        <v>24.352855051244468</v>
      </c>
      <c r="E436" s="39">
        <f t="shared" si="171"/>
        <v>28.583699365544255</v>
      </c>
      <c r="F436" s="39">
        <f t="shared" si="172"/>
        <v>30.426061493411545</v>
      </c>
      <c r="G436" s="39">
        <f t="shared" si="173"/>
        <v>31.803318692044861</v>
      </c>
      <c r="H436" s="39">
        <f t="shared" si="174"/>
        <v>36.108833577354929</v>
      </c>
      <c r="I436" s="39">
        <f t="shared" si="175"/>
        <v>60.712786725231886</v>
      </c>
      <c r="J436" s="39">
        <f t="shared" si="176"/>
        <v>69.700097608589431</v>
      </c>
      <c r="K436" s="39">
        <f t="shared" si="177"/>
        <v>80.858711566617842</v>
      </c>
      <c r="L436" s="39">
        <f t="shared" si="178"/>
        <v>87.609077598828677</v>
      </c>
      <c r="M436" s="39">
        <f t="shared" si="179"/>
        <v>61.414104441190737</v>
      </c>
      <c r="N436" s="39">
        <f t="shared" si="180"/>
        <v>45.943142996583589</v>
      </c>
      <c r="O436" s="39"/>
      <c r="P436" s="39">
        <f t="shared" si="181"/>
        <v>56.029526598340532</v>
      </c>
      <c r="Q436" s="39">
        <f t="shared" si="182"/>
        <v>51.32845290385545</v>
      </c>
      <c r="R436" s="39">
        <f t="shared" si="183"/>
        <v>53.078330893118519</v>
      </c>
      <c r="S436" s="39">
        <f t="shared" si="184"/>
        <v>51.236944851146916</v>
      </c>
      <c r="T436" s="39">
        <f t="shared" si="185"/>
        <v>54.565885797950436</v>
      </c>
      <c r="U436" s="39">
        <f t="shared" si="186"/>
        <v>44.132747681795976</v>
      </c>
      <c r="V436" s="39">
        <f t="shared" si="187"/>
        <v>55.966569058077184</v>
      </c>
      <c r="W436" s="39">
        <f t="shared" si="188"/>
        <v>59.975841874084814</v>
      </c>
      <c r="X436" s="39">
        <f t="shared" si="189"/>
        <v>55.651293313811834</v>
      </c>
      <c r="Y436" s="39">
        <f t="shared" si="190"/>
        <v>61.047340165934621</v>
      </c>
      <c r="Z436" s="39">
        <f t="shared" si="191"/>
        <v>63.158857979502166</v>
      </c>
      <c r="AA436" s="39">
        <f t="shared" si="192"/>
        <v>64.421669106881453</v>
      </c>
      <c r="AB436" s="38"/>
      <c r="AE436" s="15">
        <v>3.8425925925925926E-2</v>
      </c>
      <c r="AF436" s="11">
        <f t="shared" si="193"/>
        <v>3320</v>
      </c>
      <c r="AG436" s="8">
        <v>2.0590000000000002</v>
      </c>
      <c r="AH436" s="8">
        <v>2.0392000000000001</v>
      </c>
      <c r="AI436" s="8">
        <v>2.0478999999999998</v>
      </c>
      <c r="AJ436" s="8">
        <v>2.0318999999999998</v>
      </c>
      <c r="AK436" s="8">
        <v>2.0392999999999999</v>
      </c>
      <c r="AL436" s="8">
        <v>2.0244</v>
      </c>
      <c r="AM436" s="8">
        <v>1.96</v>
      </c>
      <c r="AN436" s="8">
        <v>1.9417</v>
      </c>
      <c r="AO436" s="8">
        <v>1.9047000000000001</v>
      </c>
      <c r="AP436" s="8">
        <v>1.9052</v>
      </c>
      <c r="AQ436" s="8">
        <v>1.9590000000000001</v>
      </c>
      <c r="AR436" s="8">
        <v>1.9511000000000001</v>
      </c>
      <c r="AS436" s="8">
        <v>1.994</v>
      </c>
      <c r="AT436" s="8">
        <v>1.9995000000000001</v>
      </c>
      <c r="AU436" s="8">
        <v>2.0102000000000002</v>
      </c>
      <c r="AV436" s="8">
        <v>2.0057999999999998</v>
      </c>
      <c r="AW436" s="8">
        <v>2.0030999999999999</v>
      </c>
      <c r="AX436" s="8">
        <v>1.9938</v>
      </c>
      <c r="AY436" s="8">
        <v>1.9901</v>
      </c>
      <c r="AZ436" s="8">
        <v>1.982</v>
      </c>
      <c r="BA436" s="8">
        <v>1.9807999999999999</v>
      </c>
      <c r="BB436" s="8">
        <v>1.98</v>
      </c>
      <c r="BC436" s="8">
        <v>1.9758</v>
      </c>
      <c r="BD436" s="8">
        <v>1.9438</v>
      </c>
    </row>
    <row r="437" spans="2:56" x14ac:dyDescent="0.3">
      <c r="B437" s="35">
        <f t="shared" si="168"/>
        <v>3328</v>
      </c>
      <c r="C437" s="39">
        <f t="shared" si="169"/>
        <v>22.5175695461201</v>
      </c>
      <c r="D437" s="39">
        <f t="shared" si="170"/>
        <v>24.450463640800336</v>
      </c>
      <c r="E437" s="39">
        <f t="shared" si="171"/>
        <v>29.120546608101431</v>
      </c>
      <c r="F437" s="39">
        <f t="shared" si="172"/>
        <v>30.133235724743717</v>
      </c>
      <c r="G437" s="39">
        <f t="shared" si="173"/>
        <v>31.803318692044861</v>
      </c>
      <c r="H437" s="39">
        <f t="shared" si="174"/>
        <v>37.231332357247538</v>
      </c>
      <c r="I437" s="39">
        <f t="shared" si="175"/>
        <v>60.908003904343623</v>
      </c>
      <c r="J437" s="39">
        <f t="shared" si="176"/>
        <v>69.846510492923258</v>
      </c>
      <c r="K437" s="39">
        <f t="shared" si="177"/>
        <v>81.005124450951655</v>
      </c>
      <c r="L437" s="39">
        <f t="shared" si="178"/>
        <v>87.804294777940427</v>
      </c>
      <c r="M437" s="39">
        <f t="shared" si="179"/>
        <v>61.560517325524543</v>
      </c>
      <c r="N437" s="39">
        <f t="shared" si="180"/>
        <v>46.333577354807169</v>
      </c>
      <c r="O437" s="39"/>
      <c r="P437" s="39">
        <f t="shared" si="181"/>
        <v>56.712786725231737</v>
      </c>
      <c r="Q437" s="39">
        <f t="shared" si="182"/>
        <v>50.938018545631863</v>
      </c>
      <c r="R437" s="39">
        <f t="shared" si="183"/>
        <v>53.273548072230476</v>
      </c>
      <c r="S437" s="39">
        <f t="shared" si="184"/>
        <v>51.920204978038015</v>
      </c>
      <c r="T437" s="39">
        <f t="shared" si="185"/>
        <v>54.907515861395872</v>
      </c>
      <c r="U437" s="39">
        <f t="shared" si="186"/>
        <v>45.450463640800336</v>
      </c>
      <c r="V437" s="39">
        <f t="shared" si="187"/>
        <v>56.796242069302188</v>
      </c>
      <c r="W437" s="39">
        <f t="shared" si="188"/>
        <v>60.024646168862752</v>
      </c>
      <c r="X437" s="39">
        <f t="shared" si="189"/>
        <v>56.480966325036732</v>
      </c>
      <c r="Y437" s="39">
        <f t="shared" si="190"/>
        <v>61.486578818936032</v>
      </c>
      <c r="Z437" s="39">
        <f t="shared" si="191"/>
        <v>63.549292337725639</v>
      </c>
      <c r="AA437" s="39">
        <f t="shared" si="192"/>
        <v>64.665690580771141</v>
      </c>
      <c r="AB437" s="38"/>
      <c r="AE437" s="15">
        <v>3.8518518518518521E-2</v>
      </c>
      <c r="AF437" s="11">
        <f t="shared" si="193"/>
        <v>3328</v>
      </c>
      <c r="AG437" s="8">
        <v>2.0581999999999998</v>
      </c>
      <c r="AH437" s="8">
        <v>2.0390000000000001</v>
      </c>
      <c r="AI437" s="8">
        <v>2.0468000000000002</v>
      </c>
      <c r="AJ437" s="8">
        <v>2.0325000000000002</v>
      </c>
      <c r="AK437" s="8">
        <v>2.0392999999999999</v>
      </c>
      <c r="AL437" s="8">
        <v>2.0221</v>
      </c>
      <c r="AM437" s="8">
        <v>1.9596</v>
      </c>
      <c r="AN437" s="8">
        <v>1.9414</v>
      </c>
      <c r="AO437" s="8">
        <v>1.9044000000000001</v>
      </c>
      <c r="AP437" s="8">
        <v>1.9048</v>
      </c>
      <c r="AQ437" s="8">
        <v>1.9587000000000001</v>
      </c>
      <c r="AR437" s="8">
        <v>1.9502999999999999</v>
      </c>
      <c r="AS437" s="8">
        <v>1.9925999999999999</v>
      </c>
      <c r="AT437" s="8">
        <v>2.0003000000000002</v>
      </c>
      <c r="AU437" s="8">
        <v>2.0097999999999998</v>
      </c>
      <c r="AV437" s="8">
        <v>2.0044</v>
      </c>
      <c r="AW437" s="8">
        <v>2.0024000000000002</v>
      </c>
      <c r="AX437" s="8">
        <v>1.9911000000000001</v>
      </c>
      <c r="AY437" s="8">
        <v>1.9883999999999999</v>
      </c>
      <c r="AZ437" s="8">
        <v>1.9819</v>
      </c>
      <c r="BA437" s="8">
        <v>1.9791000000000001</v>
      </c>
      <c r="BB437" s="8">
        <v>1.9791000000000001</v>
      </c>
      <c r="BC437" s="8">
        <v>1.9750000000000001</v>
      </c>
      <c r="BD437" s="8">
        <v>1.9433</v>
      </c>
    </row>
    <row r="438" spans="2:56" x14ac:dyDescent="0.3">
      <c r="B438" s="35">
        <f t="shared" si="168"/>
        <v>3336</v>
      </c>
      <c r="C438" s="39">
        <f t="shared" si="169"/>
        <v>23.835285505124453</v>
      </c>
      <c r="D438" s="39">
        <f t="shared" si="170"/>
        <v>23.718399219131204</v>
      </c>
      <c r="E438" s="39">
        <f t="shared" si="171"/>
        <v>28.925329428989691</v>
      </c>
      <c r="F438" s="39">
        <f t="shared" si="172"/>
        <v>29.986822840410024</v>
      </c>
      <c r="G438" s="39">
        <f t="shared" si="173"/>
        <v>31.705710102488993</v>
      </c>
      <c r="H438" s="39">
        <f t="shared" si="174"/>
        <v>36.548072230356453</v>
      </c>
      <c r="I438" s="39">
        <f t="shared" si="175"/>
        <v>61.054416788677436</v>
      </c>
      <c r="J438" s="39">
        <f t="shared" si="176"/>
        <v>70.236944851146731</v>
      </c>
      <c r="K438" s="39">
        <f t="shared" si="177"/>
        <v>81.151537335285568</v>
      </c>
      <c r="L438" s="39">
        <f t="shared" si="178"/>
        <v>87.41386041971694</v>
      </c>
      <c r="M438" s="39">
        <f t="shared" si="179"/>
        <v>61.755734504636386</v>
      </c>
      <c r="N438" s="39">
        <f t="shared" si="180"/>
        <v>46.382381649585106</v>
      </c>
      <c r="O438" s="39"/>
      <c r="P438" s="39">
        <f t="shared" si="181"/>
        <v>55.931918008784663</v>
      </c>
      <c r="Q438" s="39">
        <f t="shared" si="182"/>
        <v>51.182040019521644</v>
      </c>
      <c r="R438" s="39">
        <f t="shared" si="183"/>
        <v>52.883113714006782</v>
      </c>
      <c r="S438" s="39">
        <f t="shared" si="184"/>
        <v>51.773792093704095</v>
      </c>
      <c r="T438" s="39">
        <f t="shared" si="185"/>
        <v>55.444363103953272</v>
      </c>
      <c r="U438" s="39">
        <f t="shared" si="186"/>
        <v>45.987310883357722</v>
      </c>
      <c r="V438" s="39">
        <f t="shared" si="187"/>
        <v>56.210590531966858</v>
      </c>
      <c r="W438" s="39">
        <f t="shared" si="188"/>
        <v>58.804538799414267</v>
      </c>
      <c r="X438" s="39">
        <f t="shared" si="189"/>
        <v>55.553684724255859</v>
      </c>
      <c r="Y438" s="39">
        <f t="shared" si="190"/>
        <v>60.754514397267002</v>
      </c>
      <c r="Z438" s="39">
        <f t="shared" si="191"/>
        <v>62.914836505612485</v>
      </c>
      <c r="AA438" s="39">
        <f t="shared" si="192"/>
        <v>63.689604685212323</v>
      </c>
      <c r="AB438" s="38"/>
      <c r="AE438" s="15">
        <v>3.861111111111111E-2</v>
      </c>
      <c r="AF438" s="11">
        <f t="shared" si="193"/>
        <v>3336</v>
      </c>
      <c r="AG438" s="8">
        <v>2.0554999999999999</v>
      </c>
      <c r="AH438" s="8">
        <v>2.0405000000000002</v>
      </c>
      <c r="AI438" s="8">
        <v>2.0472000000000001</v>
      </c>
      <c r="AJ438" s="8">
        <v>2.0327999999999999</v>
      </c>
      <c r="AK438" s="8">
        <v>2.0394999999999999</v>
      </c>
      <c r="AL438" s="8">
        <v>2.0234999999999999</v>
      </c>
      <c r="AM438" s="8">
        <v>1.9593</v>
      </c>
      <c r="AN438" s="8">
        <v>1.9406000000000001</v>
      </c>
      <c r="AO438" s="8">
        <v>1.9040999999999999</v>
      </c>
      <c r="AP438" s="8">
        <v>1.9056</v>
      </c>
      <c r="AQ438" s="8">
        <v>1.9582999999999999</v>
      </c>
      <c r="AR438" s="8">
        <v>1.9501999999999999</v>
      </c>
      <c r="AS438" s="8">
        <v>1.9942</v>
      </c>
      <c r="AT438" s="8">
        <v>1.9998</v>
      </c>
      <c r="AU438" s="8">
        <v>2.0106000000000002</v>
      </c>
      <c r="AV438" s="8">
        <v>2.0047000000000001</v>
      </c>
      <c r="AW438" s="8">
        <v>2.0013000000000001</v>
      </c>
      <c r="AX438" s="8">
        <v>1.99</v>
      </c>
      <c r="AY438" s="8">
        <v>1.9896</v>
      </c>
      <c r="AZ438" s="8">
        <v>1.9843999999999999</v>
      </c>
      <c r="BA438" s="8">
        <v>1.9810000000000001</v>
      </c>
      <c r="BB438" s="8">
        <v>1.9805999999999999</v>
      </c>
      <c r="BC438" s="8">
        <v>1.9762999999999999</v>
      </c>
      <c r="BD438" s="8">
        <v>1.9453</v>
      </c>
    </row>
    <row r="439" spans="2:56" x14ac:dyDescent="0.3">
      <c r="B439" s="35">
        <f t="shared" si="168"/>
        <v>3344</v>
      </c>
      <c r="C439" s="39">
        <f t="shared" si="169"/>
        <v>21.883113714006836</v>
      </c>
      <c r="D439" s="39">
        <f t="shared" si="170"/>
        <v>24.2552464616886</v>
      </c>
      <c r="E439" s="39">
        <f t="shared" si="171"/>
        <v>29.315763787213172</v>
      </c>
      <c r="F439" s="39">
        <f t="shared" si="172"/>
        <v>30.426061493411545</v>
      </c>
      <c r="G439" s="39">
        <f t="shared" si="173"/>
        <v>31.510492923377246</v>
      </c>
      <c r="H439" s="39">
        <f t="shared" si="174"/>
        <v>36.060029282576885</v>
      </c>
      <c r="I439" s="39">
        <f t="shared" si="175"/>
        <v>60.712786725231886</v>
      </c>
      <c r="J439" s="39">
        <f t="shared" si="176"/>
        <v>70.285749145924768</v>
      </c>
      <c r="K439" s="39">
        <f t="shared" si="177"/>
        <v>80.663494387506105</v>
      </c>
      <c r="L439" s="39">
        <f t="shared" si="178"/>
        <v>87.609077598828677</v>
      </c>
      <c r="M439" s="39">
        <f t="shared" si="179"/>
        <v>62.048560273303998</v>
      </c>
      <c r="N439" s="39">
        <f t="shared" si="180"/>
        <v>46.919228892142392</v>
      </c>
      <c r="O439" s="39"/>
      <c r="P439" s="39">
        <f t="shared" si="181"/>
        <v>55.590287945339114</v>
      </c>
      <c r="Q439" s="39">
        <f t="shared" si="182"/>
        <v>51.32845290385545</v>
      </c>
      <c r="R439" s="39">
        <f t="shared" si="183"/>
        <v>53.224743777452431</v>
      </c>
      <c r="S439" s="39">
        <f t="shared" si="184"/>
        <v>51.43216203025866</v>
      </c>
      <c r="T439" s="39">
        <f t="shared" si="185"/>
        <v>55.883601756954789</v>
      </c>
      <c r="U439" s="39">
        <f t="shared" si="186"/>
        <v>46.084919472913597</v>
      </c>
      <c r="V439" s="39">
        <f t="shared" si="187"/>
        <v>55.966569058077184</v>
      </c>
      <c r="W439" s="39">
        <f t="shared" si="188"/>
        <v>59.683016105417209</v>
      </c>
      <c r="X439" s="39">
        <f t="shared" si="189"/>
        <v>56.480966325036732</v>
      </c>
      <c r="Y439" s="39">
        <f t="shared" si="190"/>
        <v>62.51146900927278</v>
      </c>
      <c r="Z439" s="39">
        <f t="shared" si="191"/>
        <v>63.451683748169778</v>
      </c>
      <c r="AA439" s="39">
        <f t="shared" si="192"/>
        <v>63.836017569546136</v>
      </c>
      <c r="AB439" s="38"/>
      <c r="AE439" s="15">
        <v>3.8703703703703705E-2</v>
      </c>
      <c r="AF439" s="11">
        <f t="shared" si="193"/>
        <v>3344</v>
      </c>
      <c r="AG439" s="8">
        <v>2.0594999999999999</v>
      </c>
      <c r="AH439" s="8">
        <v>2.0394000000000001</v>
      </c>
      <c r="AI439" s="8">
        <v>2.0464000000000002</v>
      </c>
      <c r="AJ439" s="8">
        <v>2.0318999999999998</v>
      </c>
      <c r="AK439" s="8">
        <v>2.0398999999999998</v>
      </c>
      <c r="AL439" s="8">
        <v>2.0245000000000002</v>
      </c>
      <c r="AM439" s="8">
        <v>1.96</v>
      </c>
      <c r="AN439" s="8">
        <v>1.9404999999999999</v>
      </c>
      <c r="AO439" s="8">
        <v>1.9051</v>
      </c>
      <c r="AP439" s="8">
        <v>1.9052</v>
      </c>
      <c r="AQ439" s="8">
        <v>1.9577</v>
      </c>
      <c r="AR439" s="8">
        <v>1.9491000000000001</v>
      </c>
      <c r="AS439" s="8">
        <v>1.9948999999999999</v>
      </c>
      <c r="AT439" s="8">
        <v>1.9995000000000001</v>
      </c>
      <c r="AU439" s="8">
        <v>2.0099</v>
      </c>
      <c r="AV439" s="8">
        <v>2.0053999999999998</v>
      </c>
      <c r="AW439" s="8">
        <v>2.0004</v>
      </c>
      <c r="AX439" s="8">
        <v>1.9898</v>
      </c>
      <c r="AY439" s="8">
        <v>1.9901</v>
      </c>
      <c r="AZ439" s="8">
        <v>1.9825999999999999</v>
      </c>
      <c r="BA439" s="8">
        <v>1.9791000000000001</v>
      </c>
      <c r="BB439" s="8">
        <v>1.9770000000000001</v>
      </c>
      <c r="BC439" s="8">
        <v>1.9752000000000001</v>
      </c>
      <c r="BD439" s="8">
        <v>1.9450000000000001</v>
      </c>
    </row>
    <row r="440" spans="2:56" x14ac:dyDescent="0.3">
      <c r="B440" s="35">
        <f t="shared" si="168"/>
        <v>3351.9999999999995</v>
      </c>
      <c r="C440" s="39">
        <f t="shared" si="169"/>
        <v>22.5175695461201</v>
      </c>
      <c r="D440" s="39">
        <f t="shared" si="170"/>
        <v>23.816007808687292</v>
      </c>
      <c r="E440" s="39">
        <f t="shared" si="171"/>
        <v>29.120546608101431</v>
      </c>
      <c r="F440" s="39">
        <f t="shared" si="172"/>
        <v>29.303562713518932</v>
      </c>
      <c r="G440" s="39">
        <f t="shared" si="173"/>
        <v>32.486578818935953</v>
      </c>
      <c r="H440" s="39">
        <f t="shared" si="174"/>
        <v>35.669594924353405</v>
      </c>
      <c r="I440" s="39">
        <f t="shared" si="175"/>
        <v>60.566373840898081</v>
      </c>
      <c r="J440" s="39">
        <f t="shared" si="176"/>
        <v>69.553684724255632</v>
      </c>
      <c r="K440" s="39">
        <f t="shared" si="177"/>
        <v>80.956320156173717</v>
      </c>
      <c r="L440" s="39">
        <f t="shared" si="178"/>
        <v>87.316251830161065</v>
      </c>
      <c r="M440" s="39">
        <f t="shared" si="179"/>
        <v>61.804538799414324</v>
      </c>
      <c r="N440" s="39">
        <f t="shared" si="180"/>
        <v>46.284773060029238</v>
      </c>
      <c r="O440" s="39"/>
      <c r="P440" s="39">
        <f t="shared" si="181"/>
        <v>55.541483650561077</v>
      </c>
      <c r="Q440" s="39">
        <f t="shared" si="182"/>
        <v>51.670082967301106</v>
      </c>
      <c r="R440" s="39">
        <f t="shared" si="183"/>
        <v>53.517569546120043</v>
      </c>
      <c r="S440" s="39">
        <f t="shared" si="184"/>
        <v>50.944119082479091</v>
      </c>
      <c r="T440" s="39">
        <f t="shared" si="185"/>
        <v>55.297950219619572</v>
      </c>
      <c r="U440" s="39">
        <f t="shared" si="186"/>
        <v>44.376769155685651</v>
      </c>
      <c r="V440" s="39">
        <f t="shared" si="187"/>
        <v>56.259394826744796</v>
      </c>
      <c r="W440" s="39">
        <f t="shared" si="188"/>
        <v>60.073450463640683</v>
      </c>
      <c r="X440" s="39">
        <f t="shared" si="189"/>
        <v>55.79770619814564</v>
      </c>
      <c r="Y440" s="39">
        <f t="shared" si="190"/>
        <v>62.413860419716904</v>
      </c>
      <c r="Z440" s="39">
        <f t="shared" si="191"/>
        <v>63.207662274280104</v>
      </c>
      <c r="AA440" s="39">
        <f t="shared" si="192"/>
        <v>64.665690580771141</v>
      </c>
      <c r="AB440" s="38"/>
      <c r="AE440" s="15">
        <v>3.8796296296296294E-2</v>
      </c>
      <c r="AF440" s="11">
        <f t="shared" si="193"/>
        <v>3351.9999999999995</v>
      </c>
      <c r="AG440" s="8">
        <v>2.0581999999999998</v>
      </c>
      <c r="AH440" s="8">
        <v>2.0402999999999998</v>
      </c>
      <c r="AI440" s="8">
        <v>2.0468000000000002</v>
      </c>
      <c r="AJ440" s="8">
        <v>2.0341999999999998</v>
      </c>
      <c r="AK440" s="8">
        <v>2.0379</v>
      </c>
      <c r="AL440" s="8">
        <v>2.0253000000000001</v>
      </c>
      <c r="AM440" s="8">
        <v>1.9602999999999999</v>
      </c>
      <c r="AN440" s="8">
        <v>1.9419999999999999</v>
      </c>
      <c r="AO440" s="8">
        <v>1.9045000000000001</v>
      </c>
      <c r="AP440" s="8">
        <v>1.9057999999999999</v>
      </c>
      <c r="AQ440" s="8">
        <v>1.9581999999999999</v>
      </c>
      <c r="AR440" s="8">
        <v>1.9503999999999999</v>
      </c>
      <c r="AS440" s="8">
        <v>1.9950000000000001</v>
      </c>
      <c r="AT440" s="8">
        <v>1.9987999999999999</v>
      </c>
      <c r="AU440" s="8">
        <v>2.0093000000000001</v>
      </c>
      <c r="AV440" s="8">
        <v>2.0064000000000002</v>
      </c>
      <c r="AW440" s="8">
        <v>2.0015999999999998</v>
      </c>
      <c r="AX440" s="8">
        <v>1.9933000000000001</v>
      </c>
      <c r="AY440" s="8">
        <v>1.9895</v>
      </c>
      <c r="AZ440" s="8">
        <v>1.9818</v>
      </c>
      <c r="BA440" s="8">
        <v>1.9804999999999999</v>
      </c>
      <c r="BB440" s="8">
        <v>1.9772000000000001</v>
      </c>
      <c r="BC440" s="8">
        <v>1.9757</v>
      </c>
      <c r="BD440" s="8">
        <v>1.9433</v>
      </c>
    </row>
    <row r="441" spans="2:56" x14ac:dyDescent="0.3">
      <c r="B441" s="35">
        <f t="shared" si="168"/>
        <v>3360</v>
      </c>
      <c r="C441" s="39">
        <f t="shared" si="169"/>
        <v>22.810395314787709</v>
      </c>
      <c r="D441" s="39">
        <f t="shared" si="170"/>
        <v>24.64568081991208</v>
      </c>
      <c r="E441" s="39">
        <f t="shared" si="171"/>
        <v>28.388482186432512</v>
      </c>
      <c r="F441" s="39">
        <f t="shared" si="172"/>
        <v>29.547584187408496</v>
      </c>
      <c r="G441" s="39">
        <f t="shared" si="173"/>
        <v>31.022449975597677</v>
      </c>
      <c r="H441" s="39">
        <f t="shared" si="174"/>
        <v>36.450463640800585</v>
      </c>
      <c r="I441" s="39">
        <f t="shared" si="175"/>
        <v>60.761591020009824</v>
      </c>
      <c r="J441" s="39">
        <f t="shared" si="176"/>
        <v>70.188140556368793</v>
      </c>
      <c r="K441" s="39">
        <f t="shared" si="177"/>
        <v>80.175451439726757</v>
      </c>
      <c r="L441" s="39">
        <f t="shared" si="178"/>
        <v>87.706686188384566</v>
      </c>
      <c r="M441" s="39">
        <f t="shared" si="179"/>
        <v>61.218887262079001</v>
      </c>
      <c r="N441" s="39">
        <f t="shared" si="180"/>
        <v>47.260858955588041</v>
      </c>
      <c r="O441" s="39"/>
      <c r="P441" s="39">
        <f t="shared" si="181"/>
        <v>56.566373840897931</v>
      </c>
      <c r="Q441" s="39">
        <f t="shared" si="182"/>
        <v>51.279648609077512</v>
      </c>
      <c r="R441" s="39">
        <f t="shared" si="183"/>
        <v>53.566373840898088</v>
      </c>
      <c r="S441" s="39">
        <f t="shared" si="184"/>
        <v>51.334553440702791</v>
      </c>
      <c r="T441" s="39">
        <f t="shared" si="185"/>
        <v>55.444363103953272</v>
      </c>
      <c r="U441" s="39">
        <f t="shared" si="186"/>
        <v>44.523182040019456</v>
      </c>
      <c r="V441" s="39">
        <f t="shared" si="187"/>
        <v>56.747437774524258</v>
      </c>
      <c r="W441" s="39">
        <f t="shared" si="188"/>
        <v>59.927037579306884</v>
      </c>
      <c r="X441" s="39">
        <f t="shared" si="189"/>
        <v>55.407271839922053</v>
      </c>
      <c r="Y441" s="39">
        <f t="shared" si="190"/>
        <v>61.242557345046357</v>
      </c>
      <c r="Z441" s="39">
        <f t="shared" si="191"/>
        <v>63.598096632503577</v>
      </c>
      <c r="AA441" s="39">
        <f t="shared" si="192"/>
        <v>64.763299170327016</v>
      </c>
      <c r="AB441" s="38"/>
      <c r="AE441" s="15">
        <v>3.888888888888889E-2</v>
      </c>
      <c r="AF441" s="11">
        <f t="shared" si="193"/>
        <v>3360</v>
      </c>
      <c r="AG441" s="8">
        <v>2.0575999999999999</v>
      </c>
      <c r="AH441" s="8">
        <v>2.0386000000000002</v>
      </c>
      <c r="AI441" s="8">
        <v>2.0482999999999998</v>
      </c>
      <c r="AJ441" s="8">
        <v>2.0337000000000001</v>
      </c>
      <c r="AK441" s="8">
        <v>2.0409000000000002</v>
      </c>
      <c r="AL441" s="8">
        <v>2.0236999999999998</v>
      </c>
      <c r="AM441" s="8">
        <v>1.9599</v>
      </c>
      <c r="AN441" s="8">
        <v>1.9407000000000001</v>
      </c>
      <c r="AO441" s="8">
        <v>1.9060999999999999</v>
      </c>
      <c r="AP441" s="8">
        <v>1.905</v>
      </c>
      <c r="AQ441" s="8">
        <v>1.9594</v>
      </c>
      <c r="AR441" s="8">
        <v>1.9483999999999999</v>
      </c>
      <c r="AS441" s="8">
        <v>1.9928999999999999</v>
      </c>
      <c r="AT441" s="8">
        <v>1.9996</v>
      </c>
      <c r="AU441" s="8">
        <v>2.0091999999999999</v>
      </c>
      <c r="AV441" s="8">
        <v>2.0055999999999998</v>
      </c>
      <c r="AW441" s="8">
        <v>2.0013000000000001</v>
      </c>
      <c r="AX441" s="8">
        <v>1.9930000000000001</v>
      </c>
      <c r="AY441" s="8">
        <v>1.9884999999999999</v>
      </c>
      <c r="AZ441" s="8">
        <v>1.9821</v>
      </c>
      <c r="BA441" s="8">
        <v>1.9813000000000001</v>
      </c>
      <c r="BB441" s="8">
        <v>1.9796</v>
      </c>
      <c r="BC441" s="8">
        <v>1.9749000000000001</v>
      </c>
      <c r="BD441" s="8">
        <v>1.9431</v>
      </c>
    </row>
    <row r="442" spans="2:56" x14ac:dyDescent="0.3">
      <c r="B442" s="35">
        <f t="shared" si="168"/>
        <v>3368.0000000000005</v>
      </c>
      <c r="C442" s="39">
        <f t="shared" si="169"/>
        <v>22.468765251342056</v>
      </c>
      <c r="D442" s="39">
        <f t="shared" si="170"/>
        <v>23.230356271351852</v>
      </c>
      <c r="E442" s="39">
        <f t="shared" si="171"/>
        <v>29.071742313323607</v>
      </c>
      <c r="F442" s="39">
        <f t="shared" si="172"/>
        <v>29.401171303074801</v>
      </c>
      <c r="G442" s="39">
        <f t="shared" si="173"/>
        <v>31.022449975597677</v>
      </c>
      <c r="H442" s="39">
        <f t="shared" si="174"/>
        <v>36.011224987799061</v>
      </c>
      <c r="I442" s="39">
        <f t="shared" si="175"/>
        <v>60.712786725231886</v>
      </c>
      <c r="J442" s="39">
        <f t="shared" si="176"/>
        <v>69.553684724255632</v>
      </c>
      <c r="K442" s="39">
        <f t="shared" si="177"/>
        <v>80.224255734504695</v>
      </c>
      <c r="L442" s="39">
        <f t="shared" si="178"/>
        <v>87.706686188384566</v>
      </c>
      <c r="M442" s="39">
        <f t="shared" si="179"/>
        <v>61.3653001464128</v>
      </c>
      <c r="N442" s="39">
        <f t="shared" si="180"/>
        <v>46.870424597364462</v>
      </c>
      <c r="O442" s="39"/>
      <c r="P442" s="39">
        <f t="shared" si="181"/>
        <v>55.736700829672927</v>
      </c>
      <c r="Q442" s="39">
        <f t="shared" si="182"/>
        <v>51.865300146412842</v>
      </c>
      <c r="R442" s="39">
        <f t="shared" si="183"/>
        <v>53.3223523670083</v>
      </c>
      <c r="S442" s="39">
        <f t="shared" si="184"/>
        <v>51.188140556368879</v>
      </c>
      <c r="T442" s="39">
        <f t="shared" si="185"/>
        <v>55.249145924841528</v>
      </c>
      <c r="U442" s="39">
        <f t="shared" si="186"/>
        <v>44.376769155685651</v>
      </c>
      <c r="V442" s="39">
        <f t="shared" si="187"/>
        <v>56.649829184968389</v>
      </c>
      <c r="W442" s="39">
        <f t="shared" si="188"/>
        <v>59.683016105417209</v>
      </c>
      <c r="X442" s="39">
        <f t="shared" si="189"/>
        <v>55.992923377257384</v>
      </c>
      <c r="Y442" s="39">
        <f t="shared" si="190"/>
        <v>61.779404587603757</v>
      </c>
      <c r="Z442" s="39">
        <f t="shared" si="191"/>
        <v>63.207662274280104</v>
      </c>
      <c r="AA442" s="39">
        <f t="shared" si="192"/>
        <v>64.372864812103529</v>
      </c>
      <c r="AB442" s="38"/>
      <c r="AE442" s="15">
        <v>3.8981481481481485E-2</v>
      </c>
      <c r="AF442" s="11">
        <f t="shared" si="193"/>
        <v>3368.0000000000005</v>
      </c>
      <c r="AG442" s="8">
        <v>2.0583</v>
      </c>
      <c r="AH442" s="8">
        <v>2.0415000000000001</v>
      </c>
      <c r="AI442" s="8">
        <v>2.0468999999999999</v>
      </c>
      <c r="AJ442" s="8">
        <v>2.0339999999999998</v>
      </c>
      <c r="AK442" s="8">
        <v>2.0409000000000002</v>
      </c>
      <c r="AL442" s="8">
        <v>2.0246</v>
      </c>
      <c r="AM442" s="8">
        <v>1.96</v>
      </c>
      <c r="AN442" s="8">
        <v>1.9419999999999999</v>
      </c>
      <c r="AO442" s="8">
        <v>1.9059999999999999</v>
      </c>
      <c r="AP442" s="8">
        <v>1.905</v>
      </c>
      <c r="AQ442" s="8">
        <v>1.9591000000000001</v>
      </c>
      <c r="AR442" s="8">
        <v>1.9492</v>
      </c>
      <c r="AS442" s="8">
        <v>1.9945999999999999</v>
      </c>
      <c r="AT442" s="8">
        <v>1.9984</v>
      </c>
      <c r="AU442" s="8">
        <v>2.0097</v>
      </c>
      <c r="AV442" s="8">
        <v>2.0059</v>
      </c>
      <c r="AW442" s="8">
        <v>2.0017</v>
      </c>
      <c r="AX442" s="8">
        <v>1.9933000000000001</v>
      </c>
      <c r="AY442" s="8">
        <v>1.9886999999999999</v>
      </c>
      <c r="AZ442" s="8">
        <v>1.9825999999999999</v>
      </c>
      <c r="BA442" s="8">
        <v>1.9801</v>
      </c>
      <c r="BB442" s="8">
        <v>1.9784999999999999</v>
      </c>
      <c r="BC442" s="8">
        <v>1.9757</v>
      </c>
      <c r="BD442" s="8">
        <v>1.9439</v>
      </c>
    </row>
    <row r="443" spans="2:56" x14ac:dyDescent="0.3">
      <c r="B443" s="35">
        <f t="shared" si="168"/>
        <v>3376</v>
      </c>
      <c r="C443" s="39">
        <f t="shared" si="169"/>
        <v>23.347242557344888</v>
      </c>
      <c r="D443" s="39">
        <f t="shared" si="170"/>
        <v>23.767203513909248</v>
      </c>
      <c r="E443" s="39">
        <f t="shared" si="171"/>
        <v>29.41337237676926</v>
      </c>
      <c r="F443" s="39">
        <f t="shared" si="172"/>
        <v>29.645192776964368</v>
      </c>
      <c r="G443" s="39">
        <f t="shared" si="173"/>
        <v>31.559297218155077</v>
      </c>
      <c r="H443" s="39">
        <f t="shared" si="174"/>
        <v>36.401659346022534</v>
      </c>
      <c r="I443" s="39">
        <f t="shared" si="175"/>
        <v>61.103221083455367</v>
      </c>
      <c r="J443" s="39">
        <f t="shared" si="176"/>
        <v>70.188140556368793</v>
      </c>
      <c r="K443" s="39">
        <f t="shared" si="177"/>
        <v>79.687408491947295</v>
      </c>
      <c r="L443" s="39">
        <f t="shared" si="178"/>
        <v>87.706686188384566</v>
      </c>
      <c r="M443" s="39">
        <f t="shared" si="179"/>
        <v>62.29258174719368</v>
      </c>
      <c r="N443" s="39">
        <f t="shared" si="180"/>
        <v>46.870424597364462</v>
      </c>
      <c r="O443" s="39"/>
      <c r="P443" s="39">
        <f t="shared" si="181"/>
        <v>55.590287945339114</v>
      </c>
      <c r="Q443" s="39">
        <f t="shared" si="182"/>
        <v>51.816495851634912</v>
      </c>
      <c r="R443" s="39">
        <f t="shared" si="183"/>
        <v>53.663982430453956</v>
      </c>
      <c r="S443" s="39">
        <f t="shared" si="184"/>
        <v>51.724987798926271</v>
      </c>
      <c r="T443" s="39">
        <f t="shared" si="185"/>
        <v>55.737188872620877</v>
      </c>
      <c r="U443" s="39">
        <f t="shared" si="186"/>
        <v>44.327964860907713</v>
      </c>
      <c r="V443" s="39">
        <f t="shared" si="187"/>
        <v>56.893850658858064</v>
      </c>
      <c r="W443" s="39">
        <f t="shared" si="188"/>
        <v>60.317471937530364</v>
      </c>
      <c r="X443" s="39">
        <f t="shared" si="189"/>
        <v>56.13933626159119</v>
      </c>
      <c r="Y443" s="39">
        <f t="shared" si="190"/>
        <v>62.609077598828755</v>
      </c>
      <c r="Z443" s="39">
        <f t="shared" si="191"/>
        <v>63.40287945339184</v>
      </c>
      <c r="AA443" s="39">
        <f t="shared" si="192"/>
        <v>64.177647632991778</v>
      </c>
      <c r="AB443" s="38"/>
      <c r="AE443" s="15">
        <v>3.9074074074074074E-2</v>
      </c>
      <c r="AF443" s="11">
        <f t="shared" si="193"/>
        <v>3376</v>
      </c>
      <c r="AG443" s="8">
        <v>2.0565000000000002</v>
      </c>
      <c r="AH443" s="8">
        <v>2.0404</v>
      </c>
      <c r="AI443" s="8">
        <v>2.0461999999999998</v>
      </c>
      <c r="AJ443" s="8">
        <v>2.0335000000000001</v>
      </c>
      <c r="AK443" s="8">
        <v>2.0398000000000001</v>
      </c>
      <c r="AL443" s="8">
        <v>2.0238</v>
      </c>
      <c r="AM443" s="8">
        <v>1.9592000000000001</v>
      </c>
      <c r="AN443" s="8">
        <v>1.9407000000000001</v>
      </c>
      <c r="AO443" s="8">
        <v>1.9071</v>
      </c>
      <c r="AP443" s="8">
        <v>1.905</v>
      </c>
      <c r="AQ443" s="8">
        <v>1.9572000000000001</v>
      </c>
      <c r="AR443" s="8">
        <v>1.9492</v>
      </c>
      <c r="AS443" s="8">
        <v>1.9948999999999999</v>
      </c>
      <c r="AT443" s="8">
        <v>1.9984999999999999</v>
      </c>
      <c r="AU443" s="8">
        <v>2.0089999999999999</v>
      </c>
      <c r="AV443" s="8">
        <v>2.0047999999999999</v>
      </c>
      <c r="AW443" s="8">
        <v>2.0007000000000001</v>
      </c>
      <c r="AX443" s="8">
        <v>1.9934000000000001</v>
      </c>
      <c r="AY443" s="8">
        <v>1.9882</v>
      </c>
      <c r="AZ443" s="8">
        <v>1.9813000000000001</v>
      </c>
      <c r="BA443" s="8">
        <v>1.9798</v>
      </c>
      <c r="BB443" s="8">
        <v>1.9767999999999999</v>
      </c>
      <c r="BC443" s="8">
        <v>1.9753000000000001</v>
      </c>
      <c r="BD443" s="8">
        <v>1.9442999999999999</v>
      </c>
    </row>
    <row r="444" spans="2:56" x14ac:dyDescent="0.3">
      <c r="B444" s="35">
        <f t="shared" si="168"/>
        <v>3384</v>
      </c>
      <c r="C444" s="39">
        <f t="shared" si="169"/>
        <v>22.1271351878964</v>
      </c>
      <c r="D444" s="39">
        <f t="shared" si="170"/>
        <v>23.816007808687292</v>
      </c>
      <c r="E444" s="39">
        <f t="shared" si="171"/>
        <v>29.071742313323607</v>
      </c>
      <c r="F444" s="39">
        <f t="shared" si="172"/>
        <v>29.986822840410024</v>
      </c>
      <c r="G444" s="39">
        <f t="shared" si="173"/>
        <v>31.90092728160073</v>
      </c>
      <c r="H444" s="39">
        <f t="shared" si="174"/>
        <v>36.74328940946819</v>
      </c>
      <c r="I444" s="39">
        <f t="shared" si="175"/>
        <v>60.51756954612015</v>
      </c>
      <c r="J444" s="39">
        <f t="shared" si="176"/>
        <v>69.992923377257057</v>
      </c>
      <c r="K444" s="39">
        <f t="shared" si="177"/>
        <v>79.882625671059046</v>
      </c>
      <c r="L444" s="39">
        <f t="shared" si="178"/>
        <v>88.536359199609564</v>
      </c>
      <c r="M444" s="39">
        <f t="shared" si="179"/>
        <v>61.3653001464128</v>
      </c>
      <c r="N444" s="39">
        <f t="shared" si="180"/>
        <v>46.724011713030656</v>
      </c>
      <c r="O444" s="39"/>
      <c r="P444" s="39">
        <f t="shared" si="181"/>
        <v>57.10322108345521</v>
      </c>
      <c r="Q444" s="39">
        <f t="shared" si="182"/>
        <v>51.426061493411318</v>
      </c>
      <c r="R444" s="39">
        <f t="shared" si="183"/>
        <v>53.078330893118519</v>
      </c>
      <c r="S444" s="39">
        <f t="shared" si="184"/>
        <v>52.945095168374756</v>
      </c>
      <c r="T444" s="39">
        <f t="shared" si="185"/>
        <v>55.54197169350914</v>
      </c>
      <c r="U444" s="39">
        <f t="shared" si="186"/>
        <v>44.767203513909237</v>
      </c>
      <c r="V444" s="39">
        <f t="shared" si="187"/>
        <v>58.79721815519774</v>
      </c>
      <c r="W444" s="39">
        <f t="shared" si="188"/>
        <v>61.000732064421562</v>
      </c>
      <c r="X444" s="39">
        <f t="shared" si="189"/>
        <v>56.285749145924989</v>
      </c>
      <c r="Y444" s="39">
        <f t="shared" si="190"/>
        <v>62.072230356271369</v>
      </c>
      <c r="Z444" s="39">
        <f t="shared" si="191"/>
        <v>63.500488042947701</v>
      </c>
      <c r="AA444" s="39">
        <f t="shared" si="192"/>
        <v>64.616886285993203</v>
      </c>
      <c r="AB444" s="38"/>
      <c r="AE444" s="15">
        <v>3.9166666666666662E-2</v>
      </c>
      <c r="AF444" s="11">
        <f t="shared" si="193"/>
        <v>3384</v>
      </c>
      <c r="AG444" s="8">
        <v>2.0590000000000002</v>
      </c>
      <c r="AH444" s="8">
        <v>2.0402999999999998</v>
      </c>
      <c r="AI444" s="8">
        <v>2.0468999999999999</v>
      </c>
      <c r="AJ444" s="8">
        <v>2.0327999999999999</v>
      </c>
      <c r="AK444" s="8">
        <v>2.0390999999999999</v>
      </c>
      <c r="AL444" s="8">
        <v>2.0230999999999999</v>
      </c>
      <c r="AM444" s="8">
        <v>1.9603999999999999</v>
      </c>
      <c r="AN444" s="8">
        <v>1.9411</v>
      </c>
      <c r="AO444" s="8">
        <v>1.9067000000000001</v>
      </c>
      <c r="AP444" s="8">
        <v>1.9033</v>
      </c>
      <c r="AQ444" s="8">
        <v>1.9591000000000001</v>
      </c>
      <c r="AR444" s="8">
        <v>1.9495</v>
      </c>
      <c r="AS444" s="8">
        <v>1.9918</v>
      </c>
      <c r="AT444" s="8">
        <v>1.9993000000000001</v>
      </c>
      <c r="AU444" s="8">
        <v>2.0102000000000002</v>
      </c>
      <c r="AV444" s="8">
        <v>2.0023</v>
      </c>
      <c r="AW444" s="8">
        <v>2.0011000000000001</v>
      </c>
      <c r="AX444" s="8">
        <v>1.9924999999999999</v>
      </c>
      <c r="AY444" s="8">
        <v>1.9843</v>
      </c>
      <c r="AZ444" s="8">
        <v>1.9799</v>
      </c>
      <c r="BA444" s="8">
        <v>1.9795</v>
      </c>
      <c r="BB444" s="8">
        <v>1.9779</v>
      </c>
      <c r="BC444" s="8">
        <v>1.9751000000000001</v>
      </c>
      <c r="BD444" s="8">
        <v>1.9434</v>
      </c>
    </row>
    <row r="445" spans="2:56" x14ac:dyDescent="0.3">
      <c r="B445" s="35">
        <f t="shared" si="168"/>
        <v>3392</v>
      </c>
      <c r="C445" s="39">
        <f t="shared" si="169"/>
        <v>23.298438262567057</v>
      </c>
      <c r="D445" s="39">
        <f t="shared" si="170"/>
        <v>23.669594924353376</v>
      </c>
      <c r="E445" s="39">
        <f t="shared" si="171"/>
        <v>28.925329428989691</v>
      </c>
      <c r="F445" s="39">
        <f t="shared" si="172"/>
        <v>29.35236700829676</v>
      </c>
      <c r="G445" s="39">
        <f t="shared" si="173"/>
        <v>32.047340165934429</v>
      </c>
      <c r="H445" s="39">
        <f t="shared" si="174"/>
        <v>37.328940946803414</v>
      </c>
      <c r="I445" s="39">
        <f t="shared" si="175"/>
        <v>61.152025378233304</v>
      </c>
      <c r="J445" s="39">
        <f t="shared" si="176"/>
        <v>69.407271839921819</v>
      </c>
      <c r="K445" s="39">
        <f t="shared" si="177"/>
        <v>79.394582723279697</v>
      </c>
      <c r="L445" s="39">
        <f t="shared" si="178"/>
        <v>88.341142020497813</v>
      </c>
      <c r="M445" s="39">
        <f t="shared" si="179"/>
        <v>61.853343094192262</v>
      </c>
      <c r="N445" s="39">
        <f t="shared" si="180"/>
        <v>46.577598828696843</v>
      </c>
      <c r="O445" s="39"/>
      <c r="P445" s="39">
        <f t="shared" si="181"/>
        <v>55.834309419228795</v>
      </c>
      <c r="Q445" s="39">
        <f t="shared" si="182"/>
        <v>51.816495851634912</v>
      </c>
      <c r="R445" s="39">
        <f t="shared" si="183"/>
        <v>53.761591020009824</v>
      </c>
      <c r="S445" s="39">
        <f t="shared" si="184"/>
        <v>50.89531478770126</v>
      </c>
      <c r="T445" s="39">
        <f t="shared" si="185"/>
        <v>55.005124450951747</v>
      </c>
      <c r="U445" s="39">
        <f t="shared" si="186"/>
        <v>44.718399219131307</v>
      </c>
      <c r="V445" s="39">
        <f t="shared" si="187"/>
        <v>56.649829184968389</v>
      </c>
      <c r="W445" s="39">
        <f t="shared" si="188"/>
        <v>59.73182040019514</v>
      </c>
      <c r="X445" s="39">
        <f t="shared" si="189"/>
        <v>56.334553440702926</v>
      </c>
      <c r="Y445" s="39">
        <f t="shared" si="190"/>
        <v>61.681795998047882</v>
      </c>
      <c r="Z445" s="39">
        <f t="shared" si="191"/>
        <v>63.646900927281514</v>
      </c>
      <c r="AA445" s="39">
        <f t="shared" si="192"/>
        <v>64.226451927769716</v>
      </c>
      <c r="AB445" s="38"/>
      <c r="AE445" s="15">
        <v>3.9259259259259258E-2</v>
      </c>
      <c r="AF445" s="11">
        <f t="shared" si="193"/>
        <v>3392</v>
      </c>
      <c r="AG445" s="8">
        <v>2.0566</v>
      </c>
      <c r="AH445" s="8">
        <v>2.0406</v>
      </c>
      <c r="AI445" s="8">
        <v>2.0472000000000001</v>
      </c>
      <c r="AJ445" s="8">
        <v>2.0341</v>
      </c>
      <c r="AK445" s="8">
        <v>2.0388000000000002</v>
      </c>
      <c r="AL445" s="8">
        <v>2.0219</v>
      </c>
      <c r="AM445" s="8">
        <v>1.9591000000000001</v>
      </c>
      <c r="AN445" s="8">
        <v>1.9422999999999999</v>
      </c>
      <c r="AO445" s="8">
        <v>1.9077</v>
      </c>
      <c r="AP445" s="8">
        <v>1.9036999999999999</v>
      </c>
      <c r="AQ445" s="8">
        <v>1.9581</v>
      </c>
      <c r="AR445" s="8">
        <v>1.9498</v>
      </c>
      <c r="AS445" s="8">
        <v>1.9944</v>
      </c>
      <c r="AT445" s="8">
        <v>1.9984999999999999</v>
      </c>
      <c r="AU445" s="8">
        <v>2.0087999999999999</v>
      </c>
      <c r="AV445" s="8">
        <v>2.0065</v>
      </c>
      <c r="AW445" s="8">
        <v>2.0022000000000002</v>
      </c>
      <c r="AX445" s="8">
        <v>1.9925999999999999</v>
      </c>
      <c r="AY445" s="8">
        <v>1.9886999999999999</v>
      </c>
      <c r="AZ445" s="8">
        <v>1.9824999999999999</v>
      </c>
      <c r="BA445" s="8">
        <v>1.9794</v>
      </c>
      <c r="BB445" s="8">
        <v>1.9786999999999999</v>
      </c>
      <c r="BC445" s="8">
        <v>1.9748000000000001</v>
      </c>
      <c r="BD445" s="8">
        <v>1.9441999999999999</v>
      </c>
    </row>
    <row r="446" spans="2:56" x14ac:dyDescent="0.3">
      <c r="B446" s="35">
        <f t="shared" si="168"/>
        <v>3400</v>
      </c>
      <c r="C446" s="39">
        <f t="shared" si="169"/>
        <v>22.32235236700814</v>
      </c>
      <c r="D446" s="39">
        <f t="shared" si="170"/>
        <v>24.108833577354901</v>
      </c>
      <c r="E446" s="39">
        <f t="shared" si="171"/>
        <v>28.827720839433823</v>
      </c>
      <c r="F446" s="39">
        <f t="shared" si="172"/>
        <v>29.596388482186544</v>
      </c>
      <c r="G446" s="39">
        <f t="shared" si="173"/>
        <v>31.90092728160073</v>
      </c>
      <c r="H446" s="39">
        <f t="shared" si="174"/>
        <v>36.108833577354929</v>
      </c>
      <c r="I446" s="39">
        <f t="shared" si="175"/>
        <v>60.37115666178623</v>
      </c>
      <c r="J446" s="39">
        <f t="shared" si="176"/>
        <v>69.60248901903357</v>
      </c>
      <c r="K446" s="39">
        <f t="shared" si="177"/>
        <v>79.78501708150317</v>
      </c>
      <c r="L446" s="39">
        <f t="shared" si="178"/>
        <v>87.365056124939002</v>
      </c>
      <c r="M446" s="39">
        <f t="shared" si="179"/>
        <v>60.682040019521715</v>
      </c>
      <c r="N446" s="39">
        <f t="shared" si="180"/>
        <v>46.870424597364462</v>
      </c>
      <c r="O446" s="39"/>
      <c r="P446" s="39">
        <f t="shared" si="181"/>
        <v>57.05441678867728</v>
      </c>
      <c r="Q446" s="39">
        <f t="shared" si="182"/>
        <v>51.718887262079043</v>
      </c>
      <c r="R446" s="39">
        <f t="shared" si="183"/>
        <v>54.005612493899392</v>
      </c>
      <c r="S446" s="39">
        <f t="shared" si="184"/>
        <v>51.871400683259964</v>
      </c>
      <c r="T446" s="39">
        <f t="shared" si="185"/>
        <v>56.030014641288489</v>
      </c>
      <c r="U446" s="39">
        <f t="shared" si="186"/>
        <v>44.620790629575438</v>
      </c>
      <c r="V446" s="39">
        <f t="shared" si="187"/>
        <v>56.893850658858064</v>
      </c>
      <c r="W446" s="39">
        <f t="shared" si="188"/>
        <v>59.927037579306884</v>
      </c>
      <c r="X446" s="39">
        <f t="shared" si="189"/>
        <v>56.18814055636912</v>
      </c>
      <c r="Y446" s="39">
        <f t="shared" si="190"/>
        <v>62.413860419716904</v>
      </c>
      <c r="Z446" s="39">
        <f t="shared" si="191"/>
        <v>63.842118106393364</v>
      </c>
      <c r="AA446" s="39">
        <f t="shared" si="192"/>
        <v>64.568081991215266</v>
      </c>
      <c r="AB446" s="38"/>
      <c r="AE446" s="15">
        <v>3.9351851851851853E-2</v>
      </c>
      <c r="AF446" s="11">
        <f t="shared" si="193"/>
        <v>3400</v>
      </c>
      <c r="AG446" s="8">
        <v>2.0586000000000002</v>
      </c>
      <c r="AH446" s="8">
        <v>2.0396999999999998</v>
      </c>
      <c r="AI446" s="8">
        <v>2.0474000000000001</v>
      </c>
      <c r="AJ446" s="8">
        <v>2.0335999999999999</v>
      </c>
      <c r="AK446" s="8">
        <v>2.0390999999999999</v>
      </c>
      <c r="AL446" s="8">
        <v>2.0244</v>
      </c>
      <c r="AM446" s="8">
        <v>1.9607000000000001</v>
      </c>
      <c r="AN446" s="8">
        <v>1.9419</v>
      </c>
      <c r="AO446" s="8">
        <v>1.9069</v>
      </c>
      <c r="AP446" s="8">
        <v>1.9056999999999999</v>
      </c>
      <c r="AQ446" s="8">
        <v>1.9604999999999999</v>
      </c>
      <c r="AR446" s="8">
        <v>1.9492</v>
      </c>
      <c r="AS446" s="8">
        <v>1.9919</v>
      </c>
      <c r="AT446" s="8">
        <v>1.9986999999999999</v>
      </c>
      <c r="AU446" s="8">
        <v>2.0083000000000002</v>
      </c>
      <c r="AV446" s="8">
        <v>2.0045000000000002</v>
      </c>
      <c r="AW446" s="8">
        <v>2.0001000000000002</v>
      </c>
      <c r="AX446" s="8">
        <v>1.9927999999999999</v>
      </c>
      <c r="AY446" s="8">
        <v>1.9882</v>
      </c>
      <c r="AZ446" s="8">
        <v>1.9821</v>
      </c>
      <c r="BA446" s="8">
        <v>1.9797</v>
      </c>
      <c r="BB446" s="8">
        <v>1.9772000000000001</v>
      </c>
      <c r="BC446" s="8">
        <v>1.9743999999999999</v>
      </c>
      <c r="BD446" s="8">
        <v>1.9435</v>
      </c>
    </row>
    <row r="447" spans="2:56" x14ac:dyDescent="0.3">
      <c r="B447" s="35">
        <f t="shared" si="168"/>
        <v>3407.9999999999995</v>
      </c>
      <c r="C447" s="39">
        <f t="shared" si="169"/>
        <v>24.323328452903805</v>
      </c>
      <c r="D447" s="39">
        <f t="shared" si="170"/>
        <v>23.718399219131204</v>
      </c>
      <c r="E447" s="39">
        <f t="shared" si="171"/>
        <v>28.730112249877948</v>
      </c>
      <c r="F447" s="39">
        <f t="shared" si="172"/>
        <v>30.572474377745241</v>
      </c>
      <c r="G447" s="39">
        <f t="shared" si="173"/>
        <v>31.949731576378561</v>
      </c>
      <c r="H447" s="39">
        <f t="shared" si="174"/>
        <v>37.426549536359289</v>
      </c>
      <c r="I447" s="39">
        <f t="shared" si="175"/>
        <v>60.663982430453949</v>
      </c>
      <c r="J447" s="39">
        <f t="shared" si="176"/>
        <v>70.773792093704131</v>
      </c>
      <c r="K447" s="39">
        <f t="shared" si="177"/>
        <v>79.34577842850176</v>
      </c>
      <c r="L447" s="39">
        <f t="shared" si="178"/>
        <v>87.511469009272815</v>
      </c>
      <c r="M447" s="39">
        <f t="shared" si="179"/>
        <v>61.902147388970199</v>
      </c>
      <c r="N447" s="39">
        <f t="shared" si="180"/>
        <v>46.382381649585106</v>
      </c>
      <c r="O447" s="39"/>
      <c r="P447" s="39">
        <f t="shared" si="181"/>
        <v>56.078330893118469</v>
      </c>
      <c r="Q447" s="39">
        <f t="shared" si="182"/>
        <v>52.938994631527521</v>
      </c>
      <c r="R447" s="39">
        <f t="shared" si="183"/>
        <v>53.908003904343524</v>
      </c>
      <c r="S447" s="39">
        <f t="shared" si="184"/>
        <v>51.676183504148227</v>
      </c>
      <c r="T447" s="39">
        <f t="shared" si="185"/>
        <v>55.444363103953272</v>
      </c>
      <c r="U447" s="39">
        <f t="shared" si="186"/>
        <v>44.425573450463581</v>
      </c>
      <c r="V447" s="39">
        <f t="shared" si="187"/>
        <v>56.69863347974632</v>
      </c>
      <c r="W447" s="39">
        <f t="shared" si="188"/>
        <v>59.878233284528946</v>
      </c>
      <c r="X447" s="39">
        <f t="shared" si="189"/>
        <v>55.79770619814564</v>
      </c>
      <c r="Y447" s="39">
        <f t="shared" si="190"/>
        <v>61.535383113713969</v>
      </c>
      <c r="Z447" s="39">
        <f t="shared" si="191"/>
        <v>63.549292337725639</v>
      </c>
      <c r="AA447" s="39">
        <f t="shared" si="192"/>
        <v>64.568081991215266</v>
      </c>
      <c r="AB447" s="38"/>
      <c r="AE447" s="15">
        <v>3.9444444444444442E-2</v>
      </c>
      <c r="AF447" s="11">
        <f t="shared" si="193"/>
        <v>3407.9999999999995</v>
      </c>
      <c r="AG447" s="8">
        <v>2.0545</v>
      </c>
      <c r="AH447" s="8">
        <v>2.0405000000000002</v>
      </c>
      <c r="AI447" s="8">
        <v>2.0476000000000001</v>
      </c>
      <c r="AJ447" s="8">
        <v>2.0316000000000001</v>
      </c>
      <c r="AK447" s="8">
        <v>2.0390000000000001</v>
      </c>
      <c r="AL447" s="8">
        <v>2.0217000000000001</v>
      </c>
      <c r="AM447" s="8">
        <v>1.9601</v>
      </c>
      <c r="AN447" s="8">
        <v>1.9395</v>
      </c>
      <c r="AO447" s="8">
        <v>1.9077999999999999</v>
      </c>
      <c r="AP447" s="8">
        <v>1.9054</v>
      </c>
      <c r="AQ447" s="8">
        <v>1.958</v>
      </c>
      <c r="AR447" s="8">
        <v>1.9501999999999999</v>
      </c>
      <c r="AS447" s="8">
        <v>1.9939</v>
      </c>
      <c r="AT447" s="8">
        <v>1.9962</v>
      </c>
      <c r="AU447" s="8">
        <v>2.0085000000000002</v>
      </c>
      <c r="AV447" s="8">
        <v>2.0049000000000001</v>
      </c>
      <c r="AW447" s="8">
        <v>2.0013000000000001</v>
      </c>
      <c r="AX447" s="8">
        <v>1.9932000000000001</v>
      </c>
      <c r="AY447" s="8">
        <v>1.9885999999999999</v>
      </c>
      <c r="AZ447" s="8">
        <v>1.9822</v>
      </c>
      <c r="BA447" s="8">
        <v>1.9804999999999999</v>
      </c>
      <c r="BB447" s="8">
        <v>1.9790000000000001</v>
      </c>
      <c r="BC447" s="8">
        <v>1.9750000000000001</v>
      </c>
      <c r="BD447" s="8">
        <v>1.9435</v>
      </c>
    </row>
    <row r="448" spans="2:56" x14ac:dyDescent="0.3">
      <c r="B448" s="35">
        <f t="shared" si="168"/>
        <v>3415.9999999999995</v>
      </c>
      <c r="C448" s="39">
        <f t="shared" si="169"/>
        <v>23.249633967789016</v>
      </c>
      <c r="D448" s="39">
        <f t="shared" si="170"/>
        <v>24.352855051244468</v>
      </c>
      <c r="E448" s="39">
        <f t="shared" si="171"/>
        <v>28.974133723767732</v>
      </c>
      <c r="F448" s="39">
        <f t="shared" si="172"/>
        <v>30.182040019521764</v>
      </c>
      <c r="G448" s="39">
        <f t="shared" si="173"/>
        <v>31.071254270375725</v>
      </c>
      <c r="H448" s="39">
        <f t="shared" si="174"/>
        <v>36.011224987799061</v>
      </c>
      <c r="I448" s="39">
        <f t="shared" si="175"/>
        <v>60.468765251342212</v>
      </c>
      <c r="J448" s="39">
        <f t="shared" si="176"/>
        <v>70.236944851146731</v>
      </c>
      <c r="K448" s="39">
        <f t="shared" si="177"/>
        <v>79.150561249390023</v>
      </c>
      <c r="L448" s="39">
        <f t="shared" si="178"/>
        <v>88.145924841386076</v>
      </c>
      <c r="M448" s="39">
        <f t="shared" si="179"/>
        <v>62.048560273303998</v>
      </c>
      <c r="N448" s="39">
        <f t="shared" si="180"/>
        <v>46.675207418252718</v>
      </c>
      <c r="O448" s="39"/>
      <c r="P448" s="39">
        <f t="shared" si="181"/>
        <v>56.224743777452275</v>
      </c>
      <c r="Q448" s="39">
        <f t="shared" si="182"/>
        <v>52.450951683748073</v>
      </c>
      <c r="R448" s="39">
        <f t="shared" si="183"/>
        <v>54.152025378233304</v>
      </c>
      <c r="S448" s="39">
        <f t="shared" si="184"/>
        <v>51.285749145924747</v>
      </c>
      <c r="T448" s="39">
        <f t="shared" si="185"/>
        <v>55.883601756954789</v>
      </c>
      <c r="U448" s="39">
        <f t="shared" si="186"/>
        <v>44.669594924353369</v>
      </c>
      <c r="V448" s="39">
        <f t="shared" si="187"/>
        <v>57.284285017081537</v>
      </c>
      <c r="W448" s="39">
        <f t="shared" si="188"/>
        <v>60.317471937530364</v>
      </c>
      <c r="X448" s="39">
        <f t="shared" si="189"/>
        <v>55.60248901903379</v>
      </c>
      <c r="Y448" s="39">
        <f t="shared" si="190"/>
        <v>62.121034651049293</v>
      </c>
      <c r="Z448" s="39">
        <f t="shared" si="191"/>
        <v>63.695705222059559</v>
      </c>
      <c r="AA448" s="39">
        <f t="shared" si="192"/>
        <v>64.958516349438753</v>
      </c>
      <c r="AB448" s="38"/>
      <c r="AE448" s="15">
        <v>3.953703703703703E-2</v>
      </c>
      <c r="AF448" s="11">
        <f t="shared" si="193"/>
        <v>3415.9999999999995</v>
      </c>
      <c r="AG448" s="8">
        <v>2.0567000000000002</v>
      </c>
      <c r="AH448" s="8">
        <v>2.0392000000000001</v>
      </c>
      <c r="AI448" s="8">
        <v>2.0470999999999999</v>
      </c>
      <c r="AJ448" s="8">
        <v>2.0324</v>
      </c>
      <c r="AK448" s="8">
        <v>2.0407999999999999</v>
      </c>
      <c r="AL448" s="8">
        <v>2.0246</v>
      </c>
      <c r="AM448" s="8">
        <v>1.9604999999999999</v>
      </c>
      <c r="AN448" s="8">
        <v>1.9406000000000001</v>
      </c>
      <c r="AO448" s="8">
        <v>1.9081999999999999</v>
      </c>
      <c r="AP448" s="8">
        <v>1.9040999999999999</v>
      </c>
      <c r="AQ448" s="8">
        <v>1.9577</v>
      </c>
      <c r="AR448" s="8">
        <v>1.9496</v>
      </c>
      <c r="AS448" s="8">
        <v>1.9936</v>
      </c>
      <c r="AT448" s="8">
        <v>1.9972000000000001</v>
      </c>
      <c r="AU448" s="8">
        <v>2.008</v>
      </c>
      <c r="AV448" s="8">
        <v>2.0057</v>
      </c>
      <c r="AW448" s="8">
        <v>2.0004</v>
      </c>
      <c r="AX448" s="8">
        <v>1.9926999999999999</v>
      </c>
      <c r="AY448" s="8">
        <v>1.9874000000000001</v>
      </c>
      <c r="AZ448" s="8">
        <v>1.9813000000000001</v>
      </c>
      <c r="BA448" s="8">
        <v>1.9809000000000001</v>
      </c>
      <c r="BB448" s="8">
        <v>1.9778</v>
      </c>
      <c r="BC448" s="8">
        <v>1.9746999999999999</v>
      </c>
      <c r="BD448" s="8">
        <v>1.9427000000000001</v>
      </c>
    </row>
    <row r="449" spans="2:56" x14ac:dyDescent="0.3">
      <c r="B449" s="35">
        <f t="shared" si="168"/>
        <v>3424.0000000000005</v>
      </c>
      <c r="C449" s="39">
        <f t="shared" si="169"/>
        <v>23.737676915568585</v>
      </c>
      <c r="D449" s="39">
        <f t="shared" si="170"/>
        <v>23.425573450463595</v>
      </c>
      <c r="E449" s="39">
        <f t="shared" si="171"/>
        <v>27.998047828208815</v>
      </c>
      <c r="F449" s="39">
        <f t="shared" si="172"/>
        <v>29.74280136652024</v>
      </c>
      <c r="G449" s="39">
        <f t="shared" si="173"/>
        <v>31.217667154709424</v>
      </c>
      <c r="H449" s="39">
        <f t="shared" si="174"/>
        <v>36.792093704246021</v>
      </c>
      <c r="I449" s="39">
        <f t="shared" si="175"/>
        <v>60.761591020009824</v>
      </c>
      <c r="J449" s="39">
        <f t="shared" si="176"/>
        <v>70.139336261590856</v>
      </c>
      <c r="K449" s="39">
        <f t="shared" si="177"/>
        <v>78.613714006832623</v>
      </c>
      <c r="L449" s="39">
        <f t="shared" si="178"/>
        <v>88.341142020497813</v>
      </c>
      <c r="M449" s="39">
        <f t="shared" si="179"/>
        <v>61.414104441190737</v>
      </c>
      <c r="N449" s="39">
        <f t="shared" si="180"/>
        <v>46.18716447047337</v>
      </c>
      <c r="O449" s="39"/>
      <c r="P449" s="39">
        <f t="shared" si="181"/>
        <v>56.175939482674337</v>
      </c>
      <c r="Q449" s="39">
        <f t="shared" si="182"/>
        <v>51.621278672523175</v>
      </c>
      <c r="R449" s="39">
        <f t="shared" si="183"/>
        <v>53.615178135675912</v>
      </c>
      <c r="S449" s="39">
        <f t="shared" si="184"/>
        <v>51.529770619814528</v>
      </c>
      <c r="T449" s="39">
        <f t="shared" si="185"/>
        <v>56.12762323084447</v>
      </c>
      <c r="U449" s="39">
        <f t="shared" si="186"/>
        <v>44.523182040019456</v>
      </c>
      <c r="V449" s="39">
        <f t="shared" si="187"/>
        <v>56.893850658858064</v>
      </c>
      <c r="W449" s="39">
        <f t="shared" si="188"/>
        <v>59.927037579306884</v>
      </c>
      <c r="X449" s="39">
        <f t="shared" si="189"/>
        <v>56.920204978038257</v>
      </c>
      <c r="Y449" s="39">
        <f t="shared" si="190"/>
        <v>62.70668618838463</v>
      </c>
      <c r="Z449" s="39">
        <f t="shared" si="191"/>
        <v>64.574182528062394</v>
      </c>
      <c r="AA449" s="39">
        <f t="shared" si="192"/>
        <v>65.056124938994728</v>
      </c>
      <c r="AB449" s="38"/>
      <c r="AE449" s="15">
        <v>3.9629629629629633E-2</v>
      </c>
      <c r="AF449" s="11">
        <f t="shared" si="193"/>
        <v>3424.0000000000005</v>
      </c>
      <c r="AG449" s="8">
        <v>2.0556999999999999</v>
      </c>
      <c r="AH449" s="8">
        <v>2.0411000000000001</v>
      </c>
      <c r="AI449" s="8">
        <v>2.0491000000000001</v>
      </c>
      <c r="AJ449" s="8">
        <v>2.0333000000000001</v>
      </c>
      <c r="AK449" s="8">
        <v>2.0405000000000002</v>
      </c>
      <c r="AL449" s="8">
        <v>2.0230000000000001</v>
      </c>
      <c r="AM449" s="8">
        <v>1.9599</v>
      </c>
      <c r="AN449" s="8">
        <v>1.9408000000000001</v>
      </c>
      <c r="AO449" s="8">
        <v>1.9093</v>
      </c>
      <c r="AP449" s="8">
        <v>1.9036999999999999</v>
      </c>
      <c r="AQ449" s="8">
        <v>1.9590000000000001</v>
      </c>
      <c r="AR449" s="8">
        <v>1.9505999999999999</v>
      </c>
      <c r="AS449" s="8">
        <v>1.9937</v>
      </c>
      <c r="AT449" s="8">
        <v>1.9988999999999999</v>
      </c>
      <c r="AU449" s="8">
        <v>2.0091000000000001</v>
      </c>
      <c r="AV449" s="8">
        <v>2.0051999999999999</v>
      </c>
      <c r="AW449" s="8">
        <v>1.9999</v>
      </c>
      <c r="AX449" s="8">
        <v>1.9930000000000001</v>
      </c>
      <c r="AY449" s="8">
        <v>1.9882</v>
      </c>
      <c r="AZ449" s="8">
        <v>1.9821</v>
      </c>
      <c r="BA449" s="8">
        <v>1.9782</v>
      </c>
      <c r="BB449" s="8">
        <v>1.9765999999999999</v>
      </c>
      <c r="BC449" s="8">
        <v>1.9729000000000001</v>
      </c>
      <c r="BD449" s="8">
        <v>1.9424999999999999</v>
      </c>
    </row>
    <row r="450" spans="2:56" x14ac:dyDescent="0.3">
      <c r="B450" s="35">
        <f t="shared" si="168"/>
        <v>3432</v>
      </c>
      <c r="C450" s="39">
        <f t="shared" si="169"/>
        <v>23.884089799902281</v>
      </c>
      <c r="D450" s="39">
        <f t="shared" si="170"/>
        <v>23.132747681795983</v>
      </c>
      <c r="E450" s="39">
        <f t="shared" si="171"/>
        <v>27.900439238652947</v>
      </c>
      <c r="F450" s="39">
        <f t="shared" si="172"/>
        <v>29.401171303074801</v>
      </c>
      <c r="G450" s="39">
        <f t="shared" si="173"/>
        <v>30.973645680819857</v>
      </c>
      <c r="H450" s="39">
        <f t="shared" si="174"/>
        <v>37.036115178135802</v>
      </c>
      <c r="I450" s="39">
        <f t="shared" si="175"/>
        <v>61.103221083455367</v>
      </c>
      <c r="J450" s="39">
        <f t="shared" si="176"/>
        <v>69.504880429477694</v>
      </c>
      <c r="K450" s="39">
        <f t="shared" si="177"/>
        <v>79.101756954611972</v>
      </c>
      <c r="L450" s="39">
        <f t="shared" si="178"/>
        <v>88.633967789165439</v>
      </c>
      <c r="M450" s="39">
        <f t="shared" si="179"/>
        <v>60.682040019521715</v>
      </c>
      <c r="N450" s="39">
        <f t="shared" si="180"/>
        <v>46.577598828696843</v>
      </c>
      <c r="O450" s="39"/>
      <c r="P450" s="39">
        <f t="shared" si="181"/>
        <v>56.175939482674337</v>
      </c>
      <c r="Q450" s="39">
        <f t="shared" si="182"/>
        <v>51.865300146412842</v>
      </c>
      <c r="R450" s="39">
        <f t="shared" si="183"/>
        <v>53.517569546120043</v>
      </c>
      <c r="S450" s="39">
        <f t="shared" si="184"/>
        <v>51.627379209370396</v>
      </c>
      <c r="T450" s="39">
        <f t="shared" si="185"/>
        <v>56.762079062957739</v>
      </c>
      <c r="U450" s="39">
        <f t="shared" si="186"/>
        <v>44.913616398243043</v>
      </c>
      <c r="V450" s="39">
        <f t="shared" si="187"/>
        <v>57.625915080527193</v>
      </c>
      <c r="W450" s="39">
        <f t="shared" si="188"/>
        <v>59.878233284528946</v>
      </c>
      <c r="X450" s="39">
        <f t="shared" si="189"/>
        <v>56.5785749145926</v>
      </c>
      <c r="Y450" s="39">
        <f t="shared" si="190"/>
        <v>62.755490483162568</v>
      </c>
      <c r="Z450" s="39">
        <f t="shared" si="191"/>
        <v>64.23255246461683</v>
      </c>
      <c r="AA450" s="39">
        <f t="shared" si="192"/>
        <v>64.958516349438753</v>
      </c>
      <c r="AB450" s="38"/>
      <c r="AE450" s="15">
        <v>3.9722222222222221E-2</v>
      </c>
      <c r="AF450" s="11">
        <f t="shared" si="193"/>
        <v>3432</v>
      </c>
      <c r="AG450" s="8">
        <v>2.0554000000000001</v>
      </c>
      <c r="AH450" s="8">
        <v>2.0417000000000001</v>
      </c>
      <c r="AI450" s="8">
        <v>2.0493000000000001</v>
      </c>
      <c r="AJ450" s="8">
        <v>2.0339999999999998</v>
      </c>
      <c r="AK450" s="8">
        <v>2.0409999999999999</v>
      </c>
      <c r="AL450" s="8">
        <v>2.0225</v>
      </c>
      <c r="AM450" s="8">
        <v>1.9592000000000001</v>
      </c>
      <c r="AN450" s="8">
        <v>1.9420999999999999</v>
      </c>
      <c r="AO450" s="8">
        <v>1.9083000000000001</v>
      </c>
      <c r="AP450" s="8">
        <v>1.9031</v>
      </c>
      <c r="AQ450" s="8">
        <v>1.9604999999999999</v>
      </c>
      <c r="AR450" s="8">
        <v>1.9498</v>
      </c>
      <c r="AS450" s="8">
        <v>1.9937</v>
      </c>
      <c r="AT450" s="8">
        <v>1.9984</v>
      </c>
      <c r="AU450" s="8">
        <v>2.0093000000000001</v>
      </c>
      <c r="AV450" s="8">
        <v>2.0049999999999999</v>
      </c>
      <c r="AW450" s="8">
        <v>1.9985999999999999</v>
      </c>
      <c r="AX450" s="8">
        <v>1.9922</v>
      </c>
      <c r="AY450" s="8">
        <v>1.9866999999999999</v>
      </c>
      <c r="AZ450" s="8">
        <v>1.9822</v>
      </c>
      <c r="BA450" s="8">
        <v>1.9789000000000001</v>
      </c>
      <c r="BB450" s="8">
        <v>1.9764999999999999</v>
      </c>
      <c r="BC450" s="8">
        <v>1.9736</v>
      </c>
      <c r="BD450" s="8">
        <v>1.9427000000000001</v>
      </c>
    </row>
    <row r="451" spans="2:56" x14ac:dyDescent="0.3">
      <c r="B451" s="35">
        <f t="shared" si="168"/>
        <v>3440</v>
      </c>
      <c r="C451" s="39">
        <f t="shared" si="169"/>
        <v>23.298438262567057</v>
      </c>
      <c r="D451" s="39">
        <f t="shared" si="170"/>
        <v>24.011224987799032</v>
      </c>
      <c r="E451" s="39">
        <f t="shared" si="171"/>
        <v>28.681307955100124</v>
      </c>
      <c r="F451" s="39">
        <f t="shared" si="172"/>
        <v>30.182040019521764</v>
      </c>
      <c r="G451" s="39">
        <f t="shared" si="173"/>
        <v>31.120058565153553</v>
      </c>
      <c r="H451" s="39">
        <f t="shared" si="174"/>
        <v>36.596876525134277</v>
      </c>
      <c r="I451" s="39">
        <f t="shared" si="175"/>
        <v>60.37115666178623</v>
      </c>
      <c r="J451" s="39">
        <f t="shared" si="176"/>
        <v>70.139336261590856</v>
      </c>
      <c r="K451" s="39">
        <f t="shared" si="177"/>
        <v>79.931429965836969</v>
      </c>
      <c r="L451" s="39">
        <f t="shared" si="178"/>
        <v>87.901903367496303</v>
      </c>
      <c r="M451" s="39">
        <f t="shared" si="179"/>
        <v>61.414104441190737</v>
      </c>
      <c r="N451" s="39">
        <f t="shared" si="180"/>
        <v>46.919228892142392</v>
      </c>
      <c r="O451" s="39"/>
      <c r="P451" s="39">
        <f t="shared" si="181"/>
        <v>57.152025378233148</v>
      </c>
      <c r="Q451" s="39">
        <f t="shared" si="182"/>
        <v>52.694973157637847</v>
      </c>
      <c r="R451" s="39">
        <f t="shared" si="183"/>
        <v>53.517569546120043</v>
      </c>
      <c r="S451" s="39">
        <f t="shared" si="184"/>
        <v>51.383357735480615</v>
      </c>
      <c r="T451" s="39">
        <f t="shared" si="185"/>
        <v>55.883601756954789</v>
      </c>
      <c r="U451" s="39">
        <f t="shared" si="186"/>
        <v>44.864812103465113</v>
      </c>
      <c r="V451" s="39">
        <f t="shared" si="187"/>
        <v>58.016349438750673</v>
      </c>
      <c r="W451" s="39">
        <f t="shared" si="188"/>
        <v>61.098340653977431</v>
      </c>
      <c r="X451" s="39">
        <f t="shared" si="189"/>
        <v>56.529770619814663</v>
      </c>
      <c r="Y451" s="39">
        <f t="shared" si="190"/>
        <v>62.56027330405071</v>
      </c>
      <c r="Z451" s="39">
        <f t="shared" si="191"/>
        <v>63.93972669594924</v>
      </c>
      <c r="AA451" s="39">
        <f t="shared" si="192"/>
        <v>65.78818936066375</v>
      </c>
      <c r="AB451" s="38"/>
      <c r="AE451" s="15">
        <v>3.9814814814814817E-2</v>
      </c>
      <c r="AF451" s="11">
        <f t="shared" si="193"/>
        <v>3440</v>
      </c>
      <c r="AG451" s="8">
        <v>2.0566</v>
      </c>
      <c r="AH451" s="8">
        <v>2.0398999999999998</v>
      </c>
      <c r="AI451" s="8">
        <v>2.0476999999999999</v>
      </c>
      <c r="AJ451" s="8">
        <v>2.0324</v>
      </c>
      <c r="AK451" s="8">
        <v>2.0407000000000002</v>
      </c>
      <c r="AL451" s="8">
        <v>2.0234000000000001</v>
      </c>
      <c r="AM451" s="8">
        <v>1.9607000000000001</v>
      </c>
      <c r="AN451" s="8">
        <v>1.9408000000000001</v>
      </c>
      <c r="AO451" s="8">
        <v>1.9066000000000001</v>
      </c>
      <c r="AP451" s="8">
        <v>1.9046000000000001</v>
      </c>
      <c r="AQ451" s="8">
        <v>1.9590000000000001</v>
      </c>
      <c r="AR451" s="8">
        <v>1.9491000000000001</v>
      </c>
      <c r="AS451" s="8">
        <v>1.9917</v>
      </c>
      <c r="AT451" s="8">
        <v>1.9966999999999999</v>
      </c>
      <c r="AU451" s="8">
        <v>2.0093000000000001</v>
      </c>
      <c r="AV451" s="8">
        <v>2.0055000000000001</v>
      </c>
      <c r="AW451" s="8">
        <v>2.0004</v>
      </c>
      <c r="AX451" s="8">
        <v>1.9923</v>
      </c>
      <c r="AY451" s="8">
        <v>1.9859</v>
      </c>
      <c r="AZ451" s="8">
        <v>1.9797</v>
      </c>
      <c r="BA451" s="8">
        <v>1.9790000000000001</v>
      </c>
      <c r="BB451" s="8">
        <v>1.9769000000000001</v>
      </c>
      <c r="BC451" s="8">
        <v>1.9742</v>
      </c>
      <c r="BD451" s="8">
        <v>1.9410000000000001</v>
      </c>
    </row>
    <row r="452" spans="2:56" x14ac:dyDescent="0.3">
      <c r="B452" s="35">
        <f t="shared" si="168"/>
        <v>3448</v>
      </c>
      <c r="C452" s="39">
        <f t="shared" si="169"/>
        <v>23.347242557344888</v>
      </c>
      <c r="D452" s="39">
        <f t="shared" si="170"/>
        <v>24.06002928257686</v>
      </c>
      <c r="E452" s="39">
        <f t="shared" si="171"/>
        <v>28.681307955100124</v>
      </c>
      <c r="F452" s="39">
        <f t="shared" si="172"/>
        <v>30.230844314299592</v>
      </c>
      <c r="G452" s="39">
        <f t="shared" si="173"/>
        <v>31.461688628599209</v>
      </c>
      <c r="H452" s="39">
        <f t="shared" si="174"/>
        <v>37.28013665202559</v>
      </c>
      <c r="I452" s="39">
        <f t="shared" si="175"/>
        <v>60.712786725231886</v>
      </c>
      <c r="J452" s="39">
        <f t="shared" si="176"/>
        <v>69.212054660809983</v>
      </c>
      <c r="K452" s="39">
        <f t="shared" si="177"/>
        <v>80.029038555392845</v>
      </c>
      <c r="L452" s="39">
        <f t="shared" si="178"/>
        <v>87.267447535383141</v>
      </c>
      <c r="M452" s="39">
        <f t="shared" si="179"/>
        <v>61.609321620302588</v>
      </c>
      <c r="N452" s="39">
        <f t="shared" si="180"/>
        <v>47.358467545143924</v>
      </c>
      <c r="O452" s="39"/>
      <c r="P452" s="39">
        <f t="shared" si="181"/>
        <v>57.44485114690076</v>
      </c>
      <c r="Q452" s="39">
        <f t="shared" si="182"/>
        <v>51.962908735968718</v>
      </c>
      <c r="R452" s="39">
        <f t="shared" si="183"/>
        <v>54.981698389458316</v>
      </c>
      <c r="S452" s="39">
        <f t="shared" si="184"/>
        <v>51.236944851146916</v>
      </c>
      <c r="T452" s="39">
        <f t="shared" si="185"/>
        <v>56.322840409956207</v>
      </c>
      <c r="U452" s="39">
        <f t="shared" si="186"/>
        <v>45.108833577354787</v>
      </c>
      <c r="V452" s="39">
        <f t="shared" si="187"/>
        <v>58.211566617862417</v>
      </c>
      <c r="W452" s="39">
        <f t="shared" si="188"/>
        <v>61.098340653977431</v>
      </c>
      <c r="X452" s="39">
        <f t="shared" si="189"/>
        <v>56.676183504148582</v>
      </c>
      <c r="Y452" s="39">
        <f t="shared" si="190"/>
        <v>62.657881893606692</v>
      </c>
      <c r="Z452" s="39">
        <f t="shared" si="191"/>
        <v>64.76939970717423</v>
      </c>
      <c r="AA452" s="39">
        <f t="shared" si="192"/>
        <v>64.860907759882878</v>
      </c>
      <c r="AB452" s="38"/>
      <c r="AE452" s="15">
        <v>3.9907407407407412E-2</v>
      </c>
      <c r="AF452" s="11">
        <f t="shared" si="193"/>
        <v>3448</v>
      </c>
      <c r="AG452" s="8">
        <v>2.0565000000000002</v>
      </c>
      <c r="AH452" s="8">
        <v>2.0398000000000001</v>
      </c>
      <c r="AI452" s="8">
        <v>2.0476999999999999</v>
      </c>
      <c r="AJ452" s="8">
        <v>2.0323000000000002</v>
      </c>
      <c r="AK452" s="8">
        <v>2.04</v>
      </c>
      <c r="AL452" s="8">
        <v>2.0219999999999998</v>
      </c>
      <c r="AM452" s="8">
        <v>1.96</v>
      </c>
      <c r="AN452" s="8">
        <v>1.9427000000000001</v>
      </c>
      <c r="AO452" s="8">
        <v>1.9064000000000001</v>
      </c>
      <c r="AP452" s="8">
        <v>1.9058999999999999</v>
      </c>
      <c r="AQ452" s="8">
        <v>1.9585999999999999</v>
      </c>
      <c r="AR452" s="8">
        <v>1.9481999999999999</v>
      </c>
      <c r="AS452" s="8">
        <v>1.9911000000000001</v>
      </c>
      <c r="AT452" s="8">
        <v>1.9982</v>
      </c>
      <c r="AU452" s="8">
        <v>2.0063</v>
      </c>
      <c r="AV452" s="8">
        <v>2.0057999999999998</v>
      </c>
      <c r="AW452" s="8">
        <v>1.9995000000000001</v>
      </c>
      <c r="AX452" s="8">
        <v>1.9918</v>
      </c>
      <c r="AY452" s="8">
        <v>1.9855</v>
      </c>
      <c r="AZ452" s="8">
        <v>1.9797</v>
      </c>
      <c r="BA452" s="8">
        <v>1.9786999999999999</v>
      </c>
      <c r="BB452" s="8">
        <v>1.9766999999999999</v>
      </c>
      <c r="BC452" s="8">
        <v>1.9724999999999999</v>
      </c>
      <c r="BD452" s="8">
        <v>1.9429000000000001</v>
      </c>
    </row>
    <row r="453" spans="2:56" x14ac:dyDescent="0.3">
      <c r="B453" s="35">
        <f t="shared" si="168"/>
        <v>3455.9999999999995</v>
      </c>
      <c r="C453" s="39">
        <f t="shared" si="169"/>
        <v>23.396046852122932</v>
      </c>
      <c r="D453" s="39">
        <f t="shared" si="170"/>
        <v>23.669594924353376</v>
      </c>
      <c r="E453" s="39">
        <f t="shared" si="171"/>
        <v>28.339677891654471</v>
      </c>
      <c r="F453" s="39">
        <f t="shared" si="172"/>
        <v>29.498779892630672</v>
      </c>
      <c r="G453" s="39">
        <f t="shared" si="173"/>
        <v>31.412884333821378</v>
      </c>
      <c r="H453" s="39">
        <f t="shared" si="174"/>
        <v>36.304050756466665</v>
      </c>
      <c r="I453" s="39">
        <f t="shared" si="175"/>
        <v>60.712786725231886</v>
      </c>
      <c r="J453" s="39">
        <f t="shared" si="176"/>
        <v>69.260858955587921</v>
      </c>
      <c r="K453" s="39">
        <f t="shared" si="177"/>
        <v>79.394582723279697</v>
      </c>
      <c r="L453" s="39">
        <f t="shared" si="178"/>
        <v>86.97462176671543</v>
      </c>
      <c r="M453" s="39">
        <f t="shared" si="179"/>
        <v>61.658125915080525</v>
      </c>
      <c r="N453" s="39">
        <f t="shared" si="180"/>
        <v>46.675207418252718</v>
      </c>
      <c r="O453" s="39"/>
      <c r="P453" s="39">
        <f t="shared" si="181"/>
        <v>57.152025378233148</v>
      </c>
      <c r="Q453" s="39">
        <f t="shared" si="182"/>
        <v>52.450951683748073</v>
      </c>
      <c r="R453" s="39">
        <f t="shared" si="183"/>
        <v>54.396046852123092</v>
      </c>
      <c r="S453" s="39">
        <f t="shared" si="184"/>
        <v>51.676183504148227</v>
      </c>
      <c r="T453" s="39">
        <f t="shared" si="185"/>
        <v>55.444363103953272</v>
      </c>
      <c r="U453" s="39">
        <f t="shared" si="186"/>
        <v>45.596876525134242</v>
      </c>
      <c r="V453" s="39">
        <f t="shared" si="187"/>
        <v>58.455588091752091</v>
      </c>
      <c r="W453" s="39">
        <f t="shared" si="188"/>
        <v>60.659102000976013</v>
      </c>
      <c r="X453" s="39">
        <f t="shared" si="189"/>
        <v>57.457052220595543</v>
      </c>
      <c r="Y453" s="39">
        <f t="shared" si="190"/>
        <v>62.804294777940491</v>
      </c>
      <c r="Z453" s="39">
        <f t="shared" si="191"/>
        <v>64.183748169838907</v>
      </c>
      <c r="AA453" s="39">
        <f t="shared" si="192"/>
        <v>65.690580771107889</v>
      </c>
      <c r="AB453" s="38"/>
      <c r="AE453" s="15">
        <v>0.04</v>
      </c>
      <c r="AF453" s="11">
        <f t="shared" si="193"/>
        <v>3455.9999999999995</v>
      </c>
      <c r="AG453" s="8">
        <v>2.0564</v>
      </c>
      <c r="AH453" s="8">
        <v>2.0406</v>
      </c>
      <c r="AI453" s="8">
        <v>2.0484</v>
      </c>
      <c r="AJ453" s="8">
        <v>2.0337999999999998</v>
      </c>
      <c r="AK453" s="8">
        <v>2.0400999999999998</v>
      </c>
      <c r="AL453" s="8">
        <v>2.024</v>
      </c>
      <c r="AM453" s="8">
        <v>1.96</v>
      </c>
      <c r="AN453" s="8">
        <v>1.9426000000000001</v>
      </c>
      <c r="AO453" s="8">
        <v>1.9077</v>
      </c>
      <c r="AP453" s="8">
        <v>1.9065000000000001</v>
      </c>
      <c r="AQ453" s="8">
        <v>1.9584999999999999</v>
      </c>
      <c r="AR453" s="8">
        <v>1.9496</v>
      </c>
      <c r="AS453" s="8">
        <v>1.9917</v>
      </c>
      <c r="AT453" s="8">
        <v>1.9972000000000001</v>
      </c>
      <c r="AU453" s="8">
        <v>2.0074999999999998</v>
      </c>
      <c r="AV453" s="8">
        <v>2.0049000000000001</v>
      </c>
      <c r="AW453" s="8">
        <v>2.0013000000000001</v>
      </c>
      <c r="AX453" s="8">
        <v>1.9907999999999999</v>
      </c>
      <c r="AY453" s="8">
        <v>1.9850000000000001</v>
      </c>
      <c r="AZ453" s="8">
        <v>1.9805999999999999</v>
      </c>
      <c r="BA453" s="8">
        <v>1.9771000000000001</v>
      </c>
      <c r="BB453" s="8">
        <v>1.9763999999999999</v>
      </c>
      <c r="BC453" s="8">
        <v>1.9737</v>
      </c>
      <c r="BD453" s="8">
        <v>1.9412</v>
      </c>
    </row>
    <row r="454" spans="2:56" x14ac:dyDescent="0.3">
      <c r="B454" s="35">
        <f t="shared" si="168"/>
        <v>3463.9999999999995</v>
      </c>
      <c r="C454" s="39">
        <f t="shared" si="169"/>
        <v>23.786481210346409</v>
      </c>
      <c r="D454" s="39">
        <f t="shared" si="170"/>
        <v>23.474377745241636</v>
      </c>
      <c r="E454" s="39">
        <f t="shared" si="171"/>
        <v>28.681307955100124</v>
      </c>
      <c r="F454" s="39">
        <f t="shared" si="172"/>
        <v>29.108345534406975</v>
      </c>
      <c r="G454" s="39">
        <f t="shared" si="173"/>
        <v>32.047340165934429</v>
      </c>
      <c r="H454" s="39">
        <f t="shared" si="174"/>
        <v>36.645680819912322</v>
      </c>
      <c r="I454" s="39">
        <f t="shared" si="175"/>
        <v>60.468765251342212</v>
      </c>
      <c r="J454" s="39">
        <f t="shared" si="176"/>
        <v>69.114446071254122</v>
      </c>
      <c r="K454" s="39">
        <f t="shared" si="177"/>
        <v>79.296974133723822</v>
      </c>
      <c r="L454" s="39">
        <f t="shared" si="178"/>
        <v>87.267447535383141</v>
      </c>
      <c r="M454" s="39">
        <f t="shared" si="179"/>
        <v>61.609321620302588</v>
      </c>
      <c r="N454" s="39">
        <f t="shared" si="180"/>
        <v>47.602489019033598</v>
      </c>
      <c r="O454" s="39"/>
      <c r="P454" s="39">
        <f t="shared" si="181"/>
        <v>56.615178135675862</v>
      </c>
      <c r="Q454" s="39">
        <f t="shared" si="182"/>
        <v>52.402147388970135</v>
      </c>
      <c r="R454" s="39">
        <f t="shared" si="183"/>
        <v>54.49365544167896</v>
      </c>
      <c r="S454" s="39">
        <f t="shared" si="184"/>
        <v>51.334553440702791</v>
      </c>
      <c r="T454" s="39">
        <f t="shared" si="185"/>
        <v>55.93240605173262</v>
      </c>
      <c r="U454" s="39">
        <f t="shared" si="186"/>
        <v>45.450463640800336</v>
      </c>
      <c r="V454" s="39">
        <f t="shared" si="187"/>
        <v>58.065153733528611</v>
      </c>
      <c r="W454" s="39">
        <f t="shared" si="188"/>
        <v>61.244753538311244</v>
      </c>
      <c r="X454" s="39">
        <f t="shared" si="189"/>
        <v>56.627379209370645</v>
      </c>
      <c r="Y454" s="39">
        <f t="shared" si="190"/>
        <v>62.804294777940491</v>
      </c>
      <c r="Z454" s="39">
        <f t="shared" si="191"/>
        <v>65.501464128843267</v>
      </c>
      <c r="AA454" s="39">
        <f t="shared" si="192"/>
        <v>65.251342118106464</v>
      </c>
      <c r="AB454" s="38"/>
      <c r="AE454" s="15">
        <v>4.0092592592592589E-2</v>
      </c>
      <c r="AF454" s="11">
        <f t="shared" si="193"/>
        <v>3463.9999999999995</v>
      </c>
      <c r="AG454" s="8">
        <v>2.0556000000000001</v>
      </c>
      <c r="AH454" s="8">
        <v>2.0409999999999999</v>
      </c>
      <c r="AI454" s="8">
        <v>2.0476999999999999</v>
      </c>
      <c r="AJ454" s="8">
        <v>2.0346000000000002</v>
      </c>
      <c r="AK454" s="8">
        <v>2.0388000000000002</v>
      </c>
      <c r="AL454" s="8">
        <v>2.0232999999999999</v>
      </c>
      <c r="AM454" s="8">
        <v>1.9604999999999999</v>
      </c>
      <c r="AN454" s="8">
        <v>1.9429000000000001</v>
      </c>
      <c r="AO454" s="8">
        <v>1.9078999999999999</v>
      </c>
      <c r="AP454" s="8">
        <v>1.9058999999999999</v>
      </c>
      <c r="AQ454" s="8">
        <v>1.9585999999999999</v>
      </c>
      <c r="AR454" s="8">
        <v>1.9477</v>
      </c>
      <c r="AS454" s="8">
        <v>1.9927999999999999</v>
      </c>
      <c r="AT454" s="8">
        <v>1.9973000000000001</v>
      </c>
      <c r="AU454" s="8">
        <v>2.0072999999999999</v>
      </c>
      <c r="AV454" s="8">
        <v>2.0055999999999998</v>
      </c>
      <c r="AW454" s="8">
        <v>2.0003000000000002</v>
      </c>
      <c r="AX454" s="8">
        <v>1.9911000000000001</v>
      </c>
      <c r="AY454" s="8">
        <v>1.9858</v>
      </c>
      <c r="AZ454" s="8">
        <v>1.9794</v>
      </c>
      <c r="BA454" s="8">
        <v>1.9787999999999999</v>
      </c>
      <c r="BB454" s="8">
        <v>1.9763999999999999</v>
      </c>
      <c r="BC454" s="8">
        <v>1.9710000000000001</v>
      </c>
      <c r="BD454" s="8">
        <v>1.9420999999999999</v>
      </c>
    </row>
    <row r="455" spans="2:56" x14ac:dyDescent="0.3">
      <c r="B455" s="35">
        <f t="shared" si="168"/>
        <v>3472</v>
      </c>
      <c r="C455" s="39">
        <f t="shared" si="169"/>
        <v>23.347242557344888</v>
      </c>
      <c r="D455" s="39">
        <f t="shared" si="170"/>
        <v>24.157637872132728</v>
      </c>
      <c r="E455" s="39">
        <f t="shared" si="171"/>
        <v>28.388482186432512</v>
      </c>
      <c r="F455" s="39">
        <f t="shared" si="172"/>
        <v>29.791605661298281</v>
      </c>
      <c r="G455" s="39">
        <f t="shared" si="173"/>
        <v>31.705710102488993</v>
      </c>
      <c r="H455" s="39">
        <f t="shared" si="174"/>
        <v>36.645680819912322</v>
      </c>
      <c r="I455" s="39">
        <f t="shared" si="175"/>
        <v>60.468765251342212</v>
      </c>
      <c r="J455" s="39">
        <f t="shared" si="176"/>
        <v>69.212054660809983</v>
      </c>
      <c r="K455" s="39">
        <f t="shared" si="177"/>
        <v>80.712298682284043</v>
      </c>
      <c r="L455" s="39">
        <f t="shared" si="178"/>
        <v>87.365056124939002</v>
      </c>
      <c r="M455" s="39">
        <f t="shared" si="179"/>
        <v>61.853343094192262</v>
      </c>
      <c r="N455" s="39">
        <f t="shared" si="180"/>
        <v>46.333577354807169</v>
      </c>
      <c r="O455" s="39"/>
      <c r="P455" s="39">
        <f t="shared" si="181"/>
        <v>57.05441678867728</v>
      </c>
      <c r="Q455" s="39">
        <f t="shared" si="182"/>
        <v>52.89019033674959</v>
      </c>
      <c r="R455" s="39">
        <f t="shared" si="183"/>
        <v>53.810395314787655</v>
      </c>
      <c r="S455" s="39">
        <f t="shared" si="184"/>
        <v>51.383357735480615</v>
      </c>
      <c r="T455" s="39">
        <f t="shared" si="185"/>
        <v>56.957296242069475</v>
      </c>
      <c r="U455" s="39">
        <f t="shared" si="186"/>
        <v>45.64568081991218</v>
      </c>
      <c r="V455" s="39">
        <f t="shared" si="187"/>
        <v>58.455588091752091</v>
      </c>
      <c r="W455" s="39">
        <f t="shared" si="188"/>
        <v>61.879209370424505</v>
      </c>
      <c r="X455" s="39">
        <f t="shared" si="189"/>
        <v>56.871400683260319</v>
      </c>
      <c r="Y455" s="39">
        <f t="shared" si="190"/>
        <v>63.43875061005366</v>
      </c>
      <c r="Z455" s="39">
        <f t="shared" si="191"/>
        <v>64.622986822840332</v>
      </c>
      <c r="AA455" s="39">
        <f t="shared" si="192"/>
        <v>65.54416788677409</v>
      </c>
      <c r="AB455" s="38"/>
      <c r="AE455" s="15">
        <v>4.0185185185185185E-2</v>
      </c>
      <c r="AF455" s="11">
        <f t="shared" si="193"/>
        <v>3472</v>
      </c>
      <c r="AG455" s="8">
        <v>2.0565000000000002</v>
      </c>
      <c r="AH455" s="8">
        <v>2.0396000000000001</v>
      </c>
      <c r="AI455" s="8">
        <v>2.0482999999999998</v>
      </c>
      <c r="AJ455" s="8">
        <v>2.0331999999999999</v>
      </c>
      <c r="AK455" s="8">
        <v>2.0394999999999999</v>
      </c>
      <c r="AL455" s="8">
        <v>2.0232999999999999</v>
      </c>
      <c r="AM455" s="8">
        <v>1.9604999999999999</v>
      </c>
      <c r="AN455" s="8">
        <v>1.9427000000000001</v>
      </c>
      <c r="AO455" s="8">
        <v>1.905</v>
      </c>
      <c r="AP455" s="8">
        <v>1.9056999999999999</v>
      </c>
      <c r="AQ455" s="8">
        <v>1.9581</v>
      </c>
      <c r="AR455" s="8">
        <v>1.9502999999999999</v>
      </c>
      <c r="AS455" s="8">
        <v>1.9919</v>
      </c>
      <c r="AT455" s="8">
        <v>1.9963</v>
      </c>
      <c r="AU455" s="8">
        <v>2.0087000000000002</v>
      </c>
      <c r="AV455" s="8">
        <v>2.0055000000000001</v>
      </c>
      <c r="AW455" s="8">
        <v>1.9982</v>
      </c>
      <c r="AX455" s="8">
        <v>1.9906999999999999</v>
      </c>
      <c r="AY455" s="8">
        <v>1.9850000000000001</v>
      </c>
      <c r="AZ455" s="8">
        <v>1.9781</v>
      </c>
      <c r="BA455" s="8">
        <v>1.9782999999999999</v>
      </c>
      <c r="BB455" s="8">
        <v>1.9751000000000001</v>
      </c>
      <c r="BC455" s="8">
        <v>1.9728000000000001</v>
      </c>
      <c r="BD455" s="8">
        <v>1.9415</v>
      </c>
    </row>
    <row r="456" spans="2:56" x14ac:dyDescent="0.3">
      <c r="B456" s="35">
        <f t="shared" si="168"/>
        <v>3480.0000000000005</v>
      </c>
      <c r="C456" s="39">
        <f t="shared" si="169"/>
        <v>23.493655441678801</v>
      </c>
      <c r="D456" s="39">
        <f t="shared" si="170"/>
        <v>23.474377745241636</v>
      </c>
      <c r="E456" s="39">
        <f t="shared" si="171"/>
        <v>29.266959492435344</v>
      </c>
      <c r="F456" s="39">
        <f t="shared" si="172"/>
        <v>29.74280136652024</v>
      </c>
      <c r="G456" s="39">
        <f t="shared" si="173"/>
        <v>31.022449975597677</v>
      </c>
      <c r="H456" s="39">
        <f t="shared" si="174"/>
        <v>37.28013665202559</v>
      </c>
      <c r="I456" s="39">
        <f t="shared" si="175"/>
        <v>60.37115666178623</v>
      </c>
      <c r="J456" s="39">
        <f t="shared" si="176"/>
        <v>69.748901903367369</v>
      </c>
      <c r="K456" s="39">
        <f t="shared" si="177"/>
        <v>79.931429965836969</v>
      </c>
      <c r="L456" s="39">
        <f t="shared" si="178"/>
        <v>87.365056124939002</v>
      </c>
      <c r="M456" s="39">
        <f t="shared" si="179"/>
        <v>61.462908735968682</v>
      </c>
      <c r="N456" s="39">
        <f t="shared" si="180"/>
        <v>46.577598828696843</v>
      </c>
      <c r="O456" s="39"/>
      <c r="P456" s="39">
        <f t="shared" si="181"/>
        <v>56.956808199121411</v>
      </c>
      <c r="Q456" s="39">
        <f t="shared" si="182"/>
        <v>52.938994631527521</v>
      </c>
      <c r="R456" s="39">
        <f t="shared" si="183"/>
        <v>54.396046852123092</v>
      </c>
      <c r="S456" s="39">
        <f t="shared" si="184"/>
        <v>52.749877989263013</v>
      </c>
      <c r="T456" s="39">
        <f t="shared" si="185"/>
        <v>56.176427525622408</v>
      </c>
      <c r="U456" s="39">
        <f t="shared" si="186"/>
        <v>44.913616398243043</v>
      </c>
      <c r="V456" s="39">
        <f t="shared" si="187"/>
        <v>58.260370912640354</v>
      </c>
      <c r="W456" s="39">
        <f t="shared" si="188"/>
        <v>60.805514885309819</v>
      </c>
      <c r="X456" s="39">
        <f t="shared" si="189"/>
        <v>56.822596388482388</v>
      </c>
      <c r="Y456" s="39">
        <f t="shared" si="190"/>
        <v>63.292337725719847</v>
      </c>
      <c r="Z456" s="39">
        <f t="shared" si="191"/>
        <v>64.867008296730106</v>
      </c>
      <c r="AA456" s="39">
        <f t="shared" si="192"/>
        <v>65.983406539775501</v>
      </c>
      <c r="AB456" s="38"/>
      <c r="AE456" s="15">
        <v>4.027777777777778E-2</v>
      </c>
      <c r="AF456" s="11">
        <f t="shared" si="193"/>
        <v>3480.0000000000005</v>
      </c>
      <c r="AG456" s="8">
        <v>2.0562</v>
      </c>
      <c r="AH456" s="8">
        <v>2.0409999999999999</v>
      </c>
      <c r="AI456" s="8">
        <v>2.0465</v>
      </c>
      <c r="AJ456" s="8">
        <v>2.0333000000000001</v>
      </c>
      <c r="AK456" s="8">
        <v>2.0409000000000002</v>
      </c>
      <c r="AL456" s="8">
        <v>2.0219999999999998</v>
      </c>
      <c r="AM456" s="8">
        <v>1.9607000000000001</v>
      </c>
      <c r="AN456" s="8">
        <v>1.9416</v>
      </c>
      <c r="AO456" s="8">
        <v>1.9066000000000001</v>
      </c>
      <c r="AP456" s="8">
        <v>1.9056999999999999</v>
      </c>
      <c r="AQ456" s="8">
        <v>1.9589000000000001</v>
      </c>
      <c r="AR456" s="8">
        <v>1.9498</v>
      </c>
      <c r="AS456" s="8">
        <v>1.9921</v>
      </c>
      <c r="AT456" s="8">
        <v>1.9962</v>
      </c>
      <c r="AU456" s="8">
        <v>2.0074999999999998</v>
      </c>
      <c r="AV456" s="8">
        <v>2.0026999999999999</v>
      </c>
      <c r="AW456" s="8">
        <v>1.9998</v>
      </c>
      <c r="AX456" s="8">
        <v>1.9922</v>
      </c>
      <c r="AY456" s="8">
        <v>1.9854000000000001</v>
      </c>
      <c r="AZ456" s="8">
        <v>1.9802999999999999</v>
      </c>
      <c r="BA456" s="8">
        <v>1.9783999999999999</v>
      </c>
      <c r="BB456" s="8">
        <v>1.9754</v>
      </c>
      <c r="BC456" s="8">
        <v>1.9722999999999999</v>
      </c>
      <c r="BD456" s="8">
        <v>1.9406000000000001</v>
      </c>
    </row>
    <row r="457" spans="2:56" x14ac:dyDescent="0.3">
      <c r="B457" s="35">
        <f t="shared" si="168"/>
        <v>3488</v>
      </c>
      <c r="C457" s="39">
        <f t="shared" si="169"/>
        <v>23.640068326012717</v>
      </c>
      <c r="D457" s="39">
        <f t="shared" si="170"/>
        <v>24.06002928257686</v>
      </c>
      <c r="E457" s="39">
        <f t="shared" si="171"/>
        <v>28.437286481210339</v>
      </c>
      <c r="F457" s="39">
        <f t="shared" si="172"/>
        <v>30.230844314299592</v>
      </c>
      <c r="G457" s="39">
        <f t="shared" si="173"/>
        <v>31.949731576378561</v>
      </c>
      <c r="H457" s="39">
        <f t="shared" si="174"/>
        <v>37.13372376769167</v>
      </c>
      <c r="I457" s="39">
        <f t="shared" si="175"/>
        <v>61.152025378233304</v>
      </c>
      <c r="J457" s="39">
        <f t="shared" si="176"/>
        <v>68.72401171303062</v>
      </c>
      <c r="K457" s="39">
        <f t="shared" si="177"/>
        <v>80.175451439726757</v>
      </c>
      <c r="L457" s="39">
        <f t="shared" si="178"/>
        <v>87.169838945827266</v>
      </c>
      <c r="M457" s="39">
        <f t="shared" si="179"/>
        <v>61.414104441190737</v>
      </c>
      <c r="N457" s="39">
        <f t="shared" si="180"/>
        <v>46.919228892142392</v>
      </c>
      <c r="O457" s="39"/>
      <c r="P457" s="39">
        <f t="shared" si="181"/>
        <v>57.005612493899342</v>
      </c>
      <c r="Q457" s="39">
        <f t="shared" si="182"/>
        <v>52.597364568081979</v>
      </c>
      <c r="R457" s="39">
        <f t="shared" si="183"/>
        <v>54.200829673011349</v>
      </c>
      <c r="S457" s="39">
        <f t="shared" si="184"/>
        <v>52.066617862371707</v>
      </c>
      <c r="T457" s="39">
        <f t="shared" si="185"/>
        <v>56.078818936066533</v>
      </c>
      <c r="U457" s="39">
        <f t="shared" si="186"/>
        <v>47.01220107369447</v>
      </c>
      <c r="V457" s="39">
        <f t="shared" si="187"/>
        <v>57.772327964860999</v>
      </c>
      <c r="W457" s="39">
        <f t="shared" si="188"/>
        <v>61.342362127867105</v>
      </c>
      <c r="X457" s="39">
        <f t="shared" si="189"/>
        <v>56.920204978038257</v>
      </c>
      <c r="Y457" s="39">
        <f t="shared" si="190"/>
        <v>62.365056124938967</v>
      </c>
      <c r="Z457" s="39">
        <f t="shared" si="191"/>
        <v>65.306246949731531</v>
      </c>
      <c r="AA457" s="39">
        <f t="shared" si="192"/>
        <v>65.641776476329952</v>
      </c>
      <c r="AB457" s="38"/>
      <c r="AE457" s="15">
        <v>4.0370370370370369E-2</v>
      </c>
      <c r="AF457" s="11">
        <f t="shared" si="193"/>
        <v>3488</v>
      </c>
      <c r="AG457" s="8">
        <v>2.0558999999999998</v>
      </c>
      <c r="AH457" s="8">
        <v>2.0398000000000001</v>
      </c>
      <c r="AI457" s="8">
        <v>2.0482</v>
      </c>
      <c r="AJ457" s="8">
        <v>2.0323000000000002</v>
      </c>
      <c r="AK457" s="8">
        <v>2.0390000000000001</v>
      </c>
      <c r="AL457" s="8">
        <v>2.0223</v>
      </c>
      <c r="AM457" s="8">
        <v>1.9591000000000001</v>
      </c>
      <c r="AN457" s="8">
        <v>1.9437</v>
      </c>
      <c r="AO457" s="8">
        <v>1.9060999999999999</v>
      </c>
      <c r="AP457" s="8">
        <v>1.9060999999999999</v>
      </c>
      <c r="AQ457" s="8">
        <v>1.9590000000000001</v>
      </c>
      <c r="AR457" s="8">
        <v>1.9491000000000001</v>
      </c>
      <c r="AS457" s="8">
        <v>1.992</v>
      </c>
      <c r="AT457" s="8">
        <v>1.9968999999999999</v>
      </c>
      <c r="AU457" s="8">
        <v>2.0078999999999998</v>
      </c>
      <c r="AV457" s="8">
        <v>2.0041000000000002</v>
      </c>
      <c r="AW457" s="8">
        <v>2</v>
      </c>
      <c r="AX457" s="8">
        <v>1.9879</v>
      </c>
      <c r="AY457" s="8">
        <v>1.9863999999999999</v>
      </c>
      <c r="AZ457" s="8">
        <v>1.9792000000000001</v>
      </c>
      <c r="BA457" s="8">
        <v>1.9782</v>
      </c>
      <c r="BB457" s="8">
        <v>1.9773000000000001</v>
      </c>
      <c r="BC457" s="8">
        <v>1.9714</v>
      </c>
      <c r="BD457" s="8">
        <v>1.9413</v>
      </c>
    </row>
    <row r="458" spans="2:56" x14ac:dyDescent="0.3">
      <c r="B458" s="35">
        <f t="shared" si="168"/>
        <v>3496</v>
      </c>
      <c r="C458" s="39">
        <f t="shared" si="169"/>
        <v>23.249633967789016</v>
      </c>
      <c r="D458" s="39">
        <f t="shared" si="170"/>
        <v>23.230356271351852</v>
      </c>
      <c r="E458" s="39">
        <f t="shared" si="171"/>
        <v>29.169350902879476</v>
      </c>
      <c r="F458" s="39">
        <f t="shared" si="172"/>
        <v>30.230844314299592</v>
      </c>
      <c r="G458" s="39">
        <f t="shared" si="173"/>
        <v>31.852122986822685</v>
      </c>
      <c r="H458" s="39">
        <f t="shared" si="174"/>
        <v>36.74328940946819</v>
      </c>
      <c r="I458" s="39">
        <f t="shared" si="175"/>
        <v>59.687896534895145</v>
      </c>
      <c r="J458" s="39">
        <f t="shared" si="176"/>
        <v>68.870424597364433</v>
      </c>
      <c r="K458" s="39">
        <f t="shared" si="177"/>
        <v>79.687408491947295</v>
      </c>
      <c r="L458" s="39">
        <f t="shared" si="178"/>
        <v>86.681795998047804</v>
      </c>
      <c r="M458" s="39">
        <f t="shared" si="179"/>
        <v>60.682040019521715</v>
      </c>
      <c r="N458" s="39">
        <f t="shared" si="180"/>
        <v>47.700097608589466</v>
      </c>
      <c r="O458" s="39"/>
      <c r="P458" s="39">
        <f t="shared" si="181"/>
        <v>57.298438262566954</v>
      </c>
      <c r="Q458" s="39">
        <f t="shared" si="182"/>
        <v>52.597364568081979</v>
      </c>
      <c r="R458" s="39">
        <f t="shared" si="183"/>
        <v>54.396046852123092</v>
      </c>
      <c r="S458" s="39">
        <f t="shared" si="184"/>
        <v>51.529770619814528</v>
      </c>
      <c r="T458" s="39">
        <f t="shared" si="185"/>
        <v>56.371644704734145</v>
      </c>
      <c r="U458" s="39">
        <f t="shared" si="186"/>
        <v>45.255246461688586</v>
      </c>
      <c r="V458" s="39">
        <f t="shared" si="187"/>
        <v>58.699609565641872</v>
      </c>
      <c r="W458" s="39">
        <f t="shared" si="188"/>
        <v>60.854319180087757</v>
      </c>
      <c r="X458" s="39">
        <f t="shared" si="189"/>
        <v>56.383357735480857</v>
      </c>
      <c r="Y458" s="39">
        <f t="shared" si="190"/>
        <v>62.950707662274304</v>
      </c>
      <c r="Z458" s="39">
        <f t="shared" si="191"/>
        <v>64.622986822840332</v>
      </c>
      <c r="AA458" s="39">
        <f t="shared" si="192"/>
        <v>65.54416788677409</v>
      </c>
      <c r="AB458" s="38"/>
      <c r="AE458" s="15">
        <v>4.0462962962962964E-2</v>
      </c>
      <c r="AF458" s="11">
        <f t="shared" si="193"/>
        <v>3496</v>
      </c>
      <c r="AG458" s="8">
        <v>2.0567000000000002</v>
      </c>
      <c r="AH458" s="8">
        <v>2.0415000000000001</v>
      </c>
      <c r="AI458" s="8">
        <v>2.0467</v>
      </c>
      <c r="AJ458" s="8">
        <v>2.0323000000000002</v>
      </c>
      <c r="AK458" s="8">
        <v>2.0392000000000001</v>
      </c>
      <c r="AL458" s="8">
        <v>2.0230999999999999</v>
      </c>
      <c r="AM458" s="8">
        <v>1.9621</v>
      </c>
      <c r="AN458" s="8">
        <v>1.9434</v>
      </c>
      <c r="AO458" s="8">
        <v>1.9071</v>
      </c>
      <c r="AP458" s="8">
        <v>1.9071</v>
      </c>
      <c r="AQ458" s="8">
        <v>1.9604999999999999</v>
      </c>
      <c r="AR458" s="8">
        <v>1.9475</v>
      </c>
      <c r="AS458" s="8">
        <v>1.9914000000000001</v>
      </c>
      <c r="AT458" s="8">
        <v>1.9968999999999999</v>
      </c>
      <c r="AU458" s="8">
        <v>2.0074999999999998</v>
      </c>
      <c r="AV458" s="8">
        <v>2.0051999999999999</v>
      </c>
      <c r="AW458" s="8">
        <v>1.9994000000000001</v>
      </c>
      <c r="AX458" s="8">
        <v>1.9915</v>
      </c>
      <c r="AY458" s="8">
        <v>1.9844999999999999</v>
      </c>
      <c r="AZ458" s="8">
        <v>1.9802</v>
      </c>
      <c r="BA458" s="8">
        <v>1.9793000000000001</v>
      </c>
      <c r="BB458" s="8">
        <v>1.9761</v>
      </c>
      <c r="BC458" s="8">
        <v>1.9728000000000001</v>
      </c>
      <c r="BD458" s="8">
        <v>1.9415</v>
      </c>
    </row>
    <row r="459" spans="2:56" x14ac:dyDescent="0.3">
      <c r="B459" s="35">
        <f t="shared" si="168"/>
        <v>3504</v>
      </c>
      <c r="C459" s="39">
        <f t="shared" si="169"/>
        <v>22.859199609565536</v>
      </c>
      <c r="D459" s="39">
        <f t="shared" si="170"/>
        <v>23.035139092240112</v>
      </c>
      <c r="E459" s="39">
        <f t="shared" si="171"/>
        <v>28.437286481210339</v>
      </c>
      <c r="F459" s="39">
        <f t="shared" si="172"/>
        <v>29.303562713518932</v>
      </c>
      <c r="G459" s="39">
        <f t="shared" si="173"/>
        <v>31.510492923377246</v>
      </c>
      <c r="H459" s="39">
        <f t="shared" si="174"/>
        <v>37.13372376769167</v>
      </c>
      <c r="I459" s="39">
        <f t="shared" si="175"/>
        <v>59.736700829673076</v>
      </c>
      <c r="J459" s="39">
        <f t="shared" si="176"/>
        <v>69.846510492923258</v>
      </c>
      <c r="K459" s="39">
        <f t="shared" si="177"/>
        <v>79.78501708150317</v>
      </c>
      <c r="L459" s="39">
        <f t="shared" si="178"/>
        <v>87.121034651049328</v>
      </c>
      <c r="M459" s="39">
        <f t="shared" si="179"/>
        <v>60.974865788189327</v>
      </c>
      <c r="N459" s="39">
        <f t="shared" si="180"/>
        <v>46.333577354807169</v>
      </c>
      <c r="O459" s="39"/>
      <c r="P459" s="39">
        <f t="shared" si="181"/>
        <v>57.249633967789016</v>
      </c>
      <c r="Q459" s="39">
        <f t="shared" si="182"/>
        <v>52.694973157637847</v>
      </c>
      <c r="R459" s="39">
        <f t="shared" si="183"/>
        <v>54.005612493899392</v>
      </c>
      <c r="S459" s="39">
        <f t="shared" si="184"/>
        <v>51.773792093704095</v>
      </c>
      <c r="T459" s="39">
        <f t="shared" si="185"/>
        <v>56.566861883845881</v>
      </c>
      <c r="U459" s="39">
        <f t="shared" si="186"/>
        <v>45.596876525134242</v>
      </c>
      <c r="V459" s="39">
        <f t="shared" si="187"/>
        <v>58.357979502196223</v>
      </c>
      <c r="W459" s="39">
        <f t="shared" si="188"/>
        <v>61.049536359199507</v>
      </c>
      <c r="X459" s="39">
        <f t="shared" si="189"/>
        <v>57.408247925817605</v>
      </c>
      <c r="Y459" s="39">
        <f t="shared" si="190"/>
        <v>62.56027330405071</v>
      </c>
      <c r="Z459" s="39">
        <f t="shared" si="191"/>
        <v>64.964616886285967</v>
      </c>
      <c r="AA459" s="39">
        <f t="shared" si="192"/>
        <v>65.592972181552014</v>
      </c>
      <c r="AB459" s="38"/>
      <c r="AE459" s="15">
        <v>4.0555555555555553E-2</v>
      </c>
      <c r="AF459" s="11">
        <f t="shared" si="193"/>
        <v>3504</v>
      </c>
      <c r="AG459" s="8">
        <v>2.0575000000000001</v>
      </c>
      <c r="AH459" s="8">
        <v>2.0419</v>
      </c>
      <c r="AI459" s="8">
        <v>2.0482</v>
      </c>
      <c r="AJ459" s="8">
        <v>2.0341999999999998</v>
      </c>
      <c r="AK459" s="8">
        <v>2.0398999999999998</v>
      </c>
      <c r="AL459" s="8">
        <v>2.0223</v>
      </c>
      <c r="AM459" s="8">
        <v>1.962</v>
      </c>
      <c r="AN459" s="8">
        <v>1.9414</v>
      </c>
      <c r="AO459" s="8">
        <v>1.9069</v>
      </c>
      <c r="AP459" s="8">
        <v>1.9061999999999999</v>
      </c>
      <c r="AQ459" s="8">
        <v>1.9599</v>
      </c>
      <c r="AR459" s="8">
        <v>1.9502999999999999</v>
      </c>
      <c r="AS459" s="8">
        <v>1.9915</v>
      </c>
      <c r="AT459" s="8">
        <v>1.9966999999999999</v>
      </c>
      <c r="AU459" s="8">
        <v>2.0083000000000002</v>
      </c>
      <c r="AV459" s="8">
        <v>2.0047000000000001</v>
      </c>
      <c r="AW459" s="8">
        <v>1.9990000000000001</v>
      </c>
      <c r="AX459" s="8">
        <v>1.9907999999999999</v>
      </c>
      <c r="AY459" s="8">
        <v>1.9852000000000001</v>
      </c>
      <c r="AZ459" s="8">
        <v>1.9798</v>
      </c>
      <c r="BA459" s="8">
        <v>1.9772000000000001</v>
      </c>
      <c r="BB459" s="8">
        <v>1.9769000000000001</v>
      </c>
      <c r="BC459" s="8">
        <v>1.9721</v>
      </c>
      <c r="BD459" s="8">
        <v>1.9414</v>
      </c>
    </row>
    <row r="460" spans="2:56" x14ac:dyDescent="0.3">
      <c r="B460" s="35">
        <f t="shared" si="168"/>
        <v>3512</v>
      </c>
      <c r="C460" s="39">
        <f t="shared" si="169"/>
        <v>23.591264031234669</v>
      </c>
      <c r="D460" s="39">
        <f t="shared" si="170"/>
        <v>23.816007808687292</v>
      </c>
      <c r="E460" s="39">
        <f t="shared" si="171"/>
        <v>29.41337237676926</v>
      </c>
      <c r="F460" s="39">
        <f t="shared" si="172"/>
        <v>30.133235724743717</v>
      </c>
      <c r="G460" s="39">
        <f t="shared" si="173"/>
        <v>31.608101512933118</v>
      </c>
      <c r="H460" s="39">
        <f t="shared" si="174"/>
        <v>37.182528062469501</v>
      </c>
      <c r="I460" s="39">
        <f t="shared" si="175"/>
        <v>60.908003904343623</v>
      </c>
      <c r="J460" s="39">
        <f t="shared" si="176"/>
        <v>69.504880429477694</v>
      </c>
      <c r="K460" s="39">
        <f t="shared" si="177"/>
        <v>80.273060029282632</v>
      </c>
      <c r="L460" s="39">
        <f t="shared" si="178"/>
        <v>86.828208882381603</v>
      </c>
      <c r="M460" s="39">
        <f t="shared" si="179"/>
        <v>60.974865788189327</v>
      </c>
      <c r="N460" s="39">
        <f t="shared" si="180"/>
        <v>47.55368472425566</v>
      </c>
      <c r="O460" s="39"/>
      <c r="P460" s="39">
        <f t="shared" si="181"/>
        <v>56.956808199121411</v>
      </c>
      <c r="Q460" s="39">
        <f t="shared" si="182"/>
        <v>53.671059053196657</v>
      </c>
      <c r="R460" s="39">
        <f t="shared" si="183"/>
        <v>55.420937042459833</v>
      </c>
      <c r="S460" s="39">
        <f t="shared" si="184"/>
        <v>51.578574914592352</v>
      </c>
      <c r="T460" s="39">
        <f t="shared" si="185"/>
        <v>56.566861883845881</v>
      </c>
      <c r="U460" s="39">
        <f t="shared" si="186"/>
        <v>45.548072230356311</v>
      </c>
      <c r="V460" s="39">
        <f t="shared" si="187"/>
        <v>58.113958028306541</v>
      </c>
      <c r="W460" s="39">
        <f t="shared" si="188"/>
        <v>60.951927769643632</v>
      </c>
      <c r="X460" s="39">
        <f t="shared" si="189"/>
        <v>58.091508052708804</v>
      </c>
      <c r="Y460" s="39">
        <f t="shared" si="190"/>
        <v>63.145924841386041</v>
      </c>
      <c r="Z460" s="39">
        <f t="shared" si="191"/>
        <v>64.525378233284457</v>
      </c>
      <c r="AA460" s="39">
        <f t="shared" si="192"/>
        <v>67.203513909224085</v>
      </c>
      <c r="AB460" s="38"/>
      <c r="AE460" s="15">
        <v>4.0648148148148149E-2</v>
      </c>
      <c r="AF460" s="11">
        <f t="shared" si="193"/>
        <v>3512</v>
      </c>
      <c r="AG460" s="8">
        <v>2.056</v>
      </c>
      <c r="AH460" s="8">
        <v>2.0402999999999998</v>
      </c>
      <c r="AI460" s="8">
        <v>2.0461999999999998</v>
      </c>
      <c r="AJ460" s="8">
        <v>2.0325000000000002</v>
      </c>
      <c r="AK460" s="8">
        <v>2.0396999999999998</v>
      </c>
      <c r="AL460" s="8">
        <v>2.0222000000000002</v>
      </c>
      <c r="AM460" s="8">
        <v>1.9596</v>
      </c>
      <c r="AN460" s="8">
        <v>1.9420999999999999</v>
      </c>
      <c r="AO460" s="8">
        <v>1.9058999999999999</v>
      </c>
      <c r="AP460" s="8">
        <v>1.9068000000000001</v>
      </c>
      <c r="AQ460" s="8">
        <v>1.9599</v>
      </c>
      <c r="AR460" s="8">
        <v>1.9478</v>
      </c>
      <c r="AS460" s="8">
        <v>1.9921</v>
      </c>
      <c r="AT460" s="8">
        <v>1.9946999999999999</v>
      </c>
      <c r="AU460" s="8">
        <v>2.0053999999999998</v>
      </c>
      <c r="AV460" s="8">
        <v>2.0051000000000001</v>
      </c>
      <c r="AW460" s="8">
        <v>1.9990000000000001</v>
      </c>
      <c r="AX460" s="8">
        <v>1.9908999999999999</v>
      </c>
      <c r="AY460" s="8">
        <v>1.9857</v>
      </c>
      <c r="AZ460" s="8">
        <v>1.98</v>
      </c>
      <c r="BA460" s="8">
        <v>1.9758</v>
      </c>
      <c r="BB460" s="8">
        <v>1.9757</v>
      </c>
      <c r="BC460" s="8">
        <v>1.9730000000000001</v>
      </c>
      <c r="BD460" s="8">
        <v>1.9380999999999999</v>
      </c>
    </row>
    <row r="461" spans="2:56" x14ac:dyDescent="0.3">
      <c r="B461" s="35">
        <f t="shared" si="168"/>
        <v>3519.9999999999995</v>
      </c>
      <c r="C461" s="39">
        <f t="shared" si="169"/>
        <v>23.054416788677276</v>
      </c>
      <c r="D461" s="39">
        <f t="shared" si="170"/>
        <v>24.011224987799032</v>
      </c>
      <c r="E461" s="39">
        <f t="shared" si="171"/>
        <v>28.486090775988384</v>
      </c>
      <c r="F461" s="39">
        <f t="shared" si="172"/>
        <v>30.182040019521764</v>
      </c>
      <c r="G461" s="39">
        <f t="shared" si="173"/>
        <v>31.998535871156598</v>
      </c>
      <c r="H461" s="39">
        <f t="shared" si="174"/>
        <v>37.13372376769167</v>
      </c>
      <c r="I461" s="39">
        <f t="shared" si="175"/>
        <v>60.908003904343623</v>
      </c>
      <c r="J461" s="39">
        <f t="shared" si="176"/>
        <v>68.772816007808558</v>
      </c>
      <c r="K461" s="39">
        <f t="shared" si="177"/>
        <v>80.809907271839919</v>
      </c>
      <c r="L461" s="39">
        <f t="shared" si="178"/>
        <v>86.730600292825741</v>
      </c>
      <c r="M461" s="39">
        <f t="shared" si="179"/>
        <v>61.121278672523125</v>
      </c>
      <c r="N461" s="39">
        <f t="shared" si="180"/>
        <v>47.651293313811529</v>
      </c>
      <c r="O461" s="39"/>
      <c r="P461" s="39">
        <f t="shared" si="181"/>
        <v>57.64006832601261</v>
      </c>
      <c r="Q461" s="39">
        <f t="shared" si="182"/>
        <v>52.938994631527521</v>
      </c>
      <c r="R461" s="39">
        <f t="shared" si="183"/>
        <v>54.786481210346565</v>
      </c>
      <c r="S461" s="39">
        <f t="shared" si="184"/>
        <v>52.408247925817356</v>
      </c>
      <c r="T461" s="39">
        <f t="shared" si="185"/>
        <v>56.12762323084447</v>
      </c>
      <c r="U461" s="39">
        <f t="shared" si="186"/>
        <v>45.157637872132717</v>
      </c>
      <c r="V461" s="39">
        <f t="shared" si="187"/>
        <v>58.260370912640354</v>
      </c>
      <c r="W461" s="39">
        <f t="shared" si="188"/>
        <v>61.293557833089181</v>
      </c>
      <c r="X461" s="39">
        <f t="shared" si="189"/>
        <v>56.676183504148582</v>
      </c>
      <c r="Y461" s="39">
        <f t="shared" si="190"/>
        <v>62.657881893606692</v>
      </c>
      <c r="Z461" s="39">
        <f t="shared" si="191"/>
        <v>65.403855539287392</v>
      </c>
      <c r="AA461" s="39">
        <f t="shared" si="192"/>
        <v>65.54416788677409</v>
      </c>
      <c r="AB461" s="38"/>
      <c r="AE461" s="15">
        <v>4.0740740740740737E-2</v>
      </c>
      <c r="AF461" s="11">
        <f t="shared" si="193"/>
        <v>3519.9999999999995</v>
      </c>
      <c r="AG461" s="8">
        <v>2.0571000000000002</v>
      </c>
      <c r="AH461" s="8">
        <v>2.0398999999999998</v>
      </c>
      <c r="AI461" s="8">
        <v>2.0480999999999998</v>
      </c>
      <c r="AJ461" s="8">
        <v>2.0324</v>
      </c>
      <c r="AK461" s="8">
        <v>2.0388999999999999</v>
      </c>
      <c r="AL461" s="8">
        <v>2.0223</v>
      </c>
      <c r="AM461" s="8">
        <v>1.9596</v>
      </c>
      <c r="AN461" s="8">
        <v>1.9436</v>
      </c>
      <c r="AO461" s="8">
        <v>1.9048</v>
      </c>
      <c r="AP461" s="8">
        <v>1.907</v>
      </c>
      <c r="AQ461" s="8">
        <v>1.9596</v>
      </c>
      <c r="AR461" s="8">
        <v>1.9476</v>
      </c>
      <c r="AS461" s="8">
        <v>1.9906999999999999</v>
      </c>
      <c r="AT461" s="8">
        <v>1.9962</v>
      </c>
      <c r="AU461" s="8">
        <v>2.0066999999999999</v>
      </c>
      <c r="AV461" s="8">
        <v>2.0034000000000001</v>
      </c>
      <c r="AW461" s="8">
        <v>1.9999</v>
      </c>
      <c r="AX461" s="8">
        <v>1.9917</v>
      </c>
      <c r="AY461" s="8">
        <v>1.9854000000000001</v>
      </c>
      <c r="AZ461" s="8">
        <v>1.9793000000000001</v>
      </c>
      <c r="BA461" s="8">
        <v>1.9786999999999999</v>
      </c>
      <c r="BB461" s="8">
        <v>1.9766999999999999</v>
      </c>
      <c r="BC461" s="8">
        <v>1.9712000000000001</v>
      </c>
      <c r="BD461" s="8">
        <v>1.9415</v>
      </c>
    </row>
    <row r="462" spans="2:56" x14ac:dyDescent="0.3">
      <c r="B462" s="35">
        <f t="shared" si="168"/>
        <v>3528</v>
      </c>
      <c r="C462" s="39">
        <f t="shared" si="169"/>
        <v>23.737676915568585</v>
      </c>
      <c r="D462" s="39">
        <f t="shared" si="170"/>
        <v>23.669594924353376</v>
      </c>
      <c r="E462" s="39">
        <f t="shared" si="171"/>
        <v>29.02293801854556</v>
      </c>
      <c r="F462" s="39">
        <f t="shared" si="172"/>
        <v>29.596388482186544</v>
      </c>
      <c r="G462" s="39">
        <f t="shared" si="173"/>
        <v>31.412884333821378</v>
      </c>
      <c r="H462" s="39">
        <f t="shared" si="174"/>
        <v>37.28013665202559</v>
      </c>
      <c r="I462" s="39">
        <f t="shared" si="175"/>
        <v>61.24963396778918</v>
      </c>
      <c r="J462" s="39">
        <f t="shared" si="176"/>
        <v>69.309663250365958</v>
      </c>
      <c r="K462" s="39">
        <f t="shared" si="177"/>
        <v>80.126647144948819</v>
      </c>
      <c r="L462" s="39">
        <f t="shared" si="178"/>
        <v>87.365056124939002</v>
      </c>
      <c r="M462" s="39">
        <f t="shared" si="179"/>
        <v>61.414104441190737</v>
      </c>
      <c r="N462" s="39">
        <f t="shared" si="180"/>
        <v>47.55368472425566</v>
      </c>
      <c r="O462" s="39"/>
      <c r="P462" s="39">
        <f t="shared" si="181"/>
        <v>57.396046852122822</v>
      </c>
      <c r="Q462" s="39">
        <f t="shared" si="182"/>
        <v>53.036603221083404</v>
      </c>
      <c r="R462" s="39">
        <f t="shared" si="183"/>
        <v>53.956808199121561</v>
      </c>
      <c r="S462" s="39">
        <f t="shared" si="184"/>
        <v>51.724987798926271</v>
      </c>
      <c r="T462" s="39">
        <f t="shared" si="185"/>
        <v>56.566861883845881</v>
      </c>
      <c r="U462" s="39">
        <f t="shared" si="186"/>
        <v>44.864812103465113</v>
      </c>
      <c r="V462" s="39">
        <f t="shared" si="187"/>
        <v>57.333089311859474</v>
      </c>
      <c r="W462" s="39">
        <f t="shared" si="188"/>
        <v>61.391166422645043</v>
      </c>
      <c r="X462" s="39">
        <f t="shared" si="189"/>
        <v>57.261835041483799</v>
      </c>
      <c r="Y462" s="39">
        <f t="shared" si="190"/>
        <v>63.243533430941916</v>
      </c>
      <c r="Z462" s="39">
        <f t="shared" si="191"/>
        <v>64.76939970717423</v>
      </c>
      <c r="AA462" s="39">
        <f t="shared" si="192"/>
        <v>65.934602244997564</v>
      </c>
      <c r="AB462" s="38"/>
      <c r="AE462" s="15">
        <v>4.0833333333333333E-2</v>
      </c>
      <c r="AF462" s="11">
        <f t="shared" si="193"/>
        <v>3528</v>
      </c>
      <c r="AG462" s="8">
        <v>2.0556999999999999</v>
      </c>
      <c r="AH462" s="8">
        <v>2.0406</v>
      </c>
      <c r="AI462" s="8">
        <v>2.0470000000000002</v>
      </c>
      <c r="AJ462" s="8">
        <v>2.0335999999999999</v>
      </c>
      <c r="AK462" s="8">
        <v>2.0400999999999998</v>
      </c>
      <c r="AL462" s="8">
        <v>2.0219999999999998</v>
      </c>
      <c r="AM462" s="8">
        <v>1.9589000000000001</v>
      </c>
      <c r="AN462" s="8">
        <v>1.9424999999999999</v>
      </c>
      <c r="AO462" s="8">
        <v>1.9061999999999999</v>
      </c>
      <c r="AP462" s="8">
        <v>1.9056999999999999</v>
      </c>
      <c r="AQ462" s="8">
        <v>1.9590000000000001</v>
      </c>
      <c r="AR462" s="8">
        <v>1.9478</v>
      </c>
      <c r="AS462" s="8">
        <v>1.9912000000000001</v>
      </c>
      <c r="AT462" s="8">
        <v>1.996</v>
      </c>
      <c r="AU462" s="8">
        <v>2.0084</v>
      </c>
      <c r="AV462" s="8">
        <v>2.0047999999999999</v>
      </c>
      <c r="AW462" s="8">
        <v>1.9990000000000001</v>
      </c>
      <c r="AX462" s="8">
        <v>1.9923</v>
      </c>
      <c r="AY462" s="8">
        <v>1.9873000000000001</v>
      </c>
      <c r="AZ462" s="8">
        <v>1.9791000000000001</v>
      </c>
      <c r="BA462" s="8">
        <v>1.9775</v>
      </c>
      <c r="BB462" s="8">
        <v>1.9755</v>
      </c>
      <c r="BC462" s="8">
        <v>1.9724999999999999</v>
      </c>
      <c r="BD462" s="8">
        <v>1.9407000000000001</v>
      </c>
    </row>
    <row r="463" spans="2:56" x14ac:dyDescent="0.3">
      <c r="B463" s="35">
        <f t="shared" si="168"/>
        <v>3536</v>
      </c>
      <c r="C463" s="39">
        <f t="shared" si="169"/>
        <v>23.005612493899449</v>
      </c>
      <c r="D463" s="39">
        <f t="shared" si="170"/>
        <v>23.230356271351852</v>
      </c>
      <c r="E463" s="39">
        <f t="shared" si="171"/>
        <v>29.120546608101431</v>
      </c>
      <c r="F463" s="39">
        <f t="shared" si="172"/>
        <v>30.426061493411545</v>
      </c>
      <c r="G463" s="39">
        <f t="shared" si="173"/>
        <v>31.071254270375725</v>
      </c>
      <c r="H463" s="39">
        <f t="shared" si="174"/>
        <v>37.182528062469501</v>
      </c>
      <c r="I463" s="39">
        <f t="shared" si="175"/>
        <v>60.273548072230362</v>
      </c>
      <c r="J463" s="39">
        <f t="shared" si="176"/>
        <v>68.821620302586496</v>
      </c>
      <c r="K463" s="39">
        <f t="shared" si="177"/>
        <v>80.565885797950244</v>
      </c>
      <c r="L463" s="39">
        <f t="shared" si="178"/>
        <v>87.706686188384566</v>
      </c>
      <c r="M463" s="39">
        <f t="shared" si="179"/>
        <v>61.267691556856938</v>
      </c>
      <c r="N463" s="39">
        <f t="shared" si="180"/>
        <v>48.090531966812939</v>
      </c>
      <c r="O463" s="39"/>
      <c r="P463" s="39">
        <f t="shared" si="181"/>
        <v>57.396046852122822</v>
      </c>
      <c r="Q463" s="39">
        <f t="shared" si="182"/>
        <v>52.646168862859916</v>
      </c>
      <c r="R463" s="39">
        <f t="shared" si="183"/>
        <v>54.591264031234829</v>
      </c>
      <c r="S463" s="39">
        <f t="shared" si="184"/>
        <v>52.457052220595408</v>
      </c>
      <c r="T463" s="39">
        <f t="shared" si="185"/>
        <v>56.664470473401863</v>
      </c>
      <c r="U463" s="39">
        <f t="shared" si="186"/>
        <v>46.328940946803272</v>
      </c>
      <c r="V463" s="39">
        <f t="shared" si="187"/>
        <v>58.504392386530029</v>
      </c>
      <c r="W463" s="39">
        <f t="shared" si="188"/>
        <v>60.951927769643632</v>
      </c>
      <c r="X463" s="39">
        <f t="shared" si="189"/>
        <v>56.920204978038257</v>
      </c>
      <c r="Y463" s="39">
        <f t="shared" si="190"/>
        <v>63.048316251830165</v>
      </c>
      <c r="Z463" s="39">
        <f t="shared" si="191"/>
        <v>65.257442654953593</v>
      </c>
      <c r="AA463" s="39">
        <f t="shared" si="192"/>
        <v>65.836993655441688</v>
      </c>
      <c r="AB463" s="38"/>
      <c r="AE463" s="15">
        <v>4.0925925925925928E-2</v>
      </c>
      <c r="AF463" s="11">
        <f t="shared" si="193"/>
        <v>3536</v>
      </c>
      <c r="AG463" s="8">
        <v>2.0571999999999999</v>
      </c>
      <c r="AH463" s="8">
        <v>2.0415000000000001</v>
      </c>
      <c r="AI463" s="8">
        <v>2.0468000000000002</v>
      </c>
      <c r="AJ463" s="8">
        <v>2.0318999999999998</v>
      </c>
      <c r="AK463" s="8">
        <v>2.0407999999999999</v>
      </c>
      <c r="AL463" s="8">
        <v>2.0222000000000002</v>
      </c>
      <c r="AM463" s="8">
        <v>1.9609000000000001</v>
      </c>
      <c r="AN463" s="8">
        <v>1.9435</v>
      </c>
      <c r="AO463" s="8">
        <v>1.9053</v>
      </c>
      <c r="AP463" s="8">
        <v>1.905</v>
      </c>
      <c r="AQ463" s="8">
        <v>1.9593</v>
      </c>
      <c r="AR463" s="8">
        <v>1.9467000000000001</v>
      </c>
      <c r="AS463" s="8">
        <v>1.9912000000000001</v>
      </c>
      <c r="AT463" s="8">
        <v>1.9967999999999999</v>
      </c>
      <c r="AU463" s="8">
        <v>2.0070999999999999</v>
      </c>
      <c r="AV463" s="8">
        <v>2.0032999999999999</v>
      </c>
      <c r="AW463" s="8">
        <v>1.9987999999999999</v>
      </c>
      <c r="AX463" s="8">
        <v>1.9893000000000001</v>
      </c>
      <c r="AY463" s="8">
        <v>1.9849000000000001</v>
      </c>
      <c r="AZ463" s="8">
        <v>1.98</v>
      </c>
      <c r="BA463" s="8">
        <v>1.9782</v>
      </c>
      <c r="BB463" s="8">
        <v>1.9759</v>
      </c>
      <c r="BC463" s="8">
        <v>1.9715</v>
      </c>
      <c r="BD463" s="8">
        <v>1.9409000000000001</v>
      </c>
    </row>
    <row r="464" spans="2:56" x14ac:dyDescent="0.3">
      <c r="B464" s="35">
        <f t="shared" si="168"/>
        <v>3544</v>
      </c>
      <c r="C464" s="39">
        <f t="shared" si="169"/>
        <v>23.396046852122932</v>
      </c>
      <c r="D464" s="39">
        <f t="shared" si="170"/>
        <v>23.767203513909248</v>
      </c>
      <c r="E464" s="39">
        <f t="shared" si="171"/>
        <v>29.071742313323607</v>
      </c>
      <c r="F464" s="39">
        <f t="shared" si="172"/>
        <v>30.962908735968725</v>
      </c>
      <c r="G464" s="39">
        <f t="shared" si="173"/>
        <v>31.803318692044861</v>
      </c>
      <c r="H464" s="39">
        <f t="shared" si="174"/>
        <v>36.645680819912322</v>
      </c>
      <c r="I464" s="39">
        <f t="shared" si="175"/>
        <v>60.859199609565692</v>
      </c>
      <c r="J464" s="39">
        <f t="shared" si="176"/>
        <v>69.358467545143895</v>
      </c>
      <c r="K464" s="39">
        <f t="shared" si="177"/>
        <v>82.030014641288403</v>
      </c>
      <c r="L464" s="39">
        <f t="shared" si="178"/>
        <v>86.486578818936067</v>
      </c>
      <c r="M464" s="39">
        <f t="shared" si="179"/>
        <v>60.24280136652019</v>
      </c>
      <c r="N464" s="39">
        <f t="shared" si="180"/>
        <v>47.212054660810111</v>
      </c>
      <c r="O464" s="39"/>
      <c r="P464" s="39">
        <f t="shared" si="181"/>
        <v>57.347242557344885</v>
      </c>
      <c r="Q464" s="39">
        <f t="shared" si="182"/>
        <v>53.23182040019514</v>
      </c>
      <c r="R464" s="39">
        <f t="shared" si="183"/>
        <v>54.737676915568528</v>
      </c>
      <c r="S464" s="39">
        <f t="shared" si="184"/>
        <v>51.82259638848214</v>
      </c>
      <c r="T464" s="39">
        <f t="shared" si="185"/>
        <v>57.152513421181212</v>
      </c>
      <c r="U464" s="39">
        <f t="shared" si="186"/>
        <v>45.352855051244461</v>
      </c>
      <c r="V464" s="39">
        <f t="shared" si="187"/>
        <v>58.455588091752091</v>
      </c>
      <c r="W464" s="39">
        <f t="shared" si="188"/>
        <v>61.732796486090706</v>
      </c>
      <c r="X464" s="39">
        <f t="shared" si="189"/>
        <v>57.213030746705861</v>
      </c>
      <c r="Y464" s="39">
        <f t="shared" si="190"/>
        <v>64.122010736944858</v>
      </c>
      <c r="Z464" s="39">
        <f t="shared" si="191"/>
        <v>65.208638360175655</v>
      </c>
      <c r="AA464" s="39">
        <f t="shared" si="192"/>
        <v>66.32503660322115</v>
      </c>
      <c r="AB464" s="38"/>
      <c r="AE464" s="15">
        <v>4.1018518518518517E-2</v>
      </c>
      <c r="AF464" s="11">
        <f t="shared" si="193"/>
        <v>3544</v>
      </c>
      <c r="AG464" s="8">
        <v>2.0564</v>
      </c>
      <c r="AH464" s="8">
        <v>2.0404</v>
      </c>
      <c r="AI464" s="8">
        <v>2.0468999999999999</v>
      </c>
      <c r="AJ464" s="8">
        <v>2.0308000000000002</v>
      </c>
      <c r="AK464" s="8">
        <v>2.0392999999999999</v>
      </c>
      <c r="AL464" s="8">
        <v>2.0232999999999999</v>
      </c>
      <c r="AM464" s="8">
        <v>1.9597</v>
      </c>
      <c r="AN464" s="8">
        <v>1.9423999999999999</v>
      </c>
      <c r="AO464" s="8">
        <v>1.9023000000000001</v>
      </c>
      <c r="AP464" s="8">
        <v>1.9075</v>
      </c>
      <c r="AQ464" s="8">
        <v>1.9614</v>
      </c>
      <c r="AR464" s="8">
        <v>1.9484999999999999</v>
      </c>
      <c r="AS464" s="8">
        <v>1.9913000000000001</v>
      </c>
      <c r="AT464" s="8">
        <v>1.9956</v>
      </c>
      <c r="AU464" s="8">
        <v>2.0068000000000001</v>
      </c>
      <c r="AV464" s="8">
        <v>2.0045999999999999</v>
      </c>
      <c r="AW464" s="8">
        <v>1.9978</v>
      </c>
      <c r="AX464" s="8">
        <v>1.9913000000000001</v>
      </c>
      <c r="AY464" s="8">
        <v>1.9850000000000001</v>
      </c>
      <c r="AZ464" s="8">
        <v>1.9783999999999999</v>
      </c>
      <c r="BA464" s="8">
        <v>1.9776</v>
      </c>
      <c r="BB464" s="8">
        <v>1.9737</v>
      </c>
      <c r="BC464" s="8">
        <v>1.9716</v>
      </c>
      <c r="BD464" s="8">
        <v>1.9399</v>
      </c>
    </row>
    <row r="465" spans="2:56" x14ac:dyDescent="0.3">
      <c r="B465" s="35">
        <f t="shared" si="168"/>
        <v>3552</v>
      </c>
      <c r="C465" s="39">
        <f t="shared" si="169"/>
        <v>22.761591020009668</v>
      </c>
      <c r="D465" s="39">
        <f t="shared" si="170"/>
        <v>23.91361639824316</v>
      </c>
      <c r="E465" s="39">
        <f t="shared" si="171"/>
        <v>28.437286481210339</v>
      </c>
      <c r="F465" s="39">
        <f t="shared" si="172"/>
        <v>30.377257198633501</v>
      </c>
      <c r="G465" s="39">
        <f t="shared" si="173"/>
        <v>31.803318692044861</v>
      </c>
      <c r="H465" s="39">
        <f t="shared" si="174"/>
        <v>37.328940946803414</v>
      </c>
      <c r="I465" s="39">
        <f t="shared" si="175"/>
        <v>60.859199609565692</v>
      </c>
      <c r="J465" s="39">
        <f t="shared" si="176"/>
        <v>68.431185944363023</v>
      </c>
      <c r="K465" s="39">
        <f t="shared" si="177"/>
        <v>81.590775988286978</v>
      </c>
      <c r="L465" s="39">
        <f t="shared" si="178"/>
        <v>86.291361639824331</v>
      </c>
      <c r="M465" s="39">
        <f t="shared" si="179"/>
        <v>61.023670082967257</v>
      </c>
      <c r="N465" s="39">
        <f t="shared" si="180"/>
        <v>47.846510492923265</v>
      </c>
      <c r="O465" s="39"/>
      <c r="P465" s="39">
        <f t="shared" si="181"/>
        <v>57.298438262566954</v>
      </c>
      <c r="Q465" s="39">
        <f t="shared" si="182"/>
        <v>52.694973157637847</v>
      </c>
      <c r="R465" s="39">
        <f t="shared" si="183"/>
        <v>55.225719863348097</v>
      </c>
      <c r="S465" s="39">
        <f t="shared" si="184"/>
        <v>51.920204978038015</v>
      </c>
      <c r="T465" s="39">
        <f t="shared" si="185"/>
        <v>57.25012201073708</v>
      </c>
      <c r="U465" s="39">
        <f t="shared" si="186"/>
        <v>45.743289409468048</v>
      </c>
      <c r="V465" s="39">
        <f t="shared" si="187"/>
        <v>58.455588091752091</v>
      </c>
      <c r="W465" s="39">
        <f t="shared" si="188"/>
        <v>60.805514885309819</v>
      </c>
      <c r="X465" s="39">
        <f t="shared" si="189"/>
        <v>57.603465104929455</v>
      </c>
      <c r="Y465" s="39">
        <f t="shared" si="190"/>
        <v>64.561249389946269</v>
      </c>
      <c r="Z465" s="39">
        <f t="shared" si="191"/>
        <v>65.355051244509468</v>
      </c>
      <c r="AA465" s="39">
        <f t="shared" si="192"/>
        <v>66.081015129331476</v>
      </c>
      <c r="AB465" s="38"/>
      <c r="AE465" s="15">
        <v>4.1111111111111112E-2</v>
      </c>
      <c r="AF465" s="11">
        <f t="shared" si="193"/>
        <v>3552</v>
      </c>
      <c r="AG465" s="8">
        <v>2.0577000000000001</v>
      </c>
      <c r="AH465" s="8">
        <v>2.0400999999999998</v>
      </c>
      <c r="AI465" s="8">
        <v>2.0482</v>
      </c>
      <c r="AJ465" s="8">
        <v>2.032</v>
      </c>
      <c r="AK465" s="8">
        <v>2.0392999999999999</v>
      </c>
      <c r="AL465" s="8">
        <v>2.0219</v>
      </c>
      <c r="AM465" s="8">
        <v>1.9597</v>
      </c>
      <c r="AN465" s="8">
        <v>1.9442999999999999</v>
      </c>
      <c r="AO465" s="8">
        <v>1.9032</v>
      </c>
      <c r="AP465" s="8">
        <v>1.9078999999999999</v>
      </c>
      <c r="AQ465" s="8">
        <v>1.9598</v>
      </c>
      <c r="AR465" s="8">
        <v>1.9472</v>
      </c>
      <c r="AS465" s="8">
        <v>1.9914000000000001</v>
      </c>
      <c r="AT465" s="8">
        <v>1.9966999999999999</v>
      </c>
      <c r="AU465" s="8">
        <v>2.0057999999999998</v>
      </c>
      <c r="AV465" s="8">
        <v>2.0044</v>
      </c>
      <c r="AW465" s="8">
        <v>1.9976</v>
      </c>
      <c r="AX465" s="8">
        <v>1.9904999999999999</v>
      </c>
      <c r="AY465" s="8">
        <v>1.9850000000000001</v>
      </c>
      <c r="AZ465" s="8">
        <v>1.9802999999999999</v>
      </c>
      <c r="BA465" s="8">
        <v>1.9767999999999999</v>
      </c>
      <c r="BB465" s="8">
        <v>1.9728000000000001</v>
      </c>
      <c r="BC465" s="8">
        <v>1.9713000000000001</v>
      </c>
      <c r="BD465" s="8">
        <v>1.9403999999999999</v>
      </c>
    </row>
    <row r="466" spans="2:56" x14ac:dyDescent="0.3">
      <c r="B466" s="35">
        <f t="shared" si="168"/>
        <v>3560</v>
      </c>
      <c r="C466" s="39">
        <f t="shared" si="169"/>
        <v>23.005612493899449</v>
      </c>
      <c r="D466" s="39">
        <f t="shared" si="170"/>
        <v>23.718399219131204</v>
      </c>
      <c r="E466" s="39">
        <f t="shared" si="171"/>
        <v>29.071742313323607</v>
      </c>
      <c r="F466" s="39">
        <f t="shared" si="172"/>
        <v>29.93801854563198</v>
      </c>
      <c r="G466" s="39">
        <f t="shared" si="173"/>
        <v>32.388970229380085</v>
      </c>
      <c r="H466" s="39">
        <f t="shared" si="174"/>
        <v>37.28013665202559</v>
      </c>
      <c r="I466" s="39">
        <f t="shared" si="175"/>
        <v>61.24963396778918</v>
      </c>
      <c r="J466" s="39">
        <f t="shared" si="176"/>
        <v>68.870424597364433</v>
      </c>
      <c r="K466" s="39">
        <f t="shared" si="177"/>
        <v>81.785993167398715</v>
      </c>
      <c r="L466" s="39">
        <f t="shared" si="178"/>
        <v>86.388970229380192</v>
      </c>
      <c r="M466" s="39">
        <f t="shared" si="179"/>
        <v>60.926061493411389</v>
      </c>
      <c r="N466" s="39">
        <f t="shared" si="180"/>
        <v>47.602489019033598</v>
      </c>
      <c r="O466" s="39"/>
      <c r="P466" s="39">
        <f t="shared" si="181"/>
        <v>57.591264031234672</v>
      </c>
      <c r="Q466" s="39">
        <f t="shared" si="182"/>
        <v>53.085407515861334</v>
      </c>
      <c r="R466" s="39">
        <f t="shared" si="183"/>
        <v>55.372132747681789</v>
      </c>
      <c r="S466" s="39">
        <f t="shared" si="184"/>
        <v>52.896290873596712</v>
      </c>
      <c r="T466" s="39">
        <f t="shared" si="185"/>
        <v>57.201317715959149</v>
      </c>
      <c r="U466" s="39">
        <f t="shared" si="186"/>
        <v>45.596876525134242</v>
      </c>
      <c r="V466" s="39">
        <f t="shared" si="187"/>
        <v>57.381893606637405</v>
      </c>
      <c r="W466" s="39">
        <f t="shared" si="188"/>
        <v>61.293557833089181</v>
      </c>
      <c r="X466" s="39">
        <f t="shared" si="189"/>
        <v>57.359443631039667</v>
      </c>
      <c r="Y466" s="39">
        <f t="shared" si="190"/>
        <v>63.731576378721364</v>
      </c>
      <c r="Z466" s="39">
        <f t="shared" si="191"/>
        <v>64.818204001952168</v>
      </c>
      <c r="AA466" s="39">
        <f t="shared" si="192"/>
        <v>66.6666666666667</v>
      </c>
      <c r="AB466" s="38"/>
      <c r="AE466" s="15">
        <v>4.1203703703703708E-2</v>
      </c>
      <c r="AF466" s="11">
        <f t="shared" si="193"/>
        <v>3560</v>
      </c>
      <c r="AG466" s="8">
        <v>2.0571999999999999</v>
      </c>
      <c r="AH466" s="8">
        <v>2.0405000000000002</v>
      </c>
      <c r="AI466" s="8">
        <v>2.0468999999999999</v>
      </c>
      <c r="AJ466" s="8">
        <v>2.0329000000000002</v>
      </c>
      <c r="AK466" s="8">
        <v>2.0381</v>
      </c>
      <c r="AL466" s="8">
        <v>2.0219999999999998</v>
      </c>
      <c r="AM466" s="8">
        <v>1.9589000000000001</v>
      </c>
      <c r="AN466" s="8">
        <v>1.9434</v>
      </c>
      <c r="AO466" s="8">
        <v>1.9028</v>
      </c>
      <c r="AP466" s="8">
        <v>1.9077</v>
      </c>
      <c r="AQ466" s="8">
        <v>1.96</v>
      </c>
      <c r="AR466" s="8">
        <v>1.9477</v>
      </c>
      <c r="AS466" s="8">
        <v>1.9907999999999999</v>
      </c>
      <c r="AT466" s="8">
        <v>1.9959</v>
      </c>
      <c r="AU466" s="8">
        <v>2.0055000000000001</v>
      </c>
      <c r="AV466" s="8">
        <v>2.0024000000000002</v>
      </c>
      <c r="AW466" s="8">
        <v>1.9977</v>
      </c>
      <c r="AX466" s="8">
        <v>1.9907999999999999</v>
      </c>
      <c r="AY466" s="8">
        <v>1.9872000000000001</v>
      </c>
      <c r="AZ466" s="8">
        <v>1.9793000000000001</v>
      </c>
      <c r="BA466" s="8">
        <v>1.9773000000000001</v>
      </c>
      <c r="BB466" s="8">
        <v>1.9744999999999999</v>
      </c>
      <c r="BC466" s="8">
        <v>1.9723999999999999</v>
      </c>
      <c r="BD466" s="8">
        <v>1.9392</v>
      </c>
    </row>
    <row r="467" spans="2:56" x14ac:dyDescent="0.3">
      <c r="B467" s="35">
        <f t="shared" si="168"/>
        <v>3567.9999999999995</v>
      </c>
      <c r="C467" s="39">
        <f t="shared" si="169"/>
        <v>23.10322108345532</v>
      </c>
      <c r="D467" s="39">
        <f t="shared" si="170"/>
        <v>24.108833577354901</v>
      </c>
      <c r="E467" s="39">
        <f t="shared" si="171"/>
        <v>29.02293801854556</v>
      </c>
      <c r="F467" s="39">
        <f t="shared" si="172"/>
        <v>30.230844314299592</v>
      </c>
      <c r="G467" s="39">
        <f t="shared" si="173"/>
        <v>31.071254270375725</v>
      </c>
      <c r="H467" s="39">
        <f t="shared" si="174"/>
        <v>37.572962420693194</v>
      </c>
      <c r="I467" s="39">
        <f t="shared" si="175"/>
        <v>61.200829673011242</v>
      </c>
      <c r="J467" s="39">
        <f t="shared" si="176"/>
        <v>69.456076134699757</v>
      </c>
      <c r="K467" s="39">
        <f t="shared" si="177"/>
        <v>81.883601756954604</v>
      </c>
      <c r="L467" s="39">
        <f t="shared" si="178"/>
        <v>86.340165934602268</v>
      </c>
      <c r="M467" s="39">
        <f t="shared" si="179"/>
        <v>60.877257198633451</v>
      </c>
      <c r="N467" s="39">
        <f t="shared" si="180"/>
        <v>47.016837481698268</v>
      </c>
      <c r="O467" s="39"/>
      <c r="P467" s="39">
        <f t="shared" si="181"/>
        <v>57.347242557344885</v>
      </c>
      <c r="Q467" s="39">
        <f t="shared" si="182"/>
        <v>53.280624694973071</v>
      </c>
      <c r="R467" s="39">
        <f t="shared" si="183"/>
        <v>54.591264031234829</v>
      </c>
      <c r="S467" s="39">
        <f t="shared" si="184"/>
        <v>51.529770619814528</v>
      </c>
      <c r="T467" s="39">
        <f t="shared" si="185"/>
        <v>56.713274768179801</v>
      </c>
      <c r="U467" s="39">
        <f t="shared" si="186"/>
        <v>45.694485114690117</v>
      </c>
      <c r="V467" s="39">
        <f t="shared" si="187"/>
        <v>59.382869692532964</v>
      </c>
      <c r="W467" s="39">
        <f t="shared" si="188"/>
        <v>62.123230844314179</v>
      </c>
      <c r="X467" s="39">
        <f t="shared" si="189"/>
        <v>57.798682284041192</v>
      </c>
      <c r="Y467" s="39">
        <f t="shared" si="190"/>
        <v>63.194729136163978</v>
      </c>
      <c r="Z467" s="39">
        <f t="shared" si="191"/>
        <v>64.915812591508029</v>
      </c>
      <c r="AA467" s="39">
        <f t="shared" si="192"/>
        <v>67.252318204002023</v>
      </c>
      <c r="AB467" s="38"/>
      <c r="AE467" s="15">
        <v>4.1296296296296296E-2</v>
      </c>
      <c r="AF467" s="11">
        <f t="shared" si="193"/>
        <v>3567.9999999999995</v>
      </c>
      <c r="AG467" s="8">
        <v>2.0569999999999999</v>
      </c>
      <c r="AH467" s="8">
        <v>2.0396999999999998</v>
      </c>
      <c r="AI467" s="8">
        <v>2.0470000000000002</v>
      </c>
      <c r="AJ467" s="8">
        <v>2.0323000000000002</v>
      </c>
      <c r="AK467" s="8">
        <v>2.0407999999999999</v>
      </c>
      <c r="AL467" s="8">
        <v>2.0213999999999999</v>
      </c>
      <c r="AM467" s="8">
        <v>1.9590000000000001</v>
      </c>
      <c r="AN467" s="8">
        <v>1.9421999999999999</v>
      </c>
      <c r="AO467" s="8">
        <v>1.9026000000000001</v>
      </c>
      <c r="AP467" s="8">
        <v>1.9077999999999999</v>
      </c>
      <c r="AQ467" s="8">
        <v>1.9601</v>
      </c>
      <c r="AR467" s="8">
        <v>1.9489000000000001</v>
      </c>
      <c r="AS467" s="8">
        <v>1.9913000000000001</v>
      </c>
      <c r="AT467" s="8">
        <v>1.9955000000000001</v>
      </c>
      <c r="AU467" s="8">
        <v>2.0070999999999999</v>
      </c>
      <c r="AV467" s="8">
        <v>2.0051999999999999</v>
      </c>
      <c r="AW467" s="8">
        <v>1.9986999999999999</v>
      </c>
      <c r="AX467" s="8">
        <v>1.9905999999999999</v>
      </c>
      <c r="AY467" s="8">
        <v>1.9831000000000001</v>
      </c>
      <c r="AZ467" s="8">
        <v>1.9776</v>
      </c>
      <c r="BA467" s="8">
        <v>1.9763999999999999</v>
      </c>
      <c r="BB467" s="8">
        <v>1.9756</v>
      </c>
      <c r="BC467" s="8">
        <v>1.9722</v>
      </c>
      <c r="BD467" s="8">
        <v>1.9379999999999999</v>
      </c>
    </row>
    <row r="468" spans="2:56" x14ac:dyDescent="0.3">
      <c r="B468" s="35">
        <f>AF468</f>
        <v>3576</v>
      </c>
      <c r="C468" s="39">
        <f t="shared" si="169"/>
        <v>23.054416788677276</v>
      </c>
      <c r="D468" s="39">
        <f t="shared" si="170"/>
        <v>23.279160566129896</v>
      </c>
      <c r="E468" s="39">
        <f t="shared" si="171"/>
        <v>29.364568081991216</v>
      </c>
      <c r="F468" s="39">
        <f t="shared" si="172"/>
        <v>29.303562713518932</v>
      </c>
      <c r="G468" s="39">
        <f t="shared" si="173"/>
        <v>31.852122986822685</v>
      </c>
      <c r="H468" s="39">
        <f t="shared" si="174"/>
        <v>36.938506588579934</v>
      </c>
      <c r="I468" s="39">
        <f t="shared" si="175"/>
        <v>60.712786725231886</v>
      </c>
      <c r="J468" s="39">
        <f t="shared" si="176"/>
        <v>68.772816007808558</v>
      </c>
      <c r="K468" s="39">
        <f t="shared" si="177"/>
        <v>82.908491947291353</v>
      </c>
      <c r="L468" s="39">
        <f t="shared" si="178"/>
        <v>85.461688628599319</v>
      </c>
      <c r="M468" s="39">
        <f t="shared" si="179"/>
        <v>60.389214250853996</v>
      </c>
      <c r="N468" s="39">
        <f t="shared" si="180"/>
        <v>47.407271839921854</v>
      </c>
      <c r="O468" s="39"/>
      <c r="P468" s="39">
        <f t="shared" si="181"/>
        <v>58.128111273791959</v>
      </c>
      <c r="Q468" s="39">
        <f t="shared" si="182"/>
        <v>53.329428989751008</v>
      </c>
      <c r="R468" s="39">
        <f t="shared" si="183"/>
        <v>54.49365544167896</v>
      </c>
      <c r="S468" s="39">
        <f t="shared" si="184"/>
        <v>53.091508052708669</v>
      </c>
      <c r="T468" s="39">
        <f t="shared" si="185"/>
        <v>57.25012201073708</v>
      </c>
      <c r="U468" s="39">
        <f t="shared" si="186"/>
        <v>46.231332357247403</v>
      </c>
      <c r="V468" s="39">
        <f t="shared" si="187"/>
        <v>58.650805270863941</v>
      </c>
      <c r="W468" s="39">
        <f t="shared" si="188"/>
        <v>62.172035139092117</v>
      </c>
      <c r="X468" s="39">
        <f t="shared" si="189"/>
        <v>57.359443631039667</v>
      </c>
      <c r="Y468" s="39">
        <f t="shared" si="190"/>
        <v>63.633967789165503</v>
      </c>
      <c r="Z468" s="39">
        <f t="shared" si="191"/>
        <v>65.452659834065329</v>
      </c>
      <c r="AA468" s="39">
        <f t="shared" si="192"/>
        <v>66.178623718887351</v>
      </c>
      <c r="AB468" s="38"/>
      <c r="AE468" s="15">
        <v>4.1388888888888892E-2</v>
      </c>
      <c r="AF468" s="11">
        <f t="shared" si="193"/>
        <v>3576</v>
      </c>
      <c r="AG468" s="8">
        <v>2.0571000000000002</v>
      </c>
      <c r="AH468" s="8">
        <v>2.0413999999999999</v>
      </c>
      <c r="AI468" s="8">
        <v>2.0463</v>
      </c>
      <c r="AJ468" s="8">
        <v>2.0341999999999998</v>
      </c>
      <c r="AK468" s="8">
        <v>2.0392000000000001</v>
      </c>
      <c r="AL468" s="8">
        <v>2.0226999999999999</v>
      </c>
      <c r="AM468" s="8">
        <v>1.96</v>
      </c>
      <c r="AN468" s="8">
        <v>1.9436</v>
      </c>
      <c r="AO468" s="8">
        <v>1.9005000000000001</v>
      </c>
      <c r="AP468" s="8">
        <v>1.9096</v>
      </c>
      <c r="AQ468" s="8">
        <v>1.9611000000000001</v>
      </c>
      <c r="AR468" s="8">
        <v>1.9480999999999999</v>
      </c>
      <c r="AS468" s="8">
        <v>1.9897</v>
      </c>
      <c r="AT468" s="8">
        <v>1.9954000000000001</v>
      </c>
      <c r="AU468" s="8">
        <v>2.0072999999999999</v>
      </c>
      <c r="AV468" s="8">
        <v>2.0019999999999998</v>
      </c>
      <c r="AW468" s="8">
        <v>1.9976</v>
      </c>
      <c r="AX468" s="8">
        <v>1.9895</v>
      </c>
      <c r="AY468" s="8">
        <v>1.9845999999999999</v>
      </c>
      <c r="AZ468" s="8">
        <v>1.9775</v>
      </c>
      <c r="BA468" s="8">
        <v>1.9773000000000001</v>
      </c>
      <c r="BB468" s="8">
        <v>1.9746999999999999</v>
      </c>
      <c r="BC468" s="8">
        <v>1.9711000000000001</v>
      </c>
      <c r="BD468" s="8">
        <v>1.9401999999999999</v>
      </c>
    </row>
    <row r="469" spans="2:56" x14ac:dyDescent="0.3">
      <c r="B469" s="35">
        <f>AF469</f>
        <v>3584</v>
      </c>
      <c r="C469" s="39">
        <f t="shared" si="169"/>
        <v>23.10322108345532</v>
      </c>
      <c r="D469" s="39">
        <f t="shared" si="170"/>
        <v>23.91361639824316</v>
      </c>
      <c r="E469" s="39">
        <f t="shared" si="171"/>
        <v>28.437286481210339</v>
      </c>
      <c r="F469" s="39">
        <f t="shared" si="172"/>
        <v>29.35236700829676</v>
      </c>
      <c r="G469" s="39">
        <f t="shared" si="173"/>
        <v>32.242557345046166</v>
      </c>
      <c r="H469" s="39">
        <f t="shared" si="174"/>
        <v>36.596876525134277</v>
      </c>
      <c r="I469" s="39">
        <f t="shared" si="175"/>
        <v>61.298438262567103</v>
      </c>
      <c r="J469" s="39">
        <f t="shared" si="176"/>
        <v>68.72401171303062</v>
      </c>
      <c r="K469" s="39">
        <f t="shared" si="177"/>
        <v>82.127623230844378</v>
      </c>
      <c r="L469" s="39">
        <f t="shared" si="178"/>
        <v>86.09614446071248</v>
      </c>
      <c r="M469" s="39">
        <f t="shared" si="179"/>
        <v>60.730844314299652</v>
      </c>
      <c r="N469" s="39">
        <f t="shared" si="180"/>
        <v>46.772816007808593</v>
      </c>
      <c r="O469" s="39"/>
      <c r="P469" s="39">
        <f t="shared" si="181"/>
        <v>58.176915568569896</v>
      </c>
      <c r="Q469" s="39">
        <f t="shared" si="182"/>
        <v>53.378233284528946</v>
      </c>
      <c r="R469" s="39">
        <f t="shared" si="183"/>
        <v>54.347242557345048</v>
      </c>
      <c r="S469" s="39">
        <f t="shared" si="184"/>
        <v>52.310639336261488</v>
      </c>
      <c r="T469" s="39">
        <f t="shared" si="185"/>
        <v>57.347730600292955</v>
      </c>
      <c r="U469" s="39">
        <f t="shared" si="186"/>
        <v>45.596876525134242</v>
      </c>
      <c r="V469" s="39">
        <f t="shared" si="187"/>
        <v>57.967545143972735</v>
      </c>
      <c r="W469" s="39">
        <f t="shared" si="188"/>
        <v>62.269643728647978</v>
      </c>
      <c r="X469" s="39">
        <f t="shared" si="189"/>
        <v>57.408247925817605</v>
      </c>
      <c r="Y469" s="39">
        <f t="shared" si="190"/>
        <v>63.341142020497784</v>
      </c>
      <c r="Z469" s="39">
        <f t="shared" si="191"/>
        <v>65.208638360175655</v>
      </c>
      <c r="AA469" s="39">
        <f t="shared" si="192"/>
        <v>67.105905319668224</v>
      </c>
      <c r="AB469" s="38"/>
      <c r="AE469" s="15">
        <v>4.148148148148148E-2</v>
      </c>
      <c r="AF469" s="11">
        <f t="shared" si="193"/>
        <v>3584</v>
      </c>
      <c r="AG469" s="8">
        <v>2.0569999999999999</v>
      </c>
      <c r="AH469" s="8">
        <v>2.0400999999999998</v>
      </c>
      <c r="AI469" s="8">
        <v>2.0482</v>
      </c>
      <c r="AJ469" s="8">
        <v>2.0341</v>
      </c>
      <c r="AK469" s="8">
        <v>2.0384000000000002</v>
      </c>
      <c r="AL469" s="8">
        <v>2.0234000000000001</v>
      </c>
      <c r="AM469" s="8">
        <v>1.9588000000000001</v>
      </c>
      <c r="AN469" s="8">
        <v>1.9437</v>
      </c>
      <c r="AO469" s="8">
        <v>1.9020999999999999</v>
      </c>
      <c r="AP469" s="8">
        <v>1.9083000000000001</v>
      </c>
      <c r="AQ469" s="8">
        <v>1.9603999999999999</v>
      </c>
      <c r="AR469" s="8">
        <v>1.9494</v>
      </c>
      <c r="AS469" s="8">
        <v>1.9896</v>
      </c>
      <c r="AT469" s="8">
        <v>1.9953000000000001</v>
      </c>
      <c r="AU469" s="8">
        <v>2.0076000000000001</v>
      </c>
      <c r="AV469" s="8">
        <v>2.0036</v>
      </c>
      <c r="AW469" s="8">
        <v>1.9974000000000001</v>
      </c>
      <c r="AX469" s="8">
        <v>1.9907999999999999</v>
      </c>
      <c r="AY469" s="8">
        <v>1.986</v>
      </c>
      <c r="AZ469" s="8">
        <v>1.9773000000000001</v>
      </c>
      <c r="BA469" s="8">
        <v>1.9772000000000001</v>
      </c>
      <c r="BB469" s="8">
        <v>1.9753000000000001</v>
      </c>
      <c r="BC469" s="8">
        <v>1.9716</v>
      </c>
      <c r="BD469" s="8">
        <v>1.9382999999999999</v>
      </c>
    </row>
    <row r="470" spans="2:56" x14ac:dyDescent="0.3">
      <c r="B470" s="35">
        <f>AF470</f>
        <v>3592.0000000000005</v>
      </c>
      <c r="C470" s="39">
        <f t="shared" si="169"/>
        <v>23.249633967789016</v>
      </c>
      <c r="D470" s="39">
        <f t="shared" si="170"/>
        <v>24.011224987799032</v>
      </c>
      <c r="E470" s="39">
        <f t="shared" si="171"/>
        <v>28.437286481210339</v>
      </c>
      <c r="F470" s="39">
        <f t="shared" si="172"/>
        <v>30.328452903855677</v>
      </c>
      <c r="G470" s="39">
        <f t="shared" si="173"/>
        <v>31.120058565153553</v>
      </c>
      <c r="H470" s="39">
        <f t="shared" si="174"/>
        <v>37.182528062469501</v>
      </c>
      <c r="I470" s="39">
        <f t="shared" si="175"/>
        <v>61.49365544167896</v>
      </c>
      <c r="J470" s="39">
        <f t="shared" si="176"/>
        <v>69.016837481698232</v>
      </c>
      <c r="K470" s="39">
        <f t="shared" si="177"/>
        <v>82.127623230844378</v>
      </c>
      <c r="L470" s="39">
        <f t="shared" si="178"/>
        <v>86.388970229380192</v>
      </c>
      <c r="M470" s="39">
        <f t="shared" si="179"/>
        <v>60.926061493411389</v>
      </c>
      <c r="N470" s="39">
        <f t="shared" si="180"/>
        <v>47.504880429477723</v>
      </c>
      <c r="O470" s="39"/>
      <c r="P470" s="39">
        <f t="shared" si="181"/>
        <v>58.176915568569896</v>
      </c>
      <c r="Q470" s="39">
        <f t="shared" si="182"/>
        <v>53.085407515861334</v>
      </c>
      <c r="R470" s="39">
        <f t="shared" si="183"/>
        <v>54.932894094680265</v>
      </c>
      <c r="S470" s="39">
        <f t="shared" si="184"/>
        <v>52.310639336261488</v>
      </c>
      <c r="T470" s="39">
        <f t="shared" si="185"/>
        <v>57.396534895070886</v>
      </c>
      <c r="U470" s="39">
        <f t="shared" si="186"/>
        <v>45.401659346022399</v>
      </c>
      <c r="V470" s="39">
        <f t="shared" si="187"/>
        <v>58.40678379697416</v>
      </c>
      <c r="W470" s="39">
        <f t="shared" si="188"/>
        <v>61.43997071742298</v>
      </c>
      <c r="X470" s="39">
        <f t="shared" si="189"/>
        <v>58.286725231820547</v>
      </c>
      <c r="Y470" s="39">
        <f t="shared" si="190"/>
        <v>64.854075158613995</v>
      </c>
      <c r="Z470" s="39">
        <f t="shared" si="191"/>
        <v>66.526354319180015</v>
      </c>
      <c r="AA470" s="39">
        <f t="shared" si="192"/>
        <v>66.471449487554963</v>
      </c>
      <c r="AB470" s="38"/>
      <c r="AE470" s="15">
        <v>4.1574074074074076E-2</v>
      </c>
      <c r="AF470" s="11">
        <f t="shared" ref="AF470:AF471" si="194">AE470*24*60*60</f>
        <v>3592.0000000000005</v>
      </c>
      <c r="AG470" s="8">
        <v>2.0567000000000002</v>
      </c>
      <c r="AH470" s="8">
        <v>2.0398999999999998</v>
      </c>
      <c r="AI470" s="8">
        <v>2.0482</v>
      </c>
      <c r="AJ470" s="8">
        <v>2.0320999999999998</v>
      </c>
      <c r="AK470" s="8">
        <v>2.0407000000000002</v>
      </c>
      <c r="AL470" s="8">
        <v>2.0222000000000002</v>
      </c>
      <c r="AM470" s="8">
        <v>1.9583999999999999</v>
      </c>
      <c r="AN470" s="8">
        <v>1.9431</v>
      </c>
      <c r="AO470" s="8">
        <v>1.9020999999999999</v>
      </c>
      <c r="AP470" s="8">
        <v>1.9077</v>
      </c>
      <c r="AQ470" s="8">
        <v>1.96</v>
      </c>
      <c r="AR470" s="8">
        <v>1.9479</v>
      </c>
      <c r="AS470" s="8">
        <v>1.9896</v>
      </c>
      <c r="AT470" s="8">
        <v>1.9959</v>
      </c>
      <c r="AU470" s="8">
        <v>2.0064000000000002</v>
      </c>
      <c r="AV470" s="8">
        <v>2.0036</v>
      </c>
      <c r="AW470" s="8">
        <v>1.9973000000000001</v>
      </c>
      <c r="AX470" s="8">
        <v>1.9912000000000001</v>
      </c>
      <c r="AY470" s="8">
        <v>1.9851000000000001</v>
      </c>
      <c r="AZ470" s="8">
        <v>1.9790000000000001</v>
      </c>
      <c r="BA470" s="8">
        <v>1.9754</v>
      </c>
      <c r="BB470" s="8">
        <v>1.9722</v>
      </c>
      <c r="BC470" s="8">
        <v>1.9689000000000001</v>
      </c>
      <c r="BD470" s="8">
        <v>1.9396</v>
      </c>
    </row>
    <row r="471" spans="2:56" s="3" customFormat="1" x14ac:dyDescent="0.3">
      <c r="B471" s="35">
        <f>AF471</f>
        <v>3600</v>
      </c>
      <c r="C471" s="39">
        <f t="shared" si="169"/>
        <v>23.591264031234669</v>
      </c>
      <c r="D471" s="39">
        <f t="shared" si="170"/>
        <v>23.279160566129896</v>
      </c>
      <c r="E471" s="39">
        <f t="shared" si="171"/>
        <v>28.486090775988384</v>
      </c>
      <c r="F471" s="39">
        <f t="shared" si="172"/>
        <v>29.93801854563198</v>
      </c>
      <c r="G471" s="39">
        <f t="shared" si="173"/>
        <v>31.949731576378561</v>
      </c>
      <c r="H471" s="39">
        <f t="shared" si="174"/>
        <v>37.328940946803414</v>
      </c>
      <c r="I471" s="39">
        <f t="shared" si="175"/>
        <v>61.542459736456884</v>
      </c>
      <c r="J471" s="39">
        <f t="shared" si="176"/>
        <v>69.407271839921819</v>
      </c>
      <c r="K471" s="39">
        <f t="shared" si="177"/>
        <v>82.957296242069276</v>
      </c>
      <c r="L471" s="39">
        <f t="shared" si="178"/>
        <v>86.193753050268455</v>
      </c>
      <c r="M471" s="39">
        <f t="shared" si="179"/>
        <v>61.218887262079001</v>
      </c>
      <c r="N471" s="39">
        <f t="shared" si="180"/>
        <v>46.528794533918912</v>
      </c>
      <c r="O471" s="39"/>
      <c r="P471" s="39">
        <f t="shared" si="181"/>
        <v>58.567349926793483</v>
      </c>
      <c r="Q471" s="39">
        <f t="shared" si="182"/>
        <v>53.378233284528946</v>
      </c>
      <c r="R471" s="39">
        <f t="shared" si="183"/>
        <v>54.884089799902434</v>
      </c>
      <c r="S471" s="39">
        <f t="shared" si="184"/>
        <v>52.99389946315258</v>
      </c>
      <c r="T471" s="39">
        <f t="shared" si="185"/>
        <v>57.396534895070886</v>
      </c>
      <c r="U471" s="39">
        <f t="shared" si="186"/>
        <v>45.64568081991218</v>
      </c>
      <c r="V471" s="39">
        <f t="shared" si="187"/>
        <v>58.553196681308066</v>
      </c>
      <c r="W471" s="39">
        <f t="shared" si="188"/>
        <v>61.879209370424505</v>
      </c>
      <c r="X471" s="39">
        <f t="shared" si="189"/>
        <v>57.554660810151411</v>
      </c>
      <c r="Y471" s="39">
        <f t="shared" si="190"/>
        <v>64.122010736944858</v>
      </c>
      <c r="Z471" s="39">
        <f t="shared" si="191"/>
        <v>65.647877013177165</v>
      </c>
      <c r="AA471" s="39">
        <f t="shared" si="192"/>
        <v>66.569058077110824</v>
      </c>
      <c r="AB471" s="38"/>
      <c r="AE471" s="45">
        <v>4.1666666666666664E-2</v>
      </c>
      <c r="AF471" s="11">
        <f t="shared" si="194"/>
        <v>3600</v>
      </c>
      <c r="AG471" s="46">
        <v>2.056</v>
      </c>
      <c r="AH471" s="46">
        <v>2.0413999999999999</v>
      </c>
      <c r="AI471" s="46">
        <v>2.0480999999999998</v>
      </c>
      <c r="AJ471" s="46">
        <v>2.0329000000000002</v>
      </c>
      <c r="AK471" s="46">
        <v>2.0390000000000001</v>
      </c>
      <c r="AL471" s="46">
        <v>2.0219</v>
      </c>
      <c r="AM471" s="46">
        <v>1.9582999999999999</v>
      </c>
      <c r="AN471" s="46">
        <v>1.9422999999999999</v>
      </c>
      <c r="AO471" s="46">
        <v>1.9004000000000001</v>
      </c>
      <c r="AP471" s="46">
        <v>1.9080999999999999</v>
      </c>
      <c r="AQ471" s="46">
        <v>1.9594</v>
      </c>
      <c r="AR471" s="46">
        <v>1.9499</v>
      </c>
      <c r="AS471" s="46">
        <v>1.9887999999999999</v>
      </c>
      <c r="AT471" s="46">
        <v>1.9953000000000001</v>
      </c>
      <c r="AU471" s="46">
        <v>2.0065</v>
      </c>
      <c r="AV471" s="46">
        <v>2.0022000000000002</v>
      </c>
      <c r="AW471" s="46">
        <v>1.9973000000000001</v>
      </c>
      <c r="AX471" s="46">
        <v>1.9906999999999999</v>
      </c>
      <c r="AY471" s="46">
        <v>1.9847999999999999</v>
      </c>
      <c r="AZ471" s="46">
        <v>1.9781</v>
      </c>
      <c r="BA471" s="46">
        <v>1.9769000000000001</v>
      </c>
      <c r="BB471" s="46">
        <v>1.9737</v>
      </c>
      <c r="BC471" s="46">
        <v>1.9706999999999999</v>
      </c>
      <c r="BD471" s="46">
        <v>1.9394</v>
      </c>
    </row>
  </sheetData>
  <conditionalFormatting sqref="C15:N15 P15:AB15">
    <cfRule type="expression" dxfId="4" priority="7">
      <formula>"AI5&lt;0"</formula>
    </cfRule>
  </conditionalFormatting>
  <conditionalFormatting sqref="C9:N9 P9:AB9">
    <cfRule type="expression" dxfId="3" priority="11">
      <formula>C6-C9&gt;0</formula>
    </cfRule>
  </conditionalFormatting>
  <conditionalFormatting sqref="C12:N12 P12:AB12">
    <cfRule type="expression" dxfId="2" priority="1">
      <formula>C12-C3&gt;0</formula>
    </cfRule>
    <cfRule type="expression" dxfId="1" priority="5">
      <formula>"d15-d3&gt;0"</formula>
    </cfRule>
  </conditionalFormatting>
  <conditionalFormatting sqref="C10:N10 P10:AB10">
    <cfRule type="expression" dxfId="0" priority="4">
      <formula>C10&lt;0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tabSelected="1" zoomScale="70" zoomScaleNormal="70" workbookViewId="0">
      <selection activeCell="K20" sqref="K20"/>
    </sheetView>
  </sheetViews>
  <sheetFormatPr defaultRowHeight="14.4" x14ac:dyDescent="0.3"/>
  <cols>
    <col min="1" max="1" width="16.44140625" style="34" bestFit="1" customWidth="1"/>
    <col min="2" max="2" width="18.6640625" style="31" bestFit="1" customWidth="1"/>
    <col min="3" max="3" width="17.44140625" style="34" bestFit="1" customWidth="1"/>
    <col min="7" max="7" width="22.33203125" bestFit="1" customWidth="1"/>
    <col min="8" max="8" width="22.21875" bestFit="1" customWidth="1"/>
    <col min="15" max="15" width="16.44140625" bestFit="1" customWidth="1"/>
    <col min="16" max="16" width="18.6640625" bestFit="1" customWidth="1"/>
    <col min="17" max="17" width="14.5546875" bestFit="1" customWidth="1"/>
    <col min="18" max="18" width="9.109375" bestFit="1" customWidth="1"/>
  </cols>
  <sheetData>
    <row r="1" spans="1:18" x14ac:dyDescent="0.3">
      <c r="A1" s="41" t="s">
        <v>34</v>
      </c>
      <c r="B1" s="31" t="s">
        <v>33</v>
      </c>
      <c r="O1" s="41"/>
      <c r="P1" s="34"/>
      <c r="Q1" s="34"/>
      <c r="R1" s="34"/>
    </row>
    <row r="2" spans="1:18" x14ac:dyDescent="0.3">
      <c r="A2" s="47">
        <v>23.493167398731117</v>
      </c>
      <c r="B2" s="48">
        <v>24.329521950312323</v>
      </c>
      <c r="C2" s="48"/>
      <c r="O2" s="47"/>
      <c r="P2" s="48"/>
      <c r="Q2" s="34"/>
      <c r="R2" s="48"/>
    </row>
    <row r="3" spans="1:18" x14ac:dyDescent="0.3">
      <c r="A3" s="47">
        <v>25.122010736944798</v>
      </c>
      <c r="B3" s="48">
        <v>50.983057937669493</v>
      </c>
      <c r="C3" s="48"/>
      <c r="O3" s="47"/>
      <c r="P3" s="48"/>
      <c r="Q3" s="34"/>
      <c r="R3" s="48"/>
    </row>
    <row r="4" spans="1:18" x14ac:dyDescent="0.3">
      <c r="A4" s="47">
        <v>30.941922889214169</v>
      </c>
      <c r="B4" s="48">
        <v>100.94935973413263</v>
      </c>
      <c r="C4" s="48"/>
      <c r="O4" s="47"/>
      <c r="P4" s="48"/>
      <c r="Q4" s="34"/>
      <c r="R4" s="48"/>
    </row>
    <row r="5" spans="1:18" x14ac:dyDescent="0.3">
      <c r="A5" s="47">
        <v>28.757930697901436</v>
      </c>
      <c r="B5" s="48">
        <v>71.027679007181106</v>
      </c>
      <c r="C5" s="48"/>
      <c r="O5" s="47"/>
      <c r="P5" s="48"/>
      <c r="Q5" s="34"/>
      <c r="R5" s="48"/>
    </row>
    <row r="6" spans="1:18" x14ac:dyDescent="0.3">
      <c r="A6" s="47">
        <v>32.625671059053353</v>
      </c>
      <c r="B6" s="48">
        <v>88.96616235562098</v>
      </c>
      <c r="C6" s="48"/>
      <c r="O6" s="47"/>
      <c r="P6" s="48"/>
      <c r="Q6" s="34"/>
      <c r="R6" s="48"/>
    </row>
    <row r="7" spans="1:18" x14ac:dyDescent="0.3">
      <c r="A7" s="47">
        <v>36.981454367984192</v>
      </c>
      <c r="B7" s="48">
        <v>72.698064096306069</v>
      </c>
      <c r="C7" s="48"/>
      <c r="O7" s="47"/>
      <c r="P7" s="48"/>
      <c r="Q7" s="34"/>
      <c r="R7" s="48"/>
    </row>
    <row r="8" spans="1:18" x14ac:dyDescent="0.3">
      <c r="A8" s="47">
        <v>59.608345534406929</v>
      </c>
      <c r="B8" s="48">
        <v>54.033326361291714</v>
      </c>
      <c r="C8" s="48"/>
      <c r="O8" s="47"/>
      <c r="P8" s="48"/>
      <c r="Q8" s="34"/>
      <c r="R8" s="48"/>
    </row>
    <row r="9" spans="1:18" x14ac:dyDescent="0.3">
      <c r="A9" s="47">
        <v>70.284285017081615</v>
      </c>
      <c r="B9" s="48">
        <v>37.692602663318674</v>
      </c>
      <c r="C9" s="48"/>
      <c r="O9" s="47"/>
      <c r="P9" s="48"/>
      <c r="Q9" s="34"/>
      <c r="R9" s="48"/>
    </row>
    <row r="10" spans="1:18" x14ac:dyDescent="0.3">
      <c r="A10" s="47">
        <v>81.10663738408978</v>
      </c>
      <c r="B10" s="48">
        <v>40.742871086938962</v>
      </c>
      <c r="C10" s="48"/>
      <c r="O10" s="47"/>
      <c r="P10" s="48"/>
      <c r="Q10" s="34"/>
      <c r="R10" s="48"/>
    </row>
    <row r="11" spans="1:18" x14ac:dyDescent="0.3">
      <c r="A11" s="47">
        <v>86.408003904343659</v>
      </c>
      <c r="B11" s="48">
        <v>32.463571079969121</v>
      </c>
      <c r="C11" s="48"/>
      <c r="O11" s="47"/>
      <c r="P11" s="48"/>
      <c r="Q11" s="34"/>
      <c r="R11" s="48"/>
    </row>
    <row r="12" spans="1:18" x14ac:dyDescent="0.3">
      <c r="A12" s="47">
        <v>99.932894094680492</v>
      </c>
      <c r="B12" s="48">
        <v>38.927235120500349</v>
      </c>
      <c r="C12" s="48"/>
      <c r="O12" s="47"/>
      <c r="P12" s="48"/>
      <c r="Q12" s="34"/>
      <c r="R12" s="48"/>
    </row>
    <row r="13" spans="1:18" x14ac:dyDescent="0.3">
      <c r="A13" s="47">
        <v>199.39604685212311</v>
      </c>
      <c r="B13" s="48">
        <v>18.01110878709606</v>
      </c>
      <c r="C13" s="48"/>
      <c r="O13" s="47"/>
      <c r="P13" s="48"/>
      <c r="Q13" s="34"/>
      <c r="R13" s="48"/>
    </row>
    <row r="14" spans="1:18" x14ac:dyDescent="0.3">
      <c r="C14" s="48"/>
      <c r="Q14" s="34"/>
      <c r="R14" s="48"/>
    </row>
    <row r="15" spans="1:18" x14ac:dyDescent="0.3">
      <c r="C15" s="48"/>
      <c r="Q15" s="34"/>
      <c r="R15" s="48"/>
    </row>
    <row r="16" spans="1:18" x14ac:dyDescent="0.3">
      <c r="A16" s="33"/>
      <c r="C16" s="48"/>
      <c r="Q16" s="34"/>
      <c r="R16" s="48"/>
    </row>
    <row r="17" spans="3:18" ht="15.6" x14ac:dyDescent="0.3">
      <c r="C17" s="48"/>
      <c r="G17" s="49"/>
      <c r="H17" s="49"/>
      <c r="Q17" s="34"/>
      <c r="R17" s="48"/>
    </row>
    <row r="18" spans="3:18" ht="15.6" x14ac:dyDescent="0.3">
      <c r="C18" s="48"/>
      <c r="G18" s="49"/>
      <c r="H18" s="49"/>
      <c r="Q18" s="34"/>
      <c r="R18" s="48"/>
    </row>
    <row r="19" spans="3:18" ht="15.6" x14ac:dyDescent="0.3">
      <c r="C19" s="48"/>
      <c r="G19" s="49"/>
      <c r="H19" s="49"/>
      <c r="Q19" s="34"/>
      <c r="R19" s="48"/>
    </row>
    <row r="20" spans="3:18" ht="15.6" x14ac:dyDescent="0.3">
      <c r="C20" s="48"/>
      <c r="G20" s="49"/>
      <c r="H20" s="49"/>
      <c r="Q20" s="34"/>
      <c r="R20" s="48"/>
    </row>
    <row r="21" spans="3:18" ht="15.6" x14ac:dyDescent="0.3">
      <c r="C21" s="48"/>
      <c r="G21" s="49"/>
      <c r="H21" s="49"/>
      <c r="Q21" s="34"/>
      <c r="R21" s="48"/>
    </row>
    <row r="22" spans="3:18" ht="15.6" x14ac:dyDescent="0.3">
      <c r="C22" s="48"/>
      <c r="G22" s="49"/>
      <c r="H22" s="49"/>
      <c r="Q22" s="34"/>
      <c r="R22" s="48"/>
    </row>
    <row r="23" spans="3:18" x14ac:dyDescent="0.3">
      <c r="C23" s="48"/>
      <c r="Q23" s="34"/>
      <c r="R23" s="48"/>
    </row>
    <row r="24" spans="3:18" x14ac:dyDescent="0.3">
      <c r="C24" s="48"/>
      <c r="Q24" s="34"/>
      <c r="R24" s="48"/>
    </row>
    <row r="25" spans="3:18" x14ac:dyDescent="0.3">
      <c r="C25" s="48"/>
      <c r="Q25" s="34"/>
      <c r="R25" s="48"/>
    </row>
    <row r="26" spans="3:18" x14ac:dyDescent="0.3">
      <c r="C26" s="48"/>
      <c r="Q26" s="34"/>
      <c r="R26" s="48"/>
    </row>
    <row r="27" spans="3:18" x14ac:dyDescent="0.3">
      <c r="C27" s="48"/>
      <c r="Q27" s="34"/>
      <c r="R27" s="48"/>
    </row>
    <row r="28" spans="3:18" x14ac:dyDescent="0.3">
      <c r="C28" s="48"/>
      <c r="Q28" s="34"/>
      <c r="R28" s="48"/>
    </row>
    <row r="29" spans="3:18" x14ac:dyDescent="0.3">
      <c r="C29" s="48"/>
      <c r="Q29" s="34"/>
      <c r="R29" s="48"/>
    </row>
    <row r="30" spans="3:18" x14ac:dyDescent="0.3">
      <c r="C30" s="48"/>
      <c r="Q30" s="34"/>
      <c r="R30" s="48"/>
    </row>
    <row r="31" spans="3:18" x14ac:dyDescent="0.3">
      <c r="C31" s="48"/>
      <c r="Q31" s="34"/>
      <c r="R31" s="48"/>
    </row>
    <row r="32" spans="3:18" x14ac:dyDescent="0.3">
      <c r="C32" s="48"/>
      <c r="Q32" s="34"/>
      <c r="R32" s="48"/>
    </row>
    <row r="33" spans="3:18" x14ac:dyDescent="0.3">
      <c r="C33" s="48"/>
      <c r="Q33" s="34"/>
      <c r="R33" s="48"/>
    </row>
    <row r="34" spans="3:18" x14ac:dyDescent="0.3">
      <c r="C34" s="48"/>
      <c r="Q34" s="34"/>
      <c r="R34" s="48"/>
    </row>
    <row r="35" spans="3:18" x14ac:dyDescent="0.3">
      <c r="C35" s="48"/>
      <c r="Q35" s="34"/>
      <c r="R35" s="48"/>
    </row>
    <row r="36" spans="3:18" x14ac:dyDescent="0.3">
      <c r="C36" s="48"/>
      <c r="Q36" s="34"/>
      <c r="R36" s="48"/>
    </row>
    <row r="37" spans="3:18" x14ac:dyDescent="0.3">
      <c r="C37" s="48"/>
      <c r="Q37" s="34"/>
      <c r="R37" s="48"/>
    </row>
    <row r="38" spans="3:18" x14ac:dyDescent="0.3">
      <c r="C38" s="48"/>
      <c r="Q38" s="34"/>
      <c r="R38" s="48"/>
    </row>
    <row r="39" spans="3:18" x14ac:dyDescent="0.3">
      <c r="C39" s="48"/>
      <c r="Q39" s="34"/>
      <c r="R39" s="48"/>
    </row>
    <row r="40" spans="3:18" x14ac:dyDescent="0.3">
      <c r="C40" s="48"/>
      <c r="Q40" s="34"/>
      <c r="R40" s="48"/>
    </row>
    <row r="41" spans="3:18" x14ac:dyDescent="0.3">
      <c r="C41" s="48"/>
      <c r="Q41" s="34"/>
      <c r="R41" s="48"/>
    </row>
    <row r="42" spans="3:18" x14ac:dyDescent="0.3">
      <c r="C42" s="48"/>
      <c r="Q42" s="34"/>
      <c r="R42" s="48"/>
    </row>
    <row r="43" spans="3:18" x14ac:dyDescent="0.3">
      <c r="C43" s="48"/>
      <c r="Q43" s="34"/>
      <c r="R43" s="48"/>
    </row>
    <row r="44" spans="3:18" x14ac:dyDescent="0.3">
      <c r="C44" s="48"/>
      <c r="Q44" s="34"/>
      <c r="R44" s="48"/>
    </row>
    <row r="45" spans="3:18" x14ac:dyDescent="0.3">
      <c r="C45" s="48"/>
      <c r="Q45" s="34"/>
      <c r="R45" s="48"/>
    </row>
    <row r="46" spans="3:18" x14ac:dyDescent="0.3">
      <c r="C46" s="48"/>
      <c r="Q46" s="34"/>
      <c r="R46" s="48"/>
    </row>
    <row r="47" spans="3:18" x14ac:dyDescent="0.3">
      <c r="C47" s="48"/>
      <c r="Q47" s="34"/>
      <c r="R47" s="48"/>
    </row>
    <row r="48" spans="3:18" x14ac:dyDescent="0.3">
      <c r="C48" s="48"/>
      <c r="Q48" s="34"/>
      <c r="R48" s="48"/>
    </row>
    <row r="49" spans="3:18" x14ac:dyDescent="0.3">
      <c r="C49" s="48"/>
      <c r="Q49" s="34"/>
      <c r="R49" s="48"/>
    </row>
    <row r="50" spans="3:18" x14ac:dyDescent="0.3">
      <c r="C50" s="48"/>
      <c r="Q50" s="34"/>
      <c r="R50" s="48"/>
    </row>
    <row r="51" spans="3:18" x14ac:dyDescent="0.3">
      <c r="C51" s="48"/>
      <c r="Q51" s="34"/>
      <c r="R51" s="48"/>
    </row>
    <row r="52" spans="3:18" x14ac:dyDescent="0.3">
      <c r="C52" s="48"/>
      <c r="Q52" s="34"/>
      <c r="R52" s="48"/>
    </row>
    <row r="53" spans="3:18" x14ac:dyDescent="0.3">
      <c r="C53" s="48"/>
      <c r="Q53" s="34"/>
      <c r="R53" s="48"/>
    </row>
    <row r="54" spans="3:18" x14ac:dyDescent="0.3">
      <c r="C54" s="48"/>
      <c r="Q54" s="34"/>
      <c r="R54" s="48"/>
    </row>
    <row r="55" spans="3:18" x14ac:dyDescent="0.3">
      <c r="C55" s="48"/>
      <c r="Q55" s="34"/>
      <c r="R55" s="48"/>
    </row>
    <row r="56" spans="3:18" x14ac:dyDescent="0.3">
      <c r="C56" s="48"/>
      <c r="Q56" s="34"/>
      <c r="R56" s="48"/>
    </row>
    <row r="57" spans="3:18" x14ac:dyDescent="0.3">
      <c r="C57" s="48"/>
      <c r="Q57" s="34"/>
      <c r="R57" s="48"/>
    </row>
    <row r="58" spans="3:18" x14ac:dyDescent="0.3">
      <c r="C58" s="48"/>
      <c r="Q58" s="34"/>
      <c r="R58" s="48"/>
    </row>
    <row r="59" spans="3:18" x14ac:dyDescent="0.3">
      <c r="C59" s="48"/>
      <c r="Q59" s="34"/>
      <c r="R59" s="48"/>
    </row>
    <row r="60" spans="3:18" x14ac:dyDescent="0.3">
      <c r="C60" s="48"/>
      <c r="Q60" s="34"/>
      <c r="R60" s="48"/>
    </row>
    <row r="61" spans="3:18" x14ac:dyDescent="0.3">
      <c r="C61" s="48"/>
      <c r="Q61" s="34"/>
      <c r="R61" s="48"/>
    </row>
    <row r="62" spans="3:18" x14ac:dyDescent="0.3">
      <c r="C62" s="48"/>
      <c r="Q62" s="34"/>
      <c r="R62" s="48"/>
    </row>
    <row r="63" spans="3:18" x14ac:dyDescent="0.3">
      <c r="C63" s="48"/>
      <c r="Q63" s="34"/>
      <c r="R63" s="48"/>
    </row>
    <row r="64" spans="3:18" x14ac:dyDescent="0.3">
      <c r="C64" s="48"/>
      <c r="Q64" s="34"/>
      <c r="R64" s="48"/>
    </row>
    <row r="65" spans="3:18" x14ac:dyDescent="0.3">
      <c r="C65" s="48"/>
      <c r="Q65" s="34"/>
      <c r="R65" s="48"/>
    </row>
    <row r="66" spans="3:18" x14ac:dyDescent="0.3">
      <c r="C66" s="48"/>
      <c r="Q66" s="34"/>
      <c r="R66" s="48"/>
    </row>
    <row r="67" spans="3:18" x14ac:dyDescent="0.3">
      <c r="C67" s="48"/>
      <c r="Q67" s="34"/>
      <c r="R67" s="48"/>
    </row>
    <row r="68" spans="3:18" x14ac:dyDescent="0.3">
      <c r="C68" s="48"/>
      <c r="Q68" s="34"/>
      <c r="R68" s="48"/>
    </row>
    <row r="69" spans="3:18" x14ac:dyDescent="0.3">
      <c r="C69" s="48"/>
      <c r="Q69" s="34"/>
      <c r="R69" s="48"/>
    </row>
    <row r="70" spans="3:18" x14ac:dyDescent="0.3">
      <c r="C70" s="48"/>
      <c r="Q70" s="34"/>
      <c r="R70" s="48"/>
    </row>
    <row r="71" spans="3:18" x14ac:dyDescent="0.3">
      <c r="C71" s="48"/>
      <c r="Q71" s="34"/>
      <c r="R71" s="48"/>
    </row>
    <row r="72" spans="3:18" x14ac:dyDescent="0.3">
      <c r="C72" s="48"/>
      <c r="Q72" s="34"/>
      <c r="R72" s="48"/>
    </row>
    <row r="73" spans="3:18" x14ac:dyDescent="0.3">
      <c r="C73" s="48"/>
      <c r="Q73" s="34"/>
      <c r="R73" s="48"/>
    </row>
    <row r="74" spans="3:18" x14ac:dyDescent="0.3">
      <c r="C74" s="48"/>
      <c r="Q74" s="34"/>
      <c r="R74" s="48"/>
    </row>
    <row r="75" spans="3:18" x14ac:dyDescent="0.3">
      <c r="C75" s="48"/>
      <c r="Q75" s="34"/>
      <c r="R75" s="48"/>
    </row>
    <row r="76" spans="3:18" x14ac:dyDescent="0.3">
      <c r="C76" s="48"/>
      <c r="Q76" s="34"/>
      <c r="R76" s="48"/>
    </row>
    <row r="77" spans="3:18" x14ac:dyDescent="0.3">
      <c r="C77" s="48"/>
      <c r="Q77" s="34"/>
      <c r="R77" s="48"/>
    </row>
    <row r="78" spans="3:18" x14ac:dyDescent="0.3">
      <c r="C78" s="48"/>
      <c r="Q78" s="34"/>
      <c r="R78" s="48"/>
    </row>
    <row r="79" spans="3:18" x14ac:dyDescent="0.3">
      <c r="C79" s="48"/>
      <c r="Q79" s="34"/>
      <c r="R79" s="48"/>
    </row>
    <row r="80" spans="3:18" x14ac:dyDescent="0.3">
      <c r="C80" s="48"/>
      <c r="Q80" s="34"/>
      <c r="R80" s="48"/>
    </row>
    <row r="81" spans="3:18" x14ac:dyDescent="0.3">
      <c r="C81" s="48"/>
      <c r="Q81" s="34"/>
      <c r="R81" s="48"/>
    </row>
    <row r="82" spans="3:18" x14ac:dyDescent="0.3">
      <c r="C82" s="48"/>
      <c r="Q82" s="34"/>
      <c r="R82" s="48"/>
    </row>
    <row r="83" spans="3:18" x14ac:dyDescent="0.3">
      <c r="C83" s="48"/>
      <c r="Q83" s="34"/>
      <c r="R83" s="48"/>
    </row>
    <row r="84" spans="3:18" x14ac:dyDescent="0.3">
      <c r="C84" s="48"/>
      <c r="Q84" s="34"/>
      <c r="R84" s="48"/>
    </row>
    <row r="85" spans="3:18" x14ac:dyDescent="0.3">
      <c r="C85" s="48"/>
      <c r="Q85" s="34"/>
      <c r="R85" s="48"/>
    </row>
    <row r="86" spans="3:18" x14ac:dyDescent="0.3">
      <c r="C86" s="48"/>
      <c r="Q86" s="34"/>
      <c r="R86" s="48"/>
    </row>
    <row r="87" spans="3:18" x14ac:dyDescent="0.3">
      <c r="C87" s="48"/>
      <c r="Q87" s="34"/>
      <c r="R87" s="48"/>
    </row>
    <row r="88" spans="3:18" x14ac:dyDescent="0.3">
      <c r="C88" s="48"/>
      <c r="Q88" s="34"/>
      <c r="R88" s="48"/>
    </row>
    <row r="89" spans="3:18" x14ac:dyDescent="0.3">
      <c r="C89" s="48"/>
      <c r="Q89" s="34"/>
      <c r="R89" s="48"/>
    </row>
    <row r="90" spans="3:18" x14ac:dyDescent="0.3">
      <c r="C90" s="48"/>
      <c r="Q90" s="34"/>
      <c r="R90" s="48"/>
    </row>
    <row r="91" spans="3:18" x14ac:dyDescent="0.3">
      <c r="C91" s="48"/>
      <c r="Q91" s="34"/>
      <c r="R91" s="48"/>
    </row>
    <row r="92" spans="3:18" x14ac:dyDescent="0.3">
      <c r="C92" s="48"/>
      <c r="Q92" s="34"/>
      <c r="R92" s="48"/>
    </row>
    <row r="93" spans="3:18" x14ac:dyDescent="0.3">
      <c r="C93" s="48"/>
      <c r="Q93" s="34"/>
      <c r="R93" s="48"/>
    </row>
    <row r="94" spans="3:18" x14ac:dyDescent="0.3">
      <c r="C94" s="48"/>
      <c r="Q94" s="34"/>
      <c r="R94" s="48"/>
    </row>
    <row r="95" spans="3:18" x14ac:dyDescent="0.3">
      <c r="C95" s="48"/>
      <c r="Q95" s="34"/>
      <c r="R95" s="48"/>
    </row>
    <row r="96" spans="3:18" x14ac:dyDescent="0.3">
      <c r="C96" s="48"/>
      <c r="Q96" s="34"/>
      <c r="R96" s="48"/>
    </row>
    <row r="97" spans="3:18" x14ac:dyDescent="0.3">
      <c r="C97" s="48"/>
      <c r="Q97" s="34"/>
      <c r="R97" s="48"/>
    </row>
    <row r="98" spans="3:18" x14ac:dyDescent="0.3">
      <c r="C98" s="48"/>
      <c r="Q98" s="34"/>
      <c r="R98" s="48"/>
    </row>
    <row r="99" spans="3:18" x14ac:dyDescent="0.3">
      <c r="C99" s="48"/>
      <c r="Q99" s="34"/>
      <c r="R99" s="48"/>
    </row>
    <row r="100" spans="3:18" x14ac:dyDescent="0.3">
      <c r="C100" s="48"/>
      <c r="Q100" s="34"/>
      <c r="R100" s="48"/>
    </row>
    <row r="101" spans="3:18" x14ac:dyDescent="0.3">
      <c r="C101" s="48"/>
      <c r="Q101" s="34"/>
      <c r="R101" s="48"/>
    </row>
    <row r="102" spans="3:18" x14ac:dyDescent="0.3">
      <c r="C102" s="48"/>
      <c r="Q102" s="34"/>
      <c r="R102" s="4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 and calculations</vt:lpstr>
      <vt:lpstr>Vo vs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público</dc:creator>
  <cp:lastModifiedBy>Sony Vaio</cp:lastModifiedBy>
  <dcterms:created xsi:type="dcterms:W3CDTF">2014-09-25T15:39:14Z</dcterms:created>
  <dcterms:modified xsi:type="dcterms:W3CDTF">2021-09-13T20:19:03Z</dcterms:modified>
</cp:coreProperties>
</file>